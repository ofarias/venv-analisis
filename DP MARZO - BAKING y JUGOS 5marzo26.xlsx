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tcenlinea-my.sharepoint.com/personal/ofarias_ftcenlinea_com/Documents/Descargas/"/>
    </mc:Choice>
  </mc:AlternateContent>
  <xr:revisionPtr revIDLastSave="40" documentId="8_{F5DE6C3A-E77A-4D24-BEB1-D0B0E359F6CF}" xr6:coauthVersionLast="47" xr6:coauthVersionMax="47" xr10:uidLastSave="{25F92072-1935-9540-A54D-C148368BD052}"/>
  <bookViews>
    <workbookView xWindow="0" yWindow="600" windowWidth="35040" windowHeight="19260" xr2:uid="{4EE99244-45EC-44CC-A145-3DDD6737827B}"/>
  </bookViews>
  <sheets>
    <sheet name="DP BAKING mzo26 " sheetId="1" r:id="rId1"/>
    <sheet name="DP JUICE mzo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Q16" i="1" l="1"/>
  <c r="P16" i="1"/>
  <c r="O16" i="1"/>
  <c r="N16" i="1"/>
  <c r="M16" i="1"/>
  <c r="L16" i="1"/>
  <c r="K16" i="1"/>
  <c r="J16" i="1"/>
  <c r="I16" i="1"/>
  <c r="H16" i="1"/>
  <c r="G16" i="1"/>
  <c r="F16" i="1"/>
</calcChain>
</file>

<file path=xl/sharedStrings.xml><?xml version="1.0" encoding="utf-8"?>
<sst xmlns="http://schemas.openxmlformats.org/spreadsheetml/2006/main" count="96" uniqueCount="72">
  <si>
    <t>DP Ajuste BIOTECSA</t>
  </si>
  <si>
    <t>NZMX</t>
  </si>
  <si>
    <t>AMG 1100 BG BIB 15 KG</t>
  </si>
  <si>
    <t>FUNGAMYL 4000 SG BIB 20 KG</t>
  </si>
  <si>
    <t>FUNGAMYL ULTRA WF G BIB 20KG</t>
  </si>
  <si>
    <t>PANZEA BG BIB 20 KG</t>
  </si>
  <si>
    <t>PENTOPAN MONO CONC. BIB 20 KG</t>
  </si>
  <si>
    <t>GLUZYME FORTIS BG BIB 20 KG</t>
  </si>
  <si>
    <t>NOVAMYL 3D G BIB 20KG</t>
  </si>
  <si>
    <t>NOVAMYL CONC. G</t>
  </si>
  <si>
    <t>LIPOPAN ELITE</t>
  </si>
  <si>
    <t>PRODUCTO</t>
  </si>
  <si>
    <t>Jan
 kg</t>
  </si>
  <si>
    <t>Feb
 kg</t>
  </si>
  <si>
    <t>Mar
 kg</t>
  </si>
  <si>
    <t>Apr
 kg</t>
  </si>
  <si>
    <t>May
 kg</t>
  </si>
  <si>
    <t>Jun 
kg</t>
  </si>
  <si>
    <t>Jul 
kg</t>
  </si>
  <si>
    <t xml:space="preserve">Aug 
kg </t>
  </si>
  <si>
    <t xml:space="preserve">Sep 
kg </t>
  </si>
  <si>
    <t xml:space="preserve">Oct
 kg </t>
  </si>
  <si>
    <t xml:space="preserve">Nov 
kg </t>
  </si>
  <si>
    <t xml:space="preserve">Dec
 kg </t>
  </si>
  <si>
    <t>Inventario BIOTECSA (28feb) - kg</t>
  </si>
  <si>
    <t>NEUTRASE 1.5 BIB 20 KG</t>
  </si>
  <si>
    <t>BIOTECSA - Juices</t>
  </si>
  <si>
    <t xml:space="preserve">REAL </t>
  </si>
  <si>
    <t xml:space="preserve">DP </t>
  </si>
  <si>
    <t>DP</t>
  </si>
  <si>
    <t>Company</t>
  </si>
  <si>
    <t xml:space="preserve">2026 PRECIO USD / Kg </t>
  </si>
  <si>
    <t>Jan Kg Real</t>
  </si>
  <si>
    <t>Feb Kg</t>
  </si>
  <si>
    <t>Mar Kg</t>
  </si>
  <si>
    <t>Apr Kg</t>
  </si>
  <si>
    <t>May Kg</t>
  </si>
  <si>
    <t>Jun Kg</t>
  </si>
  <si>
    <t>Jul Kg</t>
  </si>
  <si>
    <t xml:space="preserve">Aug Kg </t>
  </si>
  <si>
    <t xml:space="preserve">Sep Kg </t>
  </si>
  <si>
    <t xml:space="preserve">Oct Kg </t>
  </si>
  <si>
    <t xml:space="preserve">Nov Kg </t>
  </si>
  <si>
    <t xml:space="preserve">Dec Kg </t>
  </si>
  <si>
    <t>Budgeted</t>
  </si>
  <si>
    <t>PECTINEX UF JC18 KG</t>
  </si>
  <si>
    <t>PECTINEX ULTRA CLEAR JC18KG</t>
  </si>
  <si>
    <t>PECTINEX ULTRA COLOR JC18 KG</t>
  </si>
  <si>
    <t>PECTINEX ULTRA PULP JC18 KG</t>
  </si>
  <si>
    <t>PECTINEX ULTRA SP-L</t>
  </si>
  <si>
    <t>PECTINEX YIELDMASH PLUS JC18KG</t>
  </si>
  <si>
    <t>VISCOZYME L JC30 KG</t>
  </si>
  <si>
    <t>Kg by MTH</t>
  </si>
  <si>
    <t xml:space="preserve">Codigo Universal  </t>
  </si>
  <si>
    <t>CODIGO UNIVERSAL</t>
  </si>
  <si>
    <t>B0011</t>
  </si>
  <si>
    <t>B0125</t>
  </si>
  <si>
    <t>B0095</t>
  </si>
  <si>
    <t>B0096</t>
  </si>
  <si>
    <t>B0159</t>
  </si>
  <si>
    <t>B0172</t>
  </si>
  <si>
    <t>B0099</t>
  </si>
  <si>
    <t>B0127</t>
  </si>
  <si>
    <t>B0128</t>
  </si>
  <si>
    <t>B0118</t>
  </si>
  <si>
    <t>B0162</t>
  </si>
  <si>
    <t>B0163</t>
  </si>
  <si>
    <t>B0164</t>
  </si>
  <si>
    <t>B0165</t>
  </si>
  <si>
    <t>B0167</t>
  </si>
  <si>
    <t>B0170</t>
  </si>
  <si>
    <t>B0204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</si>
</sst>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 * #,##0.0_ ;_ * \-#,##0.0_ ;_ * &quot;-&quot;??_ ;_ @_ "/>
    <numFmt numFmtId="165" formatCode="_(* #,##0_);_(* \(#,##0\);_(* &quot;-&quot;??_);_(@_)"/>
    <numFmt numFmtId="166" formatCode="_-&quot;$&quot;* #,##0_-;\-&quot;$&quot;* #,##0_-;_-&quot;$&quot;* &quot;-&quot;??_-;_-@_-"/>
    <numFmt numFmtId="167" formatCode="_ * #,##0_ ;_ * \-#,##0_ ;_ * &quot;-&quot;??_ ;_ @_ 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 tint="0.34998626667073579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</font>
    <font>
      <sz val="10"/>
      <name val="Calibri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EE3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/>
    </xf>
    <xf numFmtId="0" fontId="4" fillId="4" borderId="1" xfId="0" applyFont="1" applyFill="1" applyBorder="1" applyAlignment="1">
      <alignment vertical="center" wrapText="1"/>
    </xf>
    <xf numFmtId="1" fontId="6" fillId="5" borderId="3" xfId="0" applyNumberFormat="1" applyFont="1" applyFill="1" applyBorder="1" applyAlignment="1">
      <alignment horizontal="center" vertical="center"/>
    </xf>
    <xf numFmtId="1" fontId="6" fillId="5" borderId="4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top"/>
    </xf>
    <xf numFmtId="1" fontId="6" fillId="7" borderId="1" xfId="1" applyNumberFormat="1" applyFont="1" applyFill="1" applyBorder="1" applyAlignment="1">
      <alignment horizontal="center" vertical="top"/>
    </xf>
    <xf numFmtId="1" fontId="6" fillId="7" borderId="2" xfId="1" applyNumberFormat="1" applyFont="1" applyFill="1" applyBorder="1" applyAlignment="1">
      <alignment horizontal="center" vertical="top"/>
    </xf>
    <xf numFmtId="1" fontId="0" fillId="6" borderId="1" xfId="0" applyNumberFormat="1" applyFill="1" applyBorder="1" applyAlignment="1">
      <alignment horizontal="center" vertical="center"/>
    </xf>
    <xf numFmtId="1" fontId="7" fillId="6" borderId="1" xfId="1" applyNumberFormat="1" applyFont="1" applyFill="1" applyBorder="1" applyAlignment="1">
      <alignment horizontal="center" vertical="center"/>
    </xf>
    <xf numFmtId="1" fontId="7" fillId="6" borderId="2" xfId="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" fontId="0" fillId="6" borderId="5" xfId="0" applyNumberFormat="1" applyFill="1" applyBorder="1" applyAlignment="1">
      <alignment horizontal="center" vertical="center"/>
    </xf>
    <xf numFmtId="1" fontId="7" fillId="6" borderId="5" xfId="0" applyNumberFormat="1" applyFont="1" applyFill="1" applyBorder="1" applyAlignment="1">
      <alignment horizontal="center" vertical="center"/>
    </xf>
    <xf numFmtId="1" fontId="7" fillId="6" borderId="6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3" fillId="11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10" fillId="0" borderId="1" xfId="0" applyFont="1" applyBorder="1"/>
    <xf numFmtId="44" fontId="2" fillId="5" borderId="1" xfId="2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 vertical="center"/>
    </xf>
    <xf numFmtId="165" fontId="6" fillId="5" borderId="1" xfId="1" applyNumberFormat="1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6" fillId="9" borderId="1" xfId="0" applyFont="1" applyFill="1" applyBorder="1" applyAlignment="1">
      <alignment horizontal="center" vertical="center"/>
    </xf>
    <xf numFmtId="0" fontId="10" fillId="0" borderId="0" xfId="0" applyFont="1"/>
    <xf numFmtId="37" fontId="2" fillId="0" borderId="0" xfId="2" applyNumberFormat="1" applyFont="1" applyFill="1" applyBorder="1" applyAlignment="1">
      <alignment horizontal="left" vertical="top" wrapText="1"/>
    </xf>
    <xf numFmtId="165" fontId="11" fillId="7" borderId="1" xfId="1" applyNumberFormat="1" applyFont="1" applyFill="1" applyBorder="1" applyAlignment="1">
      <alignment horizontal="center" vertical="center"/>
    </xf>
    <xf numFmtId="165" fontId="11" fillId="2" borderId="1" xfId="1" applyNumberFormat="1" applyFont="1" applyFill="1" applyBorder="1" applyAlignment="1">
      <alignment horizontal="center" vertical="center"/>
    </xf>
    <xf numFmtId="166" fontId="2" fillId="0" borderId="0" xfId="2" applyNumberFormat="1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3" fontId="7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righ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top"/>
    </xf>
    <xf numFmtId="165" fontId="6" fillId="5" borderId="1" xfId="1" applyNumberFormat="1" applyFont="1" applyFill="1" applyBorder="1" applyAlignment="1">
      <alignment horizontal="center" vertical="top"/>
    </xf>
    <xf numFmtId="167" fontId="13" fillId="5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center" vertical="top"/>
    </xf>
    <xf numFmtId="164" fontId="13" fillId="5" borderId="1" xfId="0" applyNumberFormat="1" applyFont="1" applyFill="1" applyBorder="1"/>
    <xf numFmtId="0" fontId="6" fillId="5" borderId="1" xfId="0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top"/>
    </xf>
    <xf numFmtId="165" fontId="6" fillId="12" borderId="1" xfId="1" applyNumberFormat="1" applyFont="1" applyFill="1" applyBorder="1" applyAlignment="1">
      <alignment horizontal="center" vertical="top"/>
    </xf>
    <xf numFmtId="0" fontId="0" fillId="12" borderId="0" xfId="0" applyFill="1" applyAlignment="1">
      <alignment horizontal="center"/>
    </xf>
    <xf numFmtId="165" fontId="6" fillId="12" borderId="1" xfId="1" applyNumberFormat="1" applyFont="1" applyFill="1" applyBorder="1" applyAlignment="1">
      <alignment vertical="top"/>
    </xf>
    <xf numFmtId="0" fontId="4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 applyProtection="1">
      <alignment horizontal="center" vertical="center"/>
      <protection locked="0"/>
    </xf>
    <xf numFmtId="3" fontId="5" fillId="8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top"/>
    </xf>
    <xf numFmtId="0" fontId="2" fillId="0" borderId="0" xfId="0" applyFont="1" applyAlignment="1">
      <alignment horizontal="center"/>
    </xf>
  </cellXfs>
  <cellStyles count="3">
    <cellStyle name="Currency 2" xfId="2" xr:uid="{2C29BECA-10C1-4196-9F11-3BE703601B3D}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353A-4576-4F56-9242-4FBF51542233}">
  <sheetPr>
    <pageSetUpPr fitToPage="1"/>
  </sheetPr>
  <dimension ref="A4:Q16"/>
  <sheetViews>
    <sheetView tabSelected="1" topLeftCell="B1" workbookViewId="0">
      <selection activeCell="D23" sqref="D23"/>
    </sheetView>
  </sheetViews>
  <sheetFormatPr baseColWidth="10" defaultRowHeight="15" x14ac:dyDescent="0.2"/>
  <cols>
    <col min="1" max="1" width="0" hidden="1" customWidth="1"/>
    <col min="3" max="4" width="38.33203125" customWidth="1"/>
    <col min="5" max="5" width="14.33203125" customWidth="1"/>
    <col min="6" max="7" width="11.5" customWidth="1"/>
  </cols>
  <sheetData>
    <row r="4" spans="1:17" x14ac:dyDescent="0.2">
      <c r="A4" s="66" t="s">
        <v>0</v>
      </c>
      <c r="B4" s="66"/>
      <c r="C4" s="66"/>
      <c r="D4" s="1"/>
      <c r="E4" s="1"/>
    </row>
    <row r="5" spans="1:17" ht="48" x14ac:dyDescent="0.2">
      <c r="C5" s="8" t="s">
        <v>11</v>
      </c>
      <c r="D5" s="1" t="s">
        <v>53</v>
      </c>
      <c r="E5" s="15" t="s">
        <v>24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2" t="s">
        <v>22</v>
      </c>
      <c r="Q5" s="2" t="s">
        <v>23</v>
      </c>
    </row>
    <row r="6" spans="1:17" x14ac:dyDescent="0.2">
      <c r="A6" s="20" t="s">
        <v>1</v>
      </c>
      <c r="B6" s="20"/>
      <c r="C6" s="4" t="s">
        <v>2</v>
      </c>
      <c r="D6" s="4" t="s">
        <v>55</v>
      </c>
      <c r="E6" s="19">
        <v>614.77</v>
      </c>
      <c r="F6" s="16"/>
      <c r="G6" s="12">
        <v>20</v>
      </c>
      <c r="H6" s="9"/>
      <c r="I6" s="62">
        <v>0</v>
      </c>
      <c r="J6" s="62">
        <v>0</v>
      </c>
      <c r="K6" s="63">
        <v>0</v>
      </c>
      <c r="L6" s="63">
        <v>0</v>
      </c>
      <c r="M6" s="63">
        <v>0</v>
      </c>
      <c r="N6" s="63">
        <v>0</v>
      </c>
      <c r="O6" s="63">
        <v>0</v>
      </c>
      <c r="P6" s="63">
        <v>20</v>
      </c>
      <c r="Q6" s="63">
        <v>20</v>
      </c>
    </row>
    <row r="7" spans="1:17" x14ac:dyDescent="0.2">
      <c r="A7" s="20" t="s">
        <v>1</v>
      </c>
      <c r="B7" s="20"/>
      <c r="C7" s="4" t="s">
        <v>25</v>
      </c>
      <c r="D7" s="4" t="s">
        <v>56</v>
      </c>
      <c r="E7" s="19">
        <v>395.7</v>
      </c>
      <c r="F7" s="17">
        <v>0</v>
      </c>
      <c r="G7" s="13">
        <v>100</v>
      </c>
      <c r="H7" s="10">
        <v>100</v>
      </c>
      <c r="I7" s="62">
        <v>140</v>
      </c>
      <c r="J7" s="62">
        <v>0</v>
      </c>
      <c r="K7" s="63">
        <v>0</v>
      </c>
      <c r="L7" s="63">
        <v>0</v>
      </c>
      <c r="M7" s="63">
        <v>120</v>
      </c>
      <c r="N7" s="63">
        <v>160</v>
      </c>
      <c r="O7" s="63">
        <v>240</v>
      </c>
      <c r="P7" s="63">
        <v>240</v>
      </c>
      <c r="Q7" s="63">
        <v>240</v>
      </c>
    </row>
    <row r="8" spans="1:17" x14ac:dyDescent="0.2">
      <c r="A8" s="20" t="s">
        <v>1</v>
      </c>
      <c r="B8" s="20"/>
      <c r="C8" s="4" t="s">
        <v>3</v>
      </c>
      <c r="D8" s="4" t="s">
        <v>57</v>
      </c>
      <c r="E8" s="19">
        <v>64.13</v>
      </c>
      <c r="F8" s="17"/>
      <c r="G8" s="13"/>
      <c r="H8" s="10">
        <v>20</v>
      </c>
      <c r="I8" s="62">
        <v>0</v>
      </c>
      <c r="J8" s="62">
        <v>0</v>
      </c>
      <c r="K8" s="63">
        <v>0</v>
      </c>
      <c r="L8" s="63">
        <v>0</v>
      </c>
      <c r="M8" s="63">
        <v>0</v>
      </c>
      <c r="N8" s="63">
        <v>20</v>
      </c>
      <c r="O8" s="63">
        <v>0</v>
      </c>
      <c r="P8" s="63">
        <v>20</v>
      </c>
      <c r="Q8" s="63">
        <v>20</v>
      </c>
    </row>
    <row r="9" spans="1:17" x14ac:dyDescent="0.2">
      <c r="A9" s="20" t="s">
        <v>1</v>
      </c>
      <c r="B9" s="20"/>
      <c r="C9" s="4" t="s">
        <v>4</v>
      </c>
      <c r="D9" s="4" t="s">
        <v>58</v>
      </c>
      <c r="E9" s="19">
        <v>160</v>
      </c>
      <c r="F9" s="17">
        <v>0</v>
      </c>
      <c r="G9" s="13">
        <v>40</v>
      </c>
      <c r="H9" s="10">
        <v>40</v>
      </c>
      <c r="I9" s="62">
        <v>40</v>
      </c>
      <c r="J9" s="62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100</v>
      </c>
    </row>
    <row r="10" spans="1:17" x14ac:dyDescent="0.2">
      <c r="A10" s="20" t="s">
        <v>1</v>
      </c>
      <c r="B10" s="20"/>
      <c r="C10" s="4" t="s">
        <v>5</v>
      </c>
      <c r="D10" s="4" t="s">
        <v>59</v>
      </c>
      <c r="E10" s="19">
        <v>136.58000000000001</v>
      </c>
      <c r="F10" s="17">
        <v>260</v>
      </c>
      <c r="G10" s="13"/>
      <c r="H10" s="10"/>
      <c r="I10" s="62">
        <v>380</v>
      </c>
      <c r="J10" s="62">
        <v>0</v>
      </c>
      <c r="K10" s="63">
        <v>0</v>
      </c>
      <c r="L10" s="63">
        <v>0</v>
      </c>
      <c r="M10" s="63">
        <v>180</v>
      </c>
      <c r="N10" s="63">
        <v>180</v>
      </c>
      <c r="O10" s="63">
        <v>0</v>
      </c>
      <c r="P10" s="63">
        <v>180</v>
      </c>
      <c r="Q10" s="63">
        <v>180</v>
      </c>
    </row>
    <row r="11" spans="1:17" x14ac:dyDescent="0.2">
      <c r="A11" s="20" t="s">
        <v>1</v>
      </c>
      <c r="B11" s="20"/>
      <c r="C11" s="4" t="s">
        <v>6</v>
      </c>
      <c r="D11" s="4" t="s">
        <v>60</v>
      </c>
      <c r="E11" s="19">
        <v>100</v>
      </c>
      <c r="F11" s="17"/>
      <c r="G11" s="13"/>
      <c r="H11" s="10">
        <v>20</v>
      </c>
      <c r="I11" s="62">
        <v>0</v>
      </c>
      <c r="J11" s="62">
        <v>0</v>
      </c>
      <c r="K11" s="63">
        <v>0</v>
      </c>
      <c r="L11" s="63">
        <v>0</v>
      </c>
      <c r="M11" s="63">
        <v>0</v>
      </c>
      <c r="N11" s="63">
        <v>0</v>
      </c>
      <c r="O11" s="63">
        <v>20</v>
      </c>
      <c r="P11" s="63">
        <v>20</v>
      </c>
      <c r="Q11" s="63">
        <v>20</v>
      </c>
    </row>
    <row r="12" spans="1:17" x14ac:dyDescent="0.2">
      <c r="A12" s="20" t="s">
        <v>1</v>
      </c>
      <c r="B12" s="20"/>
      <c r="C12" s="60" t="s">
        <v>7</v>
      </c>
      <c r="D12" s="60" t="s">
        <v>61</v>
      </c>
      <c r="E12" s="61">
        <v>160</v>
      </c>
      <c r="F12" s="17"/>
      <c r="G12" s="13">
        <v>20</v>
      </c>
      <c r="H12" s="10"/>
      <c r="I12" s="62">
        <v>20</v>
      </c>
      <c r="J12" s="62">
        <v>0</v>
      </c>
      <c r="K12" s="63">
        <v>0</v>
      </c>
      <c r="L12" s="63">
        <v>0</v>
      </c>
      <c r="M12" s="63">
        <v>0</v>
      </c>
      <c r="N12" s="63">
        <v>20</v>
      </c>
      <c r="O12" s="63">
        <v>20</v>
      </c>
      <c r="P12" s="63">
        <v>20</v>
      </c>
      <c r="Q12" s="63">
        <v>20</v>
      </c>
    </row>
    <row r="13" spans="1:17" x14ac:dyDescent="0.2">
      <c r="A13" s="20" t="s">
        <v>1</v>
      </c>
      <c r="B13" s="20"/>
      <c r="C13" s="4" t="s">
        <v>8</v>
      </c>
      <c r="D13" s="4" t="s">
        <v>62</v>
      </c>
      <c r="E13" s="19">
        <v>79.75</v>
      </c>
      <c r="F13" s="17">
        <v>0</v>
      </c>
      <c r="G13" s="13"/>
      <c r="H13" s="10">
        <v>20</v>
      </c>
      <c r="I13" s="62">
        <v>0</v>
      </c>
      <c r="J13" s="62">
        <v>0</v>
      </c>
      <c r="K13" s="63">
        <v>0</v>
      </c>
      <c r="L13" s="63">
        <v>0</v>
      </c>
      <c r="M13" s="63">
        <v>0</v>
      </c>
      <c r="N13" s="63">
        <v>0</v>
      </c>
      <c r="O13" s="63">
        <v>20</v>
      </c>
      <c r="P13" s="63">
        <v>20</v>
      </c>
      <c r="Q13" s="63">
        <v>20</v>
      </c>
    </row>
    <row r="14" spans="1:17" x14ac:dyDescent="0.2">
      <c r="A14" s="20" t="s">
        <v>1</v>
      </c>
      <c r="B14" s="20"/>
      <c r="C14" s="4" t="s">
        <v>9</v>
      </c>
      <c r="D14" s="4" t="s">
        <v>63</v>
      </c>
      <c r="E14" s="19">
        <v>57.02</v>
      </c>
      <c r="F14" s="17">
        <v>0</v>
      </c>
      <c r="G14" s="13">
        <v>20</v>
      </c>
      <c r="H14" s="10">
        <v>20</v>
      </c>
      <c r="I14" s="62">
        <v>20</v>
      </c>
      <c r="J14" s="62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20</v>
      </c>
      <c r="Q14" s="63">
        <v>40</v>
      </c>
    </row>
    <row r="15" spans="1:17" ht="16" thickBot="1" x14ac:dyDescent="0.25">
      <c r="A15" s="20" t="s">
        <v>1</v>
      </c>
      <c r="B15" s="20"/>
      <c r="C15" s="4" t="s">
        <v>10</v>
      </c>
      <c r="D15" s="4" t="s">
        <v>64</v>
      </c>
      <c r="E15" s="19">
        <v>229.6</v>
      </c>
      <c r="F15" s="18">
        <v>0</v>
      </c>
      <c r="G15" s="14"/>
      <c r="H15" s="11">
        <v>20</v>
      </c>
      <c r="I15" s="62">
        <v>0</v>
      </c>
      <c r="J15" s="62"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20</v>
      </c>
      <c r="Q15" s="63">
        <v>60</v>
      </c>
    </row>
    <row r="16" spans="1:17" ht="16" thickBot="1" x14ac:dyDescent="0.25">
      <c r="F16" s="5">
        <f>SUM(F6:F15)</f>
        <v>260</v>
      </c>
      <c r="G16" s="5">
        <f>SUM(G6:G15)</f>
        <v>200</v>
      </c>
      <c r="H16" s="6">
        <f>SUM(H6:H15)</f>
        <v>240</v>
      </c>
      <c r="I16" s="7">
        <f>SUM(I6:I14)</f>
        <v>600</v>
      </c>
      <c r="J16" s="7">
        <f t="shared" ref="J16:Q16" si="0">SUM(J6:J14)</f>
        <v>0</v>
      </c>
      <c r="K16" s="7">
        <f t="shared" si="0"/>
        <v>0</v>
      </c>
      <c r="L16" s="7">
        <f t="shared" si="0"/>
        <v>0</v>
      </c>
      <c r="M16" s="7">
        <f t="shared" si="0"/>
        <v>300</v>
      </c>
      <c r="N16" s="7">
        <f t="shared" si="0"/>
        <v>380</v>
      </c>
      <c r="O16" s="7">
        <f t="shared" si="0"/>
        <v>300</v>
      </c>
      <c r="P16" s="7">
        <f t="shared" si="0"/>
        <v>540</v>
      </c>
      <c r="Q16" s="7">
        <f t="shared" si="0"/>
        <v>660</v>
      </c>
    </row>
  </sheetData>
  <mergeCells count="1">
    <mergeCell ref="A4:C4"/>
  </mergeCells>
  <pageMargins left="0.25" right="0.25" top="0.75" bottom="0.75" header="0.3" footer="0.3"/>
  <pageSetup scale="81" orientation="landscape" horizontalDpi="4294967295" verticalDpi="4294967295" r:id="rId1"/>
  <ignoredErrors>
    <ignoredError sqref="I1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208F-7A11-4181-8C60-DD419920E316}">
  <sheetPr>
    <pageSetUpPr fitToPage="1"/>
  </sheetPr>
  <dimension ref="B4:R15"/>
  <sheetViews>
    <sheetView workbookViewId="0">
      <selection sqref="A1:A1048576"/>
    </sheetView>
  </sheetViews>
  <sheetFormatPr baseColWidth="10" defaultRowHeight="15" x14ac:dyDescent="0.2"/>
  <cols>
    <col min="2" max="2" width="10.1640625" customWidth="1"/>
    <col min="3" max="4" width="11.5" customWidth="1"/>
    <col min="5" max="5" width="36.5" customWidth="1"/>
    <col min="6" max="6" width="10.5" hidden="1" customWidth="1"/>
    <col min="7" max="8" width="0" hidden="1" customWidth="1"/>
  </cols>
  <sheetData>
    <row r="4" spans="2:18" x14ac:dyDescent="0.2">
      <c r="B4" s="21" t="s">
        <v>26</v>
      </c>
      <c r="C4" s="22"/>
      <c r="D4" s="22"/>
      <c r="E4" s="22"/>
      <c r="F4" s="22"/>
      <c r="G4" s="23" t="s">
        <v>27</v>
      </c>
      <c r="H4" s="24" t="s">
        <v>28</v>
      </c>
      <c r="I4" s="24" t="s">
        <v>29</v>
      </c>
      <c r="J4" s="24" t="s">
        <v>29</v>
      </c>
      <c r="K4" s="22"/>
      <c r="L4" s="22"/>
      <c r="M4" s="22"/>
      <c r="N4" s="22"/>
      <c r="O4" s="22"/>
      <c r="P4" s="22"/>
      <c r="Q4" s="22"/>
      <c r="R4" s="22"/>
    </row>
    <row r="5" spans="2:18" ht="16" thickBot="1" x14ac:dyDescent="0.25">
      <c r="B5" s="21"/>
      <c r="C5" s="22"/>
      <c r="D5" s="22"/>
      <c r="E5" s="22"/>
      <c r="F5" s="22"/>
      <c r="G5" s="25">
        <v>2026</v>
      </c>
      <c r="H5" s="26">
        <v>2026</v>
      </c>
      <c r="I5" s="26">
        <v>2026</v>
      </c>
      <c r="J5" s="26">
        <v>2026</v>
      </c>
      <c r="K5" s="27">
        <v>2026</v>
      </c>
      <c r="L5" s="27">
        <v>2026</v>
      </c>
      <c r="M5" s="27">
        <v>2026</v>
      </c>
      <c r="N5" s="27">
        <v>2026</v>
      </c>
      <c r="O5" s="27">
        <v>2026</v>
      </c>
      <c r="P5" s="27">
        <v>2026</v>
      </c>
      <c r="Q5" s="27">
        <v>2026</v>
      </c>
      <c r="R5" s="27">
        <v>2026</v>
      </c>
    </row>
    <row r="6" spans="2:18" ht="40.5" customHeight="1" x14ac:dyDescent="0.2">
      <c r="B6" s="28"/>
      <c r="C6" s="28" t="s">
        <v>30</v>
      </c>
      <c r="D6" s="65" t="s">
        <v>54</v>
      </c>
      <c r="E6" s="29" t="s">
        <v>11</v>
      </c>
      <c r="F6" s="46" t="s">
        <v>31</v>
      </c>
      <c r="G6" s="30" t="s">
        <v>32</v>
      </c>
      <c r="H6" s="30" t="s">
        <v>33</v>
      </c>
      <c r="I6" s="30" t="s">
        <v>34</v>
      </c>
      <c r="J6" s="31" t="s">
        <v>35</v>
      </c>
      <c r="K6" s="31" t="s">
        <v>36</v>
      </c>
      <c r="L6" s="31" t="s">
        <v>37</v>
      </c>
      <c r="M6" s="31" t="s">
        <v>38</v>
      </c>
      <c r="N6" s="31" t="s">
        <v>39</v>
      </c>
      <c r="O6" s="31" t="s">
        <v>40</v>
      </c>
      <c r="P6" s="31" t="s">
        <v>41</v>
      </c>
      <c r="Q6" s="31" t="s">
        <v>42</v>
      </c>
      <c r="R6" s="64" t="s">
        <v>43</v>
      </c>
    </row>
    <row r="7" spans="2:18" x14ac:dyDescent="0.2">
      <c r="B7" s="28" t="s">
        <v>44</v>
      </c>
      <c r="C7" s="3" t="s">
        <v>1</v>
      </c>
      <c r="D7" s="3" t="s">
        <v>65</v>
      </c>
      <c r="E7" s="32" t="s">
        <v>45</v>
      </c>
      <c r="F7" s="33">
        <v>22.91</v>
      </c>
      <c r="G7" s="50">
        <v>198</v>
      </c>
      <c r="H7" s="51"/>
      <c r="I7" s="56"/>
      <c r="J7" s="52">
        <v>0</v>
      </c>
      <c r="K7" s="51"/>
      <c r="L7" s="51"/>
      <c r="M7" s="51"/>
      <c r="N7" s="52"/>
      <c r="O7" s="52">
        <v>0</v>
      </c>
      <c r="P7" s="52"/>
      <c r="Q7" s="52"/>
      <c r="R7" s="52"/>
    </row>
    <row r="8" spans="2:18" x14ac:dyDescent="0.2">
      <c r="B8" s="28" t="s">
        <v>44</v>
      </c>
      <c r="C8" s="3" t="s">
        <v>1</v>
      </c>
      <c r="D8" s="3" t="s">
        <v>66</v>
      </c>
      <c r="E8" s="32" t="s">
        <v>46</v>
      </c>
      <c r="F8" s="33">
        <v>25.33</v>
      </c>
      <c r="G8" s="34"/>
      <c r="H8" s="35"/>
      <c r="I8" s="57"/>
      <c r="J8" s="47">
        <v>720</v>
      </c>
      <c r="K8" s="36"/>
      <c r="L8" s="53"/>
      <c r="M8" s="54"/>
      <c r="N8" s="55"/>
      <c r="O8" s="55">
        <v>720</v>
      </c>
      <c r="P8" s="55"/>
      <c r="Q8" s="55"/>
      <c r="R8" s="55"/>
    </row>
    <row r="9" spans="2:18" x14ac:dyDescent="0.2">
      <c r="B9" s="28" t="s">
        <v>44</v>
      </c>
      <c r="C9" s="3" t="s">
        <v>1</v>
      </c>
      <c r="D9" s="3" t="s">
        <v>67</v>
      </c>
      <c r="E9" s="32" t="s">
        <v>47</v>
      </c>
      <c r="F9" s="33">
        <v>22.91</v>
      </c>
      <c r="G9" s="37">
        <v>144</v>
      </c>
      <c r="H9" s="35"/>
      <c r="I9" s="57"/>
      <c r="J9" s="47">
        <v>900</v>
      </c>
      <c r="K9" s="36"/>
      <c r="L9" s="53"/>
      <c r="M9" s="54"/>
      <c r="N9" s="55"/>
      <c r="O9" s="55">
        <v>500</v>
      </c>
      <c r="P9" s="55"/>
      <c r="Q9" s="55">
        <v>400</v>
      </c>
      <c r="R9" s="55"/>
    </row>
    <row r="10" spans="2:18" x14ac:dyDescent="0.2">
      <c r="B10" s="28" t="s">
        <v>44</v>
      </c>
      <c r="C10" s="3" t="s">
        <v>1</v>
      </c>
      <c r="D10" s="3" t="s">
        <v>68</v>
      </c>
      <c r="E10" s="32" t="s">
        <v>48</v>
      </c>
      <c r="F10" s="33">
        <v>20.38</v>
      </c>
      <c r="G10" s="34"/>
      <c r="H10" s="35"/>
      <c r="I10" s="58"/>
      <c r="J10" s="48">
        <v>1692</v>
      </c>
      <c r="K10" s="36"/>
      <c r="M10" s="54"/>
      <c r="N10" s="49"/>
      <c r="O10" s="55">
        <v>800</v>
      </c>
      <c r="P10" s="55"/>
      <c r="Q10" s="55"/>
      <c r="R10" s="55">
        <v>900</v>
      </c>
    </row>
    <row r="11" spans="2:18" x14ac:dyDescent="0.2">
      <c r="B11" s="28" t="s">
        <v>44</v>
      </c>
      <c r="C11" s="3" t="s">
        <v>1</v>
      </c>
      <c r="D11" s="3" t="s">
        <v>69</v>
      </c>
      <c r="E11" s="32" t="s">
        <v>49</v>
      </c>
      <c r="F11" s="33">
        <v>19.7</v>
      </c>
      <c r="G11" s="34"/>
      <c r="H11" s="35"/>
      <c r="I11" s="57"/>
      <c r="J11" s="47">
        <v>960</v>
      </c>
      <c r="K11" s="36"/>
      <c r="L11" s="53"/>
      <c r="M11" s="54"/>
      <c r="N11" s="55"/>
      <c r="O11" s="55">
        <v>500</v>
      </c>
      <c r="P11" s="55"/>
      <c r="Q11" s="55"/>
      <c r="R11" s="55"/>
    </row>
    <row r="12" spans="2:18" x14ac:dyDescent="0.2">
      <c r="B12" s="28" t="s">
        <v>44</v>
      </c>
      <c r="C12" s="3" t="s">
        <v>1</v>
      </c>
      <c r="D12" s="3" t="s">
        <v>70</v>
      </c>
      <c r="E12" s="32" t="s">
        <v>50</v>
      </c>
      <c r="F12" s="33">
        <v>15.92</v>
      </c>
      <c r="G12" s="34"/>
      <c r="H12" s="35"/>
      <c r="I12" s="57"/>
      <c r="J12" s="47">
        <v>720</v>
      </c>
      <c r="K12" s="36"/>
      <c r="L12" s="54"/>
      <c r="M12" s="54"/>
      <c r="N12" s="55"/>
      <c r="O12" s="55">
        <v>810</v>
      </c>
      <c r="P12" s="55"/>
      <c r="Q12" s="55"/>
      <c r="R12" s="55"/>
    </row>
    <row r="13" spans="2:18" x14ac:dyDescent="0.2">
      <c r="B13" s="28" t="s">
        <v>44</v>
      </c>
      <c r="C13" s="3" t="s">
        <v>1</v>
      </c>
      <c r="D13" s="3" t="s">
        <v>71</v>
      </c>
      <c r="E13" s="32" t="s">
        <v>51</v>
      </c>
      <c r="F13" s="33">
        <v>29.66</v>
      </c>
      <c r="G13" s="34"/>
      <c r="H13" s="35"/>
      <c r="I13" s="59">
        <v>100</v>
      </c>
      <c r="J13" s="47"/>
      <c r="K13" s="36"/>
      <c r="L13" s="54"/>
      <c r="M13" s="54"/>
      <c r="N13" s="55"/>
      <c r="O13" s="55">
        <v>0</v>
      </c>
      <c r="P13" s="55">
        <v>0</v>
      </c>
      <c r="Q13" s="55">
        <v>200</v>
      </c>
      <c r="R13" s="55">
        <v>200</v>
      </c>
    </row>
    <row r="14" spans="2:18" ht="16" x14ac:dyDescent="0.2">
      <c r="B14" s="22"/>
      <c r="C14" s="22"/>
      <c r="D14" s="22"/>
      <c r="E14" s="38"/>
      <c r="F14" s="39" t="s">
        <v>52</v>
      </c>
      <c r="G14" s="40">
        <f>SUM(G7:G13)</f>
        <v>342</v>
      </c>
      <c r="H14" s="41">
        <v>0</v>
      </c>
      <c r="I14" s="41">
        <v>1900</v>
      </c>
      <c r="J14" s="41">
        <v>4104</v>
      </c>
      <c r="K14" s="41">
        <v>0</v>
      </c>
      <c r="L14" s="41">
        <v>1936</v>
      </c>
      <c r="M14" s="41">
        <v>0</v>
      </c>
      <c r="N14" s="41">
        <v>100</v>
      </c>
      <c r="O14" s="41">
        <v>1324</v>
      </c>
      <c r="P14" s="41">
        <v>0</v>
      </c>
      <c r="Q14" s="41">
        <v>100</v>
      </c>
      <c r="R14" s="41">
        <v>0</v>
      </c>
    </row>
    <row r="15" spans="2:18" x14ac:dyDescent="0.2">
      <c r="B15" s="22"/>
      <c r="C15" s="22"/>
      <c r="D15" s="22"/>
      <c r="E15" s="38"/>
      <c r="F15" s="42"/>
      <c r="G15" s="43"/>
      <c r="H15" s="43"/>
      <c r="I15" s="43"/>
      <c r="J15" s="43"/>
      <c r="K15" s="44"/>
      <c r="L15" s="45"/>
      <c r="M15" s="45"/>
      <c r="N15" s="45"/>
      <c r="O15" s="45"/>
      <c r="P15" s="45"/>
      <c r="Q15" s="45"/>
      <c r="R15" s="45"/>
    </row>
  </sheetData>
  <pageMargins left="0.25" right="0.25" top="0.75" bottom="0.75" header="0.3" footer="0.3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DP BAKING mzo26 </vt:lpstr>
      <vt:lpstr>DP JUICE mzo26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Rodriguez</dc:creator>
  <cp:lastModifiedBy>Oscar Farias</cp:lastModifiedBy>
  <cp:lastPrinted>2026-03-05T16:58:55Z</cp:lastPrinted>
  <dcterms:created xsi:type="dcterms:W3CDTF">2026-03-03T17:55:39Z</dcterms:created>
  <dcterms:modified xsi:type="dcterms:W3CDTF">2026-07-01T20:47:57Z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