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drawings/drawing3.xml" ContentType="application/vnd.openxmlformats-officedocument.drawing+xml"/>
  <Override PartName="/xl/customProperty5.bin" ContentType="application/vnd.openxmlformats-officedocument.spreadsheetml.customProperty"/>
  <Override PartName="/xl/drawings/drawing4.xml" ContentType="application/vnd.openxmlformats-officedocument.drawing+xml"/>
  <Override PartName="/xl/customProperty6.bin" ContentType="application/vnd.openxmlformats-officedocument.spreadsheetml.customProperty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ustomProperty7.bin" ContentType="application/vnd.openxmlformats-officedocument.spreadsheetml.customProperty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Volumes/SNV2-2TB-Mini/Proyecto Biotecsa OneCore antes de Git/"/>
    </mc:Choice>
  </mc:AlternateContent>
  <xr:revisionPtr revIDLastSave="0" documentId="13_ncr:1_{E17500AC-E365-494C-A5B3-6C6A6CD7F0E9}" xr6:coauthVersionLast="47" xr6:coauthVersionMax="47" xr10:uidLastSave="{00000000-0000-0000-0000-000000000000}"/>
  <bookViews>
    <workbookView xWindow="35640" yWindow="3320" windowWidth="44360" windowHeight="20880" activeTab="1" xr2:uid="{122AEE56-0B8B-4D09-8CDD-B5ADCEA00ECF}"/>
  </bookViews>
  <sheets>
    <sheet name="DP3.Brewing Feb Ap ORIG" sheetId="15" r:id="rId1"/>
    <sheet name="DP3.Brewing Mar-May" sheetId="13" r:id="rId2"/>
    <sheet name="DP2.Brewing Jan Mar" sheetId="12" state="hidden" r:id="rId3"/>
    <sheet name="BDGT 2026 Orig- Oficial Jan 23" sheetId="10" state="hidden" r:id="rId4"/>
    <sheet name="BDGT SAP Jan 2026" sheetId="14" state="hidden" r:id="rId5"/>
    <sheet name="ReYTD Jun + DP Brew Jul_ Dec" sheetId="2" state="hidden" r:id="rId6"/>
    <sheet name="Opps SF Brewing" sheetId="3" state="hidden" r:id="rId7"/>
  </sheets>
  <definedNames>
    <definedName name="_xlnm._FilterDatabase" localSheetId="3" hidden="1">'BDGT 2026 Orig- Oficial Jan 23'!$A$6:$U$28</definedName>
    <definedName name="_xlnm._FilterDatabase" localSheetId="5" hidden="1">'ReYTD Jun + DP Brew Jul_ Dec'!$A$6:$AF$29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3" i="15" l="1"/>
  <c r="T103" i="15"/>
  <c r="S103" i="15"/>
  <c r="U102" i="15"/>
  <c r="T102" i="15"/>
  <c r="S102" i="15"/>
  <c r="P101" i="15"/>
  <c r="N101" i="15"/>
  <c r="F101" i="15"/>
  <c r="R100" i="15"/>
  <c r="H100" i="15"/>
  <c r="F100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V99" i="15" s="1"/>
  <c r="W99" i="15" s="1"/>
  <c r="X99" i="15" s="1"/>
  <c r="R98" i="15"/>
  <c r="Q98" i="15"/>
  <c r="P98" i="15"/>
  <c r="O98" i="15"/>
  <c r="N98" i="15"/>
  <c r="M98" i="15"/>
  <c r="L98" i="15"/>
  <c r="K98" i="15"/>
  <c r="J98" i="15"/>
  <c r="I98" i="15"/>
  <c r="H98" i="15"/>
  <c r="G98" i="15"/>
  <c r="V98" i="15" s="1"/>
  <c r="W98" i="15" s="1"/>
  <c r="X98" i="15" s="1"/>
  <c r="R97" i="15"/>
  <c r="Q97" i="15"/>
  <c r="P97" i="15"/>
  <c r="O97" i="15"/>
  <c r="N97" i="15"/>
  <c r="M97" i="15"/>
  <c r="L97" i="15"/>
  <c r="K97" i="15"/>
  <c r="J97" i="15"/>
  <c r="I97" i="15"/>
  <c r="H97" i="15"/>
  <c r="G97" i="15"/>
  <c r="V97" i="15" s="1"/>
  <c r="W97" i="15" s="1"/>
  <c r="X97" i="15" s="1"/>
  <c r="R96" i="15"/>
  <c r="Q96" i="15"/>
  <c r="P96" i="15"/>
  <c r="O96" i="15"/>
  <c r="N96" i="15"/>
  <c r="M96" i="15"/>
  <c r="L96" i="15"/>
  <c r="K96" i="15"/>
  <c r="J96" i="15"/>
  <c r="I96" i="15"/>
  <c r="H96" i="15"/>
  <c r="G96" i="15"/>
  <c r="V96" i="15" s="1"/>
  <c r="W96" i="15" s="1"/>
  <c r="X96" i="15" s="1"/>
  <c r="R95" i="15"/>
  <c r="Q95" i="15"/>
  <c r="P95" i="15"/>
  <c r="O95" i="15"/>
  <c r="N95" i="15"/>
  <c r="M95" i="15"/>
  <c r="L95" i="15"/>
  <c r="K95" i="15"/>
  <c r="J95" i="15"/>
  <c r="I95" i="15"/>
  <c r="H95" i="15"/>
  <c r="G95" i="15"/>
  <c r="V95" i="15" s="1"/>
  <c r="W95" i="15" s="1"/>
  <c r="X95" i="15" s="1"/>
  <c r="R94" i="15"/>
  <c r="Q94" i="15"/>
  <c r="P94" i="15"/>
  <c r="O94" i="15"/>
  <c r="N94" i="15"/>
  <c r="M94" i="15"/>
  <c r="L94" i="15"/>
  <c r="K94" i="15"/>
  <c r="J94" i="15"/>
  <c r="I94" i="15"/>
  <c r="H94" i="15"/>
  <c r="G94" i="15"/>
  <c r="V94" i="15" s="1"/>
  <c r="W94" i="15" s="1"/>
  <c r="X94" i="15" s="1"/>
  <c r="R93" i="15"/>
  <c r="Q93" i="15"/>
  <c r="P93" i="15"/>
  <c r="O93" i="15"/>
  <c r="N93" i="15"/>
  <c r="M93" i="15"/>
  <c r="L93" i="15"/>
  <c r="K93" i="15"/>
  <c r="J93" i="15"/>
  <c r="I93" i="15"/>
  <c r="H93" i="15"/>
  <c r="G93" i="15"/>
  <c r="U88" i="15"/>
  <c r="U104" i="15" s="1"/>
  <c r="T88" i="15"/>
  <c r="T104" i="15" s="1"/>
  <c r="S88" i="15"/>
  <c r="S104" i="15" s="1"/>
  <c r="R87" i="15"/>
  <c r="Q87" i="15"/>
  <c r="P87" i="15"/>
  <c r="O87" i="15"/>
  <c r="N87" i="15"/>
  <c r="M87" i="15"/>
  <c r="L87" i="15"/>
  <c r="K87" i="15"/>
  <c r="J87" i="15"/>
  <c r="I87" i="15"/>
  <c r="H87" i="15"/>
  <c r="G87" i="15"/>
  <c r="V87" i="15" s="1"/>
  <c r="R86" i="15"/>
  <c r="Q86" i="15"/>
  <c r="P86" i="15"/>
  <c r="O86" i="15"/>
  <c r="N86" i="15"/>
  <c r="M86" i="15"/>
  <c r="L86" i="15"/>
  <c r="K86" i="15"/>
  <c r="J86" i="15"/>
  <c r="I86" i="15"/>
  <c r="H86" i="15"/>
  <c r="G86" i="15"/>
  <c r="V86" i="15" s="1"/>
  <c r="R85" i="15"/>
  <c r="Q85" i="15"/>
  <c r="P85" i="15"/>
  <c r="O85" i="15"/>
  <c r="N85" i="15"/>
  <c r="M85" i="15"/>
  <c r="L85" i="15"/>
  <c r="K85" i="15"/>
  <c r="J85" i="15"/>
  <c r="I85" i="15"/>
  <c r="H85" i="15"/>
  <c r="G85" i="15"/>
  <c r="V85" i="15" s="1"/>
  <c r="R84" i="15"/>
  <c r="Q84" i="15"/>
  <c r="P84" i="15"/>
  <c r="O84" i="15"/>
  <c r="N84" i="15"/>
  <c r="M84" i="15"/>
  <c r="L84" i="15"/>
  <c r="K84" i="15"/>
  <c r="J84" i="15"/>
  <c r="I84" i="15"/>
  <c r="H84" i="15"/>
  <c r="G84" i="15"/>
  <c r="V84" i="15" s="1"/>
  <c r="R83" i="15"/>
  <c r="Q83" i="15"/>
  <c r="P83" i="15"/>
  <c r="O83" i="15"/>
  <c r="N83" i="15"/>
  <c r="M83" i="15"/>
  <c r="L83" i="15"/>
  <c r="K83" i="15"/>
  <c r="J83" i="15"/>
  <c r="I83" i="15"/>
  <c r="H83" i="15"/>
  <c r="G83" i="15"/>
  <c r="V83" i="15" s="1"/>
  <c r="R82" i="15"/>
  <c r="Q82" i="15"/>
  <c r="P82" i="15"/>
  <c r="O82" i="15"/>
  <c r="N82" i="15"/>
  <c r="M82" i="15"/>
  <c r="L82" i="15"/>
  <c r="K82" i="15"/>
  <c r="J82" i="15"/>
  <c r="I82" i="15"/>
  <c r="H82" i="15"/>
  <c r="G82" i="15"/>
  <c r="V82" i="15" s="1"/>
  <c r="R81" i="15"/>
  <c r="Q81" i="15"/>
  <c r="P81" i="15"/>
  <c r="O81" i="15"/>
  <c r="N81" i="15"/>
  <c r="M81" i="15"/>
  <c r="L81" i="15"/>
  <c r="K81" i="15"/>
  <c r="J81" i="15"/>
  <c r="I81" i="15"/>
  <c r="H81" i="15"/>
  <c r="G81" i="15"/>
  <c r="V81" i="15" s="1"/>
  <c r="R80" i="15"/>
  <c r="Q80" i="15"/>
  <c r="P80" i="15"/>
  <c r="O80" i="15"/>
  <c r="N80" i="15"/>
  <c r="M80" i="15"/>
  <c r="L80" i="15"/>
  <c r="K80" i="15"/>
  <c r="J80" i="15"/>
  <c r="I80" i="15"/>
  <c r="H80" i="15"/>
  <c r="G80" i="15"/>
  <c r="V80" i="15" s="1"/>
  <c r="R79" i="15"/>
  <c r="Q79" i="15"/>
  <c r="P79" i="15"/>
  <c r="O79" i="15"/>
  <c r="N79" i="15"/>
  <c r="M79" i="15"/>
  <c r="L79" i="15"/>
  <c r="K79" i="15"/>
  <c r="J79" i="15"/>
  <c r="I79" i="15"/>
  <c r="H79" i="15"/>
  <c r="G79" i="15"/>
  <c r="V79" i="15" s="1"/>
  <c r="R78" i="15"/>
  <c r="Q78" i="15"/>
  <c r="P78" i="15"/>
  <c r="O78" i="15"/>
  <c r="N78" i="15"/>
  <c r="M78" i="15"/>
  <c r="L78" i="15"/>
  <c r="K78" i="15"/>
  <c r="J78" i="15"/>
  <c r="I78" i="15"/>
  <c r="H78" i="15"/>
  <c r="G78" i="15"/>
  <c r="V78" i="15" s="1"/>
  <c r="R77" i="15"/>
  <c r="Q77" i="15"/>
  <c r="P77" i="15"/>
  <c r="O77" i="15"/>
  <c r="N77" i="15"/>
  <c r="M77" i="15"/>
  <c r="L77" i="15"/>
  <c r="K77" i="15"/>
  <c r="J77" i="15"/>
  <c r="I77" i="15"/>
  <c r="H77" i="15"/>
  <c r="G77" i="15"/>
  <c r="V77" i="15" s="1"/>
  <c r="R76" i="15"/>
  <c r="Q76" i="15"/>
  <c r="P76" i="15"/>
  <c r="O76" i="15"/>
  <c r="N76" i="15"/>
  <c r="M76" i="15"/>
  <c r="L76" i="15"/>
  <c r="K76" i="15"/>
  <c r="J76" i="15"/>
  <c r="I76" i="15"/>
  <c r="H76" i="15"/>
  <c r="G76" i="15"/>
  <c r="V76" i="15" s="1"/>
  <c r="R75" i="15"/>
  <c r="Q75" i="15"/>
  <c r="P75" i="15"/>
  <c r="O75" i="15"/>
  <c r="N75" i="15"/>
  <c r="M75" i="15"/>
  <c r="L75" i="15"/>
  <c r="K75" i="15"/>
  <c r="J75" i="15"/>
  <c r="I75" i="15"/>
  <c r="H75" i="15"/>
  <c r="G75" i="15"/>
  <c r="V75" i="15" s="1"/>
  <c r="R74" i="15"/>
  <c r="Q74" i="15"/>
  <c r="P74" i="15"/>
  <c r="O74" i="15"/>
  <c r="N74" i="15"/>
  <c r="M74" i="15"/>
  <c r="L74" i="15"/>
  <c r="K74" i="15"/>
  <c r="J74" i="15"/>
  <c r="I74" i="15"/>
  <c r="H74" i="15"/>
  <c r="G74" i="15"/>
  <c r="V74" i="15" s="1"/>
  <c r="R73" i="15"/>
  <c r="Q73" i="15"/>
  <c r="P73" i="15"/>
  <c r="O73" i="15"/>
  <c r="N73" i="15"/>
  <c r="M73" i="15"/>
  <c r="L73" i="15"/>
  <c r="K73" i="15"/>
  <c r="J73" i="15"/>
  <c r="I73" i="15"/>
  <c r="H73" i="15"/>
  <c r="G73" i="15"/>
  <c r="V73" i="15" s="1"/>
  <c r="Q72" i="15"/>
  <c r="O72" i="15"/>
  <c r="F72" i="15"/>
  <c r="J71" i="15"/>
  <c r="H71" i="15"/>
  <c r="F71" i="15"/>
  <c r="O70" i="15"/>
  <c r="M70" i="15"/>
  <c r="F70" i="15"/>
  <c r="R69" i="15"/>
  <c r="H69" i="15"/>
  <c r="F69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V68" i="15" s="1"/>
  <c r="R67" i="15"/>
  <c r="Q67" i="15"/>
  <c r="P67" i="15"/>
  <c r="O67" i="15"/>
  <c r="N67" i="15"/>
  <c r="M67" i="15"/>
  <c r="L67" i="15"/>
  <c r="K67" i="15"/>
  <c r="J67" i="15"/>
  <c r="I67" i="15"/>
  <c r="H67" i="15"/>
  <c r="G67" i="15"/>
  <c r="T65" i="15"/>
  <c r="V62" i="15"/>
  <c r="A61" i="15"/>
  <c r="U54" i="15"/>
  <c r="T54" i="15"/>
  <c r="S54" i="15"/>
  <c r="U53" i="15"/>
  <c r="T53" i="15"/>
  <c r="S53" i="15"/>
  <c r="V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Z51" i="15"/>
  <c r="AB51" i="15" s="1"/>
  <c r="Y51" i="15"/>
  <c r="V51" i="15"/>
  <c r="F51" i="15"/>
  <c r="L101" i="15" s="1"/>
  <c r="Z50" i="15"/>
  <c r="V50" i="15"/>
  <c r="Y50" i="15" s="1"/>
  <c r="F50" i="15"/>
  <c r="P100" i="15" s="1"/>
  <c r="Z49" i="15"/>
  <c r="AB49" i="15" s="1"/>
  <c r="V49" i="15"/>
  <c r="Y49" i="15" s="1"/>
  <c r="AA48" i="15"/>
  <c r="Z48" i="15"/>
  <c r="AB48" i="15" s="1"/>
  <c r="Y48" i="15"/>
  <c r="V48" i="15"/>
  <c r="W48" i="15" s="1"/>
  <c r="X48" i="15" s="1"/>
  <c r="Z47" i="15"/>
  <c r="AB47" i="15" s="1"/>
  <c r="V47" i="15"/>
  <c r="Y47" i="15" s="1"/>
  <c r="AB46" i="15"/>
  <c r="AA46" i="15"/>
  <c r="Z46" i="15"/>
  <c r="Y46" i="15"/>
  <c r="V46" i="15"/>
  <c r="W46" i="15" s="1"/>
  <c r="X46" i="15" s="1"/>
  <c r="Z45" i="15"/>
  <c r="AB45" i="15" s="1"/>
  <c r="V45" i="15"/>
  <c r="Y45" i="15" s="1"/>
  <c r="AB44" i="15"/>
  <c r="AA44" i="15"/>
  <c r="Z44" i="15"/>
  <c r="W44" i="15"/>
  <c r="X44" i="15" s="1"/>
  <c r="V44" i="15"/>
  <c r="Y44" i="15" s="1"/>
  <c r="Z43" i="15"/>
  <c r="Z52" i="15" s="1"/>
  <c r="Y43" i="15"/>
  <c r="X43" i="15"/>
  <c r="W43" i="15"/>
  <c r="V43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S39" i="15" s="1"/>
  <c r="Z37" i="15"/>
  <c r="AA37" i="15" s="1"/>
  <c r="AB37" i="15" s="1"/>
  <c r="V37" i="15"/>
  <c r="Y37" i="15" s="1"/>
  <c r="Z36" i="15"/>
  <c r="AA36" i="15" s="1"/>
  <c r="AB36" i="15" s="1"/>
  <c r="Y36" i="15"/>
  <c r="V36" i="15"/>
  <c r="W36" i="15" s="1"/>
  <c r="X36" i="15" s="1"/>
  <c r="Z35" i="15"/>
  <c r="AA35" i="15" s="1"/>
  <c r="AB35" i="15" s="1"/>
  <c r="W35" i="15"/>
  <c r="X35" i="15" s="1"/>
  <c r="V35" i="15"/>
  <c r="Y35" i="15" s="1"/>
  <c r="AB34" i="15"/>
  <c r="AA34" i="15"/>
  <c r="Z34" i="15"/>
  <c r="V34" i="15"/>
  <c r="Y34" i="15" s="1"/>
  <c r="Z33" i="15"/>
  <c r="AA33" i="15" s="1"/>
  <c r="AB33" i="15" s="1"/>
  <c r="Y33" i="15"/>
  <c r="W33" i="15"/>
  <c r="X33" i="15" s="1"/>
  <c r="V33" i="15"/>
  <c r="Z32" i="15"/>
  <c r="AA32" i="15" s="1"/>
  <c r="AB32" i="15" s="1"/>
  <c r="V32" i="15"/>
  <c r="Y32" i="15" s="1"/>
  <c r="AA31" i="15"/>
  <c r="AB31" i="15" s="1"/>
  <c r="Z31" i="15"/>
  <c r="Y31" i="15"/>
  <c r="X31" i="15"/>
  <c r="W31" i="15"/>
  <c r="V31" i="15"/>
  <c r="Z30" i="15"/>
  <c r="AA30" i="15" s="1"/>
  <c r="AB30" i="15" s="1"/>
  <c r="V30" i="15"/>
  <c r="Y30" i="15" s="1"/>
  <c r="AA29" i="15"/>
  <c r="AB29" i="15" s="1"/>
  <c r="Z29" i="15"/>
  <c r="Y29" i="15"/>
  <c r="W29" i="15"/>
  <c r="X29" i="15" s="1"/>
  <c r="V29" i="15"/>
  <c r="Z28" i="15"/>
  <c r="AA28" i="15" s="1"/>
  <c r="AB28" i="15" s="1"/>
  <c r="V28" i="15"/>
  <c r="Y28" i="15" s="1"/>
  <c r="AA27" i="15"/>
  <c r="AB27" i="15" s="1"/>
  <c r="Z27" i="15"/>
  <c r="Y27" i="15"/>
  <c r="W27" i="15"/>
  <c r="X27" i="15" s="1"/>
  <c r="V27" i="15"/>
  <c r="Z26" i="15"/>
  <c r="AA26" i="15" s="1"/>
  <c r="AB26" i="15" s="1"/>
  <c r="Y26" i="15"/>
  <c r="V26" i="15"/>
  <c r="W26" i="15" s="1"/>
  <c r="X26" i="15" s="1"/>
  <c r="AA25" i="15"/>
  <c r="AB25" i="15" s="1"/>
  <c r="Z25" i="15"/>
  <c r="V25" i="15"/>
  <c r="Y25" i="15" s="1"/>
  <c r="Z24" i="15"/>
  <c r="AA24" i="15" s="1"/>
  <c r="AB24" i="15" s="1"/>
  <c r="Y24" i="15"/>
  <c r="V24" i="15"/>
  <c r="W24" i="15" s="1"/>
  <c r="X24" i="15" s="1"/>
  <c r="AA23" i="15"/>
  <c r="AB23" i="15" s="1"/>
  <c r="Z23" i="15"/>
  <c r="W23" i="15"/>
  <c r="X23" i="15" s="1"/>
  <c r="V23" i="15"/>
  <c r="Y23" i="15" s="1"/>
  <c r="Z22" i="15"/>
  <c r="AA22" i="15" s="1"/>
  <c r="AB22" i="15" s="1"/>
  <c r="V22" i="15"/>
  <c r="Y22" i="15" s="1"/>
  <c r="F22" i="15"/>
  <c r="M72" i="15" s="1"/>
  <c r="Z21" i="15"/>
  <c r="AA21" i="15" s="1"/>
  <c r="AB21" i="15" s="1"/>
  <c r="Y21" i="15"/>
  <c r="V21" i="15"/>
  <c r="W21" i="15" s="1"/>
  <c r="X21" i="15" s="1"/>
  <c r="F21" i="15"/>
  <c r="R71" i="15" s="1"/>
  <c r="Z20" i="15"/>
  <c r="V20" i="15"/>
  <c r="Y20" i="15" s="1"/>
  <c r="F20" i="15"/>
  <c r="K70" i="15" s="1"/>
  <c r="Z19" i="15"/>
  <c r="AA19" i="15" s="1"/>
  <c r="AB19" i="15" s="1"/>
  <c r="V19" i="15"/>
  <c r="Y19" i="15" s="1"/>
  <c r="F19" i="15"/>
  <c r="P69" i="15" s="1"/>
  <c r="Z18" i="15"/>
  <c r="Z38" i="15" s="1"/>
  <c r="Y18" i="15"/>
  <c r="V18" i="15"/>
  <c r="W18" i="15" s="1"/>
  <c r="X18" i="15" s="1"/>
  <c r="AA17" i="15"/>
  <c r="AB17" i="15" s="1"/>
  <c r="Z17" i="15"/>
  <c r="V17" i="15"/>
  <c r="V38" i="15" s="1"/>
  <c r="T15" i="15"/>
  <c r="V12" i="15"/>
  <c r="A12" i="15"/>
  <c r="U102" i="13"/>
  <c r="V102" i="13"/>
  <c r="T102" i="13"/>
  <c r="H102" i="15" l="1"/>
  <c r="H53" i="15" s="1"/>
  <c r="J102" i="15"/>
  <c r="J53" i="15" s="1"/>
  <c r="N88" i="15"/>
  <c r="Y52" i="15"/>
  <c r="N102" i="15"/>
  <c r="N53" i="15" s="1"/>
  <c r="R88" i="15"/>
  <c r="O102" i="15"/>
  <c r="O53" i="15" s="1"/>
  <c r="G88" i="15"/>
  <c r="X68" i="15"/>
  <c r="Y68" i="15" s="1"/>
  <c r="W68" i="15"/>
  <c r="X73" i="15"/>
  <c r="Y73" i="15" s="1"/>
  <c r="W73" i="15"/>
  <c r="X74" i="15"/>
  <c r="Y74" i="15" s="1"/>
  <c r="W74" i="15"/>
  <c r="X75" i="15"/>
  <c r="Y75" i="15" s="1"/>
  <c r="W75" i="15"/>
  <c r="X76" i="15"/>
  <c r="Y76" i="15" s="1"/>
  <c r="W76" i="15"/>
  <c r="X77" i="15"/>
  <c r="Y77" i="15" s="1"/>
  <c r="W77" i="15"/>
  <c r="X78" i="15"/>
  <c r="Y78" i="15" s="1"/>
  <c r="W78" i="15"/>
  <c r="X79" i="15"/>
  <c r="Y79" i="15" s="1"/>
  <c r="W79" i="15"/>
  <c r="X80" i="15"/>
  <c r="Y80" i="15" s="1"/>
  <c r="W80" i="15"/>
  <c r="X81" i="15"/>
  <c r="Y81" i="15" s="1"/>
  <c r="W81" i="15"/>
  <c r="X82" i="15"/>
  <c r="Y82" i="15" s="1"/>
  <c r="W82" i="15"/>
  <c r="X83" i="15"/>
  <c r="Y83" i="15" s="1"/>
  <c r="W83" i="15"/>
  <c r="X84" i="15"/>
  <c r="Y84" i="15" s="1"/>
  <c r="W84" i="15"/>
  <c r="X85" i="15"/>
  <c r="Y85" i="15" s="1"/>
  <c r="W85" i="15"/>
  <c r="X86" i="15"/>
  <c r="Y86" i="15" s="1"/>
  <c r="W86" i="15"/>
  <c r="X87" i="15"/>
  <c r="Y87" i="15" s="1"/>
  <c r="W87" i="15"/>
  <c r="P102" i="15"/>
  <c r="P53" i="15" s="1"/>
  <c r="Z56" i="15"/>
  <c r="Z53" i="15"/>
  <c r="H88" i="15"/>
  <c r="Q102" i="15"/>
  <c r="Q53" i="15" s="1"/>
  <c r="Q69" i="15"/>
  <c r="L70" i="15"/>
  <c r="G71" i="15"/>
  <c r="N72" i="15"/>
  <c r="Q100" i="15"/>
  <c r="M101" i="15"/>
  <c r="W28" i="15"/>
  <c r="X28" i="15" s="1"/>
  <c r="W45" i="15"/>
  <c r="X45" i="15" s="1"/>
  <c r="W50" i="15"/>
  <c r="X50" i="15" s="1"/>
  <c r="AA51" i="15"/>
  <c r="G69" i="15"/>
  <c r="N70" i="15"/>
  <c r="I71" i="15"/>
  <c r="P72" i="15"/>
  <c r="G100" i="15"/>
  <c r="O101" i="15"/>
  <c r="AA18" i="15"/>
  <c r="AB18" i="15" s="1"/>
  <c r="AB38" i="15" s="1"/>
  <c r="W20" i="15"/>
  <c r="X20" i="15" s="1"/>
  <c r="W30" i="15"/>
  <c r="X30" i="15" s="1"/>
  <c r="AA38" i="15"/>
  <c r="AA43" i="15"/>
  <c r="W47" i="15"/>
  <c r="X47" i="15" s="1"/>
  <c r="I69" i="15"/>
  <c r="I88" i="15" s="1"/>
  <c r="P70" i="15"/>
  <c r="K71" i="15"/>
  <c r="R72" i="15"/>
  <c r="V93" i="15"/>
  <c r="I100" i="15"/>
  <c r="Q101" i="15"/>
  <c r="W17" i="15"/>
  <c r="W25" i="15"/>
  <c r="X25" i="15" s="1"/>
  <c r="W37" i="15"/>
  <c r="X37" i="15" s="1"/>
  <c r="AB43" i="15"/>
  <c r="AB52" i="15" s="1"/>
  <c r="G54" i="15"/>
  <c r="V67" i="15"/>
  <c r="J69" i="15"/>
  <c r="J88" i="15" s="1"/>
  <c r="Q70" i="15"/>
  <c r="L71" i="15"/>
  <c r="G72" i="15"/>
  <c r="J100" i="15"/>
  <c r="R101" i="15"/>
  <c r="R102" i="15" s="1"/>
  <c r="R53" i="15" s="1"/>
  <c r="W32" i="15"/>
  <c r="X32" i="15" s="1"/>
  <c r="AA45" i="15"/>
  <c r="W49" i="15"/>
  <c r="X49" i="15" s="1"/>
  <c r="AA50" i="15"/>
  <c r="K69" i="15"/>
  <c r="K88" i="15" s="1"/>
  <c r="R70" i="15"/>
  <c r="M71" i="15"/>
  <c r="H72" i="15"/>
  <c r="K100" i="15"/>
  <c r="K102" i="15" s="1"/>
  <c r="K53" i="15" s="1"/>
  <c r="G101" i="15"/>
  <c r="Y17" i="15"/>
  <c r="Y38" i="15" s="1"/>
  <c r="AB50" i="15"/>
  <c r="L69" i="15"/>
  <c r="L88" i="15" s="1"/>
  <c r="G70" i="15"/>
  <c r="N71" i="15"/>
  <c r="I72" i="15"/>
  <c r="L100" i="15"/>
  <c r="L102" i="15" s="1"/>
  <c r="L53" i="15" s="1"/>
  <c r="H101" i="15"/>
  <c r="W19" i="15"/>
  <c r="X19" i="15" s="1"/>
  <c r="AA20" i="15"/>
  <c r="AB20" i="15" s="1"/>
  <c r="W22" i="15"/>
  <c r="X22" i="15" s="1"/>
  <c r="W34" i="15"/>
  <c r="X34" i="15" s="1"/>
  <c r="AA47" i="15"/>
  <c r="M69" i="15"/>
  <c r="M88" i="15" s="1"/>
  <c r="H70" i="15"/>
  <c r="O71" i="15"/>
  <c r="J72" i="15"/>
  <c r="M100" i="15"/>
  <c r="M102" i="15" s="1"/>
  <c r="M53" i="15" s="1"/>
  <c r="I101" i="15"/>
  <c r="I102" i="15" s="1"/>
  <c r="I53" i="15" s="1"/>
  <c r="N69" i="15"/>
  <c r="I70" i="15"/>
  <c r="P71" i="15"/>
  <c r="P88" i="15" s="1"/>
  <c r="K72" i="15"/>
  <c r="N100" i="15"/>
  <c r="J101" i="15"/>
  <c r="AA49" i="15"/>
  <c r="W51" i="15"/>
  <c r="X51" i="15" s="1"/>
  <c r="O69" i="15"/>
  <c r="O88" i="15" s="1"/>
  <c r="J70" i="15"/>
  <c r="Q71" i="15"/>
  <c r="Q88" i="15" s="1"/>
  <c r="L72" i="15"/>
  <c r="O100" i="15"/>
  <c r="K101" i="15"/>
  <c r="I39" i="15" l="1"/>
  <c r="I106" i="15"/>
  <c r="I107" i="15" s="1"/>
  <c r="P106" i="15"/>
  <c r="P107" i="15" s="1"/>
  <c r="P39" i="15"/>
  <c r="J39" i="15"/>
  <c r="J106" i="15"/>
  <c r="J107" i="15" s="1"/>
  <c r="K39" i="15"/>
  <c r="K106" i="15"/>
  <c r="K107" i="15" s="1"/>
  <c r="Q106" i="15"/>
  <c r="Q107" i="15" s="1"/>
  <c r="Q39" i="15"/>
  <c r="O106" i="15"/>
  <c r="O107" i="15" s="1"/>
  <c r="O39" i="15"/>
  <c r="L39" i="15"/>
  <c r="L106" i="15"/>
  <c r="L107" i="15" s="1"/>
  <c r="M106" i="15"/>
  <c r="M107" i="15" s="1"/>
  <c r="M39" i="15"/>
  <c r="AB53" i="15"/>
  <c r="AB56" i="15"/>
  <c r="W52" i="15"/>
  <c r="X52" i="15" s="1"/>
  <c r="AA52" i="15"/>
  <c r="AA56" i="15" s="1"/>
  <c r="N39" i="15"/>
  <c r="N106" i="15"/>
  <c r="N107" i="15" s="1"/>
  <c r="G39" i="15"/>
  <c r="V70" i="15"/>
  <c r="V71" i="15"/>
  <c r="R106" i="15"/>
  <c r="R107" i="15" s="1"/>
  <c r="R39" i="15"/>
  <c r="X17" i="15"/>
  <c r="W38" i="15"/>
  <c r="W93" i="15"/>
  <c r="X93" i="15" s="1"/>
  <c r="V100" i="15"/>
  <c r="W100" i="15" s="1"/>
  <c r="X100" i="15" s="1"/>
  <c r="H106" i="15"/>
  <c r="H107" i="15" s="1"/>
  <c r="H39" i="15"/>
  <c r="V72" i="15"/>
  <c r="G102" i="15"/>
  <c r="G53" i="15" s="1"/>
  <c r="V101" i="15"/>
  <c r="W101" i="15" s="1"/>
  <c r="X101" i="15" s="1"/>
  <c r="X67" i="15"/>
  <c r="W67" i="15"/>
  <c r="V69" i="15"/>
  <c r="V88" i="15" s="1"/>
  <c r="AA53" i="15" l="1"/>
  <c r="W39" i="15"/>
  <c r="X39" i="15" s="1"/>
  <c r="X38" i="15"/>
  <c r="W69" i="15"/>
  <c r="X69" i="15"/>
  <c r="Y69" i="15" s="1"/>
  <c r="V102" i="15"/>
  <c r="Y67" i="15"/>
  <c r="X71" i="15"/>
  <c r="Y71" i="15" s="1"/>
  <c r="W71" i="15"/>
  <c r="X70" i="15"/>
  <c r="Y70" i="15" s="1"/>
  <c r="W70" i="15"/>
  <c r="X72" i="15"/>
  <c r="Y72" i="15" s="1"/>
  <c r="W72" i="15"/>
  <c r="G55" i="15"/>
  <c r="G56" i="15" s="1"/>
  <c r="T39" i="15"/>
  <c r="U39" i="15" s="1"/>
  <c r="G106" i="15"/>
  <c r="AA44" i="13"/>
  <c r="AC44" i="13" s="1"/>
  <c r="AA45" i="13"/>
  <c r="AB45" i="13" s="1"/>
  <c r="AA46" i="13"/>
  <c r="AB46" i="13" s="1"/>
  <c r="AA47" i="13"/>
  <c r="AB47" i="13" s="1"/>
  <c r="AA48" i="13"/>
  <c r="AB48" i="13" s="1"/>
  <c r="AA49" i="13"/>
  <c r="AB49" i="13" s="1"/>
  <c r="AA50" i="13"/>
  <c r="AA51" i="13"/>
  <c r="AA43" i="13"/>
  <c r="AC43" i="13" s="1"/>
  <c r="AA18" i="13"/>
  <c r="AB18" i="13" s="1"/>
  <c r="AC18" i="13" s="1"/>
  <c r="AA19" i="13"/>
  <c r="AA20" i="13"/>
  <c r="AA21" i="13"/>
  <c r="AA22" i="13"/>
  <c r="AA23" i="13"/>
  <c r="AB23" i="13" s="1"/>
  <c r="AC23" i="13" s="1"/>
  <c r="AA24" i="13"/>
  <c r="AB24" i="13" s="1"/>
  <c r="AC24" i="13" s="1"/>
  <c r="AA25" i="13"/>
  <c r="AB25" i="13" s="1"/>
  <c r="AC25" i="13" s="1"/>
  <c r="AA26" i="13"/>
  <c r="AB26" i="13" s="1"/>
  <c r="AC26" i="13" s="1"/>
  <c r="AA27" i="13"/>
  <c r="AB27" i="13" s="1"/>
  <c r="AC27" i="13" s="1"/>
  <c r="AA28" i="13"/>
  <c r="AB28" i="13" s="1"/>
  <c r="AC28" i="13" s="1"/>
  <c r="AA29" i="13"/>
  <c r="AB29" i="13" s="1"/>
  <c r="AC29" i="13" s="1"/>
  <c r="AA30" i="13"/>
  <c r="AB30" i="13" s="1"/>
  <c r="AC30" i="13" s="1"/>
  <c r="AA31" i="13"/>
  <c r="AB31" i="13" s="1"/>
  <c r="AC31" i="13" s="1"/>
  <c r="AA32" i="13"/>
  <c r="AB32" i="13" s="1"/>
  <c r="AC32" i="13" s="1"/>
  <c r="AA33" i="13"/>
  <c r="AB33" i="13" s="1"/>
  <c r="AC33" i="13" s="1"/>
  <c r="AA34" i="13"/>
  <c r="AB34" i="13" s="1"/>
  <c r="AC34" i="13" s="1"/>
  <c r="AA35" i="13"/>
  <c r="AB35" i="13" s="1"/>
  <c r="AC35" i="13" s="1"/>
  <c r="AA36" i="13"/>
  <c r="AB36" i="13" s="1"/>
  <c r="AC36" i="13" s="1"/>
  <c r="AA37" i="13"/>
  <c r="AB37" i="13" s="1"/>
  <c r="AC37" i="13" s="1"/>
  <c r="AA17" i="13"/>
  <c r="AB17" i="13" s="1"/>
  <c r="U54" i="13"/>
  <c r="V53" i="13"/>
  <c r="U53" i="13"/>
  <c r="T88" i="13"/>
  <c r="T104" i="13" s="1"/>
  <c r="U88" i="13"/>
  <c r="U104" i="13" s="1"/>
  <c r="V88" i="13"/>
  <c r="V104" i="13" s="1"/>
  <c r="V103" i="13"/>
  <c r="U103" i="13"/>
  <c r="T103" i="13"/>
  <c r="T53" i="13"/>
  <c r="I52" i="13"/>
  <c r="J52" i="13"/>
  <c r="K52" i="13"/>
  <c r="L52" i="13"/>
  <c r="M52" i="13"/>
  <c r="N52" i="13"/>
  <c r="O52" i="13"/>
  <c r="P52" i="13"/>
  <c r="Q52" i="13"/>
  <c r="R52" i="13"/>
  <c r="S52" i="13"/>
  <c r="I38" i="13"/>
  <c r="J38" i="13"/>
  <c r="K38" i="13"/>
  <c r="L38" i="13"/>
  <c r="M38" i="13"/>
  <c r="N38" i="13"/>
  <c r="O38" i="13"/>
  <c r="P38" i="13"/>
  <c r="Q38" i="13"/>
  <c r="R38" i="13"/>
  <c r="S38" i="13"/>
  <c r="H52" i="13"/>
  <c r="H38" i="13"/>
  <c r="H54" i="13" s="1"/>
  <c r="O18" i="14"/>
  <c r="H19" i="14"/>
  <c r="G19" i="14"/>
  <c r="G101" i="13"/>
  <c r="G100" i="13"/>
  <c r="S99" i="13"/>
  <c r="R99" i="13"/>
  <c r="Q99" i="13"/>
  <c r="P99" i="13"/>
  <c r="O99" i="13"/>
  <c r="N99" i="13"/>
  <c r="M99" i="13"/>
  <c r="L99" i="13"/>
  <c r="K99" i="13"/>
  <c r="J99" i="13"/>
  <c r="I99" i="13"/>
  <c r="H99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S81" i="13"/>
  <c r="R81" i="13"/>
  <c r="Q81" i="13"/>
  <c r="P81" i="13"/>
  <c r="O81" i="13"/>
  <c r="N81" i="13"/>
  <c r="M81" i="13"/>
  <c r="L81" i="13"/>
  <c r="K81" i="13"/>
  <c r="J81" i="13"/>
  <c r="I81" i="13"/>
  <c r="H81" i="13"/>
  <c r="S80" i="13"/>
  <c r="R80" i="13"/>
  <c r="Q80" i="13"/>
  <c r="P80" i="13"/>
  <c r="O80" i="13"/>
  <c r="N80" i="13"/>
  <c r="M80" i="13"/>
  <c r="L80" i="13"/>
  <c r="K80" i="13"/>
  <c r="J80" i="13"/>
  <c r="I80" i="13"/>
  <c r="H80" i="13"/>
  <c r="S79" i="13"/>
  <c r="R79" i="13"/>
  <c r="Q79" i="13"/>
  <c r="P79" i="13"/>
  <c r="O79" i="13"/>
  <c r="N79" i="13"/>
  <c r="M79" i="13"/>
  <c r="L79" i="13"/>
  <c r="K79" i="13"/>
  <c r="J79" i="13"/>
  <c r="I79" i="13"/>
  <c r="H79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2" i="13"/>
  <c r="G71" i="13"/>
  <c r="G70" i="13"/>
  <c r="G69" i="13"/>
  <c r="S68" i="13"/>
  <c r="R68" i="13"/>
  <c r="Q68" i="13"/>
  <c r="P68" i="13"/>
  <c r="O68" i="13"/>
  <c r="N68" i="13"/>
  <c r="M68" i="13"/>
  <c r="L68" i="13"/>
  <c r="K68" i="13"/>
  <c r="J68" i="13"/>
  <c r="I68" i="13"/>
  <c r="H68" i="13"/>
  <c r="S67" i="13"/>
  <c r="R67" i="13"/>
  <c r="Q67" i="13"/>
  <c r="P67" i="13"/>
  <c r="O67" i="13"/>
  <c r="N67" i="13"/>
  <c r="M67" i="13"/>
  <c r="L67" i="13"/>
  <c r="K67" i="13"/>
  <c r="J67" i="13"/>
  <c r="I67" i="13"/>
  <c r="H67" i="13"/>
  <c r="U65" i="13"/>
  <c r="W62" i="13"/>
  <c r="A61" i="13"/>
  <c r="T54" i="13"/>
  <c r="W51" i="13"/>
  <c r="Z51" i="13" s="1"/>
  <c r="G51" i="13"/>
  <c r="M101" i="13" s="1"/>
  <c r="W50" i="13"/>
  <c r="Z50" i="13" s="1"/>
  <c r="G50" i="13"/>
  <c r="M100" i="13" s="1"/>
  <c r="W49" i="13"/>
  <c r="Z49" i="13" s="1"/>
  <c r="W48" i="13"/>
  <c r="Z48" i="13" s="1"/>
  <c r="W47" i="13"/>
  <c r="Z47" i="13" s="1"/>
  <c r="W46" i="13"/>
  <c r="Z46" i="13" s="1"/>
  <c r="W45" i="13"/>
  <c r="Z45" i="13" s="1"/>
  <c r="W44" i="13"/>
  <c r="Z44" i="13" s="1"/>
  <c r="W43" i="13"/>
  <c r="Z43" i="13" s="1"/>
  <c r="W37" i="13"/>
  <c r="X37" i="13" s="1"/>
  <c r="Y37" i="13" s="1"/>
  <c r="W36" i="13"/>
  <c r="Z36" i="13" s="1"/>
  <c r="W35" i="13"/>
  <c r="X35" i="13" s="1"/>
  <c r="Y35" i="13" s="1"/>
  <c r="W34" i="13"/>
  <c r="Z34" i="13" s="1"/>
  <c r="W33" i="13"/>
  <c r="Z33" i="13" s="1"/>
  <c r="W32" i="13"/>
  <c r="Z32" i="13" s="1"/>
  <c r="W31" i="13"/>
  <c r="X31" i="13" s="1"/>
  <c r="Y31" i="13" s="1"/>
  <c r="Z31" i="13"/>
  <c r="W30" i="13"/>
  <c r="X30" i="13" s="1"/>
  <c r="W29" i="13"/>
  <c r="W28" i="13"/>
  <c r="Z28" i="13" s="1"/>
  <c r="W27" i="13"/>
  <c r="Z27" i="13" s="1"/>
  <c r="W26" i="13"/>
  <c r="Z26" i="13" s="1"/>
  <c r="W25" i="13"/>
  <c r="Z25" i="13" s="1"/>
  <c r="W24" i="13"/>
  <c r="Z24" i="13" s="1"/>
  <c r="W23" i="13"/>
  <c r="X23" i="13" s="1"/>
  <c r="Y23" i="13" s="1"/>
  <c r="W22" i="13"/>
  <c r="Z22" i="13"/>
  <c r="G22" i="13"/>
  <c r="I72" i="13" s="1"/>
  <c r="W21" i="13"/>
  <c r="Z21" i="13" s="1"/>
  <c r="G21" i="13"/>
  <c r="R71" i="13" s="1"/>
  <c r="W20" i="13"/>
  <c r="Z20" i="13" s="1"/>
  <c r="G20" i="13"/>
  <c r="S70" i="13" s="1"/>
  <c r="W19" i="13"/>
  <c r="Z19" i="13" s="1"/>
  <c r="G19" i="13"/>
  <c r="H69" i="13" s="1"/>
  <c r="W18" i="13"/>
  <c r="Z18" i="13" s="1"/>
  <c r="W17" i="13"/>
  <c r="X17" i="13" s="1"/>
  <c r="Y17" i="13" s="1"/>
  <c r="U15" i="13"/>
  <c r="W12" i="13"/>
  <c r="A12" i="13"/>
  <c r="T88" i="10"/>
  <c r="T84" i="12"/>
  <c r="S84" i="12"/>
  <c r="T54" i="12"/>
  <c r="U100" i="12"/>
  <c r="T100" i="12"/>
  <c r="S100" i="12"/>
  <c r="S54" i="12"/>
  <c r="V51" i="12"/>
  <c r="V50" i="12"/>
  <c r="V49" i="12"/>
  <c r="W49" i="12"/>
  <c r="X49" i="12"/>
  <c r="V48" i="12"/>
  <c r="W48" i="12"/>
  <c r="X48" i="12" s="1"/>
  <c r="V47" i="12"/>
  <c r="W47" i="12" s="1"/>
  <c r="X47" i="12" s="1"/>
  <c r="V46" i="12"/>
  <c r="W46" i="12" s="1"/>
  <c r="X46" i="12" s="1"/>
  <c r="V45" i="12"/>
  <c r="W45" i="12"/>
  <c r="X45" i="12"/>
  <c r="V44" i="12"/>
  <c r="W44" i="12"/>
  <c r="X44" i="12" s="1"/>
  <c r="V43" i="12"/>
  <c r="W43" i="12" s="1"/>
  <c r="X43" i="12" s="1"/>
  <c r="V58" i="12"/>
  <c r="V12" i="12"/>
  <c r="A57" i="12"/>
  <c r="A12" i="12"/>
  <c r="F97" i="12"/>
  <c r="F96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R93" i="12"/>
  <c r="Q93" i="12"/>
  <c r="P93" i="12"/>
  <c r="O93" i="12"/>
  <c r="N93" i="12"/>
  <c r="M93" i="12"/>
  <c r="V93" i="12" s="1"/>
  <c r="W93" i="12" s="1"/>
  <c r="X93" i="12" s="1"/>
  <c r="L93" i="12"/>
  <c r="K93" i="12"/>
  <c r="J93" i="12"/>
  <c r="I93" i="12"/>
  <c r="H93" i="12"/>
  <c r="G93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R91" i="12"/>
  <c r="Q91" i="12"/>
  <c r="P91" i="12"/>
  <c r="O91" i="12"/>
  <c r="V91" i="12" s="1"/>
  <c r="W91" i="12" s="1"/>
  <c r="X91" i="12" s="1"/>
  <c r="N91" i="12"/>
  <c r="M91" i="12"/>
  <c r="L91" i="12"/>
  <c r="K91" i="12"/>
  <c r="J91" i="12"/>
  <c r="I91" i="12"/>
  <c r="H91" i="12"/>
  <c r="G91" i="12"/>
  <c r="R90" i="12"/>
  <c r="Q90" i="12"/>
  <c r="P90" i="12"/>
  <c r="O90" i="12"/>
  <c r="N90" i="12"/>
  <c r="M90" i="12"/>
  <c r="L90" i="12"/>
  <c r="K90" i="12"/>
  <c r="J90" i="12"/>
  <c r="I90" i="12"/>
  <c r="H90" i="12"/>
  <c r="G90" i="12"/>
  <c r="R89" i="12"/>
  <c r="Q89" i="12"/>
  <c r="Q98" i="12" s="1"/>
  <c r="P89" i="12"/>
  <c r="O89" i="12"/>
  <c r="O98" i="12" s="1"/>
  <c r="N89" i="12"/>
  <c r="M89" i="12"/>
  <c r="L89" i="12"/>
  <c r="K89" i="12"/>
  <c r="J89" i="12"/>
  <c r="I89" i="12"/>
  <c r="H89" i="12"/>
  <c r="H98" i="12" s="1"/>
  <c r="G89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R80" i="12"/>
  <c r="Q80" i="12"/>
  <c r="P80" i="12"/>
  <c r="O80" i="12"/>
  <c r="N80" i="12"/>
  <c r="M80" i="12"/>
  <c r="L80" i="12"/>
  <c r="K80" i="12"/>
  <c r="J80" i="12"/>
  <c r="I80" i="12"/>
  <c r="H80" i="12"/>
  <c r="G80" i="12"/>
  <c r="R79" i="12"/>
  <c r="Q79" i="12"/>
  <c r="P79" i="12"/>
  <c r="O79" i="12"/>
  <c r="N79" i="12"/>
  <c r="M79" i="12"/>
  <c r="L79" i="12"/>
  <c r="K79" i="12"/>
  <c r="J79" i="12"/>
  <c r="I79" i="12"/>
  <c r="H79" i="12"/>
  <c r="G79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R70" i="12"/>
  <c r="Q70" i="12"/>
  <c r="P70" i="12"/>
  <c r="O70" i="12"/>
  <c r="N70" i="12"/>
  <c r="M70" i="12"/>
  <c r="L70" i="12"/>
  <c r="K70" i="12"/>
  <c r="J70" i="12"/>
  <c r="I70" i="12"/>
  <c r="H70" i="12"/>
  <c r="G70" i="12"/>
  <c r="R69" i="12"/>
  <c r="Q69" i="12"/>
  <c r="P69" i="12"/>
  <c r="O69" i="12"/>
  <c r="N69" i="12"/>
  <c r="M69" i="12"/>
  <c r="L69" i="12"/>
  <c r="K69" i="12"/>
  <c r="J69" i="12"/>
  <c r="I69" i="12"/>
  <c r="H69" i="12"/>
  <c r="G69" i="12"/>
  <c r="F68" i="12"/>
  <c r="F67" i="12"/>
  <c r="F66" i="12"/>
  <c r="F65" i="12"/>
  <c r="R64" i="12"/>
  <c r="Q64" i="12"/>
  <c r="P64" i="12"/>
  <c r="O64" i="12"/>
  <c r="N64" i="12"/>
  <c r="M64" i="12"/>
  <c r="L64" i="12"/>
  <c r="K64" i="12"/>
  <c r="J64" i="12"/>
  <c r="I64" i="12"/>
  <c r="H64" i="12"/>
  <c r="V64" i="12" s="1"/>
  <c r="G64" i="12"/>
  <c r="R63" i="12"/>
  <c r="Q63" i="12"/>
  <c r="P63" i="12"/>
  <c r="O63" i="12"/>
  <c r="N63" i="12"/>
  <c r="M63" i="12"/>
  <c r="L63" i="12"/>
  <c r="K63" i="12"/>
  <c r="J63" i="12"/>
  <c r="I63" i="12"/>
  <c r="H63" i="12"/>
  <c r="G63" i="12"/>
  <c r="T61" i="12"/>
  <c r="U54" i="12"/>
  <c r="F51" i="12"/>
  <c r="I97" i="12" s="1"/>
  <c r="N97" i="12"/>
  <c r="F50" i="12"/>
  <c r="O96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V37" i="12"/>
  <c r="W37" i="12" s="1"/>
  <c r="X37" i="12" s="1"/>
  <c r="V36" i="12"/>
  <c r="Y36" i="12"/>
  <c r="V35" i="12"/>
  <c r="Y35" i="12"/>
  <c r="V34" i="12"/>
  <c r="W34" i="12" s="1"/>
  <c r="X34" i="12" s="1"/>
  <c r="V33" i="12"/>
  <c r="Y33" i="12"/>
  <c r="V32" i="12"/>
  <c r="Y32" i="12" s="1"/>
  <c r="V31" i="12"/>
  <c r="Y31" i="12" s="1"/>
  <c r="V30" i="12"/>
  <c r="Y30" i="12"/>
  <c r="V29" i="12"/>
  <c r="Y29" i="12" s="1"/>
  <c r="V28" i="12"/>
  <c r="W28" i="12" s="1"/>
  <c r="X28" i="12" s="1"/>
  <c r="V27" i="12"/>
  <c r="Y27" i="12" s="1"/>
  <c r="V26" i="12"/>
  <c r="W26" i="12" s="1"/>
  <c r="X26" i="12" s="1"/>
  <c r="V25" i="12"/>
  <c r="V24" i="12"/>
  <c r="Y24" i="12" s="1"/>
  <c r="V23" i="12"/>
  <c r="Y23" i="12" s="1"/>
  <c r="V22" i="12"/>
  <c r="F22" i="12"/>
  <c r="H68" i="12" s="1"/>
  <c r="V21" i="12"/>
  <c r="Y21" i="12" s="1"/>
  <c r="F21" i="12"/>
  <c r="V20" i="12"/>
  <c r="Y20" i="12" s="1"/>
  <c r="F20" i="12"/>
  <c r="K66" i="12" s="1"/>
  <c r="H66" i="12"/>
  <c r="V19" i="12"/>
  <c r="Y19" i="12"/>
  <c r="F19" i="12"/>
  <c r="R65" i="12" s="1"/>
  <c r="V18" i="12"/>
  <c r="W18" i="12" s="1"/>
  <c r="X18" i="12" s="1"/>
  <c r="V17" i="12"/>
  <c r="T15" i="12"/>
  <c r="S74" i="10"/>
  <c r="S90" i="10" s="1"/>
  <c r="O74" i="10"/>
  <c r="P74" i="10"/>
  <c r="Q74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U88" i="10"/>
  <c r="U90" i="10"/>
  <c r="T90" i="10"/>
  <c r="S88" i="10"/>
  <c r="F87" i="10"/>
  <c r="F86" i="10"/>
  <c r="F58" i="10"/>
  <c r="F57" i="10"/>
  <c r="F56" i="10"/>
  <c r="F55" i="10"/>
  <c r="T51" i="10"/>
  <c r="U42" i="10"/>
  <c r="U44" i="10" s="1"/>
  <c r="T42" i="10"/>
  <c r="T44" i="10"/>
  <c r="S42" i="10"/>
  <c r="S44" i="10"/>
  <c r="F41" i="10"/>
  <c r="N87" i="10" s="1"/>
  <c r="G87" i="10"/>
  <c r="F40" i="10"/>
  <c r="G86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12" i="10"/>
  <c r="F11" i="10"/>
  <c r="F10" i="10"/>
  <c r="F9" i="10"/>
  <c r="T5" i="10"/>
  <c r="V54" i="13"/>
  <c r="W52" i="13"/>
  <c r="X26" i="13"/>
  <c r="Y26" i="13" s="1"/>
  <c r="N69" i="13"/>
  <c r="P71" i="13"/>
  <c r="O100" i="13"/>
  <c r="J70" i="13"/>
  <c r="Q71" i="13"/>
  <c r="P69" i="13"/>
  <c r="R100" i="13"/>
  <c r="S100" i="13"/>
  <c r="S69" i="13"/>
  <c r="N70" i="13"/>
  <c r="H100" i="13"/>
  <c r="M86" i="10"/>
  <c r="L86" i="10"/>
  <c r="O87" i="10"/>
  <c r="K87" i="10"/>
  <c r="L87" i="10"/>
  <c r="I87" i="10"/>
  <c r="M87" i="10"/>
  <c r="H86" i="10"/>
  <c r="R86" i="10"/>
  <c r="Q86" i="10"/>
  <c r="R87" i="10"/>
  <c r="P86" i="10"/>
  <c r="Q87" i="10"/>
  <c r="O86" i="10"/>
  <c r="N86" i="10"/>
  <c r="W50" i="12"/>
  <c r="X50" i="12"/>
  <c r="W51" i="12"/>
  <c r="X51" i="12"/>
  <c r="J66" i="12"/>
  <c r="M96" i="12"/>
  <c r="W22" i="12"/>
  <c r="X22" i="12" s="1"/>
  <c r="M66" i="12"/>
  <c r="Y22" i="12"/>
  <c r="Y28" i="12"/>
  <c r="Y34" i="12"/>
  <c r="P66" i="12"/>
  <c r="G97" i="12"/>
  <c r="V97" i="12" s="1"/>
  <c r="W97" i="12" s="1"/>
  <c r="X97" i="12" s="1"/>
  <c r="Q66" i="12"/>
  <c r="J97" i="12"/>
  <c r="W23" i="12"/>
  <c r="X23" i="12" s="1"/>
  <c r="W29" i="12"/>
  <c r="X29" i="12" s="1"/>
  <c r="W35" i="12"/>
  <c r="X35" i="12" s="1"/>
  <c r="G65" i="12"/>
  <c r="R66" i="12"/>
  <c r="L97" i="12"/>
  <c r="J68" i="12"/>
  <c r="W32" i="12"/>
  <c r="X32" i="12" s="1"/>
  <c r="H96" i="12"/>
  <c r="K96" i="12"/>
  <c r="K98" i="12" s="1"/>
  <c r="W33" i="12"/>
  <c r="X33" i="12"/>
  <c r="W30" i="12"/>
  <c r="W36" i="12"/>
  <c r="X36" i="12"/>
  <c r="I65" i="12"/>
  <c r="M65" i="12"/>
  <c r="L68" i="12"/>
  <c r="W27" i="12"/>
  <c r="X27" i="12" s="1"/>
  <c r="Y37" i="12"/>
  <c r="P65" i="12"/>
  <c r="P68" i="12"/>
  <c r="L65" i="12"/>
  <c r="I66" i="12"/>
  <c r="P96" i="12"/>
  <c r="O97" i="12"/>
  <c r="Q96" i="12"/>
  <c r="P97" i="12"/>
  <c r="N65" i="12"/>
  <c r="Q68" i="12"/>
  <c r="R96" i="12"/>
  <c r="Q97" i="12"/>
  <c r="L66" i="12"/>
  <c r="R68" i="12"/>
  <c r="G96" i="12"/>
  <c r="V96" i="12" s="1"/>
  <c r="W96" i="12" s="1"/>
  <c r="X96" i="12" s="1"/>
  <c r="R97" i="12"/>
  <c r="I96" i="12"/>
  <c r="I98" i="12" s="1"/>
  <c r="H97" i="12"/>
  <c r="O66" i="12"/>
  <c r="J96" i="12"/>
  <c r="L96" i="12"/>
  <c r="K97" i="12"/>
  <c r="J65" i="12"/>
  <c r="G66" i="12"/>
  <c r="M68" i="12"/>
  <c r="N96" i="12"/>
  <c r="N98" i="12"/>
  <c r="M97" i="12"/>
  <c r="K74" i="10"/>
  <c r="J74" i="10"/>
  <c r="R74" i="10"/>
  <c r="M74" i="10"/>
  <c r="L74" i="10"/>
  <c r="J87" i="10"/>
  <c r="J86" i="10"/>
  <c r="I74" i="10"/>
  <c r="K86" i="10"/>
  <c r="I86" i="10"/>
  <c r="H74" i="10"/>
  <c r="N74" i="10"/>
  <c r="J12" i="3"/>
  <c r="K12" i="3"/>
  <c r="J7" i="3"/>
  <c r="K7" i="3"/>
  <c r="J52" i="3"/>
  <c r="K52" i="3"/>
  <c r="H51" i="3"/>
  <c r="I51" i="3" s="1"/>
  <c r="D51" i="3"/>
  <c r="G50" i="3"/>
  <c r="F50" i="3"/>
  <c r="D50" i="3"/>
  <c r="J44" i="3"/>
  <c r="K44" i="3"/>
  <c r="I6" i="3"/>
  <c r="H26" i="3"/>
  <c r="H34" i="3"/>
  <c r="I34" i="3" s="1"/>
  <c r="D42" i="3"/>
  <c r="G42" i="3" s="1"/>
  <c r="D33" i="3"/>
  <c r="G33" i="3" s="1"/>
  <c r="D43" i="3"/>
  <c r="I43" i="3" s="1"/>
  <c r="H43" i="3"/>
  <c r="J35" i="3"/>
  <c r="K35" i="3"/>
  <c r="E24" i="2"/>
  <c r="E23" i="2"/>
  <c r="S23" i="2" s="1"/>
  <c r="T23" i="2" s="1"/>
  <c r="AF47" i="2"/>
  <c r="AE47" i="2"/>
  <c r="AB43" i="2"/>
  <c r="AE35" i="2"/>
  <c r="AF35" i="2" s="1"/>
  <c r="AE36" i="2"/>
  <c r="AF36" i="2" s="1"/>
  <c r="AE37" i="2"/>
  <c r="AF37" i="2"/>
  <c r="AE39" i="2"/>
  <c r="AF39" i="2"/>
  <c r="AE40" i="2"/>
  <c r="AF40" i="2" s="1"/>
  <c r="AE42" i="2"/>
  <c r="AF42" i="2" s="1"/>
  <c r="AE34" i="2"/>
  <c r="AE8" i="2"/>
  <c r="AF8" i="2" s="1"/>
  <c r="AE9" i="2"/>
  <c r="AF9" i="2"/>
  <c r="AE10" i="2"/>
  <c r="AF10" i="2"/>
  <c r="AE11" i="2"/>
  <c r="AF11" i="2" s="1"/>
  <c r="AE12" i="2"/>
  <c r="AF12" i="2" s="1"/>
  <c r="AE13" i="2"/>
  <c r="AF13" i="2" s="1"/>
  <c r="AE14" i="2"/>
  <c r="AF14" i="2" s="1"/>
  <c r="AE15" i="2"/>
  <c r="AF15" i="2"/>
  <c r="AE16" i="2"/>
  <c r="AF16" i="2"/>
  <c r="AE18" i="2"/>
  <c r="AF18" i="2" s="1"/>
  <c r="AE19" i="2"/>
  <c r="AF19" i="2" s="1"/>
  <c r="AE20" i="2"/>
  <c r="AF20" i="2" s="1"/>
  <c r="AE23" i="2"/>
  <c r="AF23" i="2" s="1"/>
  <c r="K27" i="3"/>
  <c r="J27" i="3"/>
  <c r="D11" i="3"/>
  <c r="D10" i="3"/>
  <c r="D19" i="3"/>
  <c r="D18" i="3"/>
  <c r="G18" i="3"/>
  <c r="D6" i="3"/>
  <c r="D5" i="3"/>
  <c r="G5" i="3" s="1"/>
  <c r="K13" i="3"/>
  <c r="D26" i="3"/>
  <c r="I26" i="3" s="1"/>
  <c r="D25" i="3"/>
  <c r="G25" i="3" s="1"/>
  <c r="J20" i="3"/>
  <c r="K20" i="3"/>
  <c r="J13" i="3"/>
  <c r="AB17" i="2"/>
  <c r="AB30" i="2" s="1"/>
  <c r="AB45" i="2" s="1"/>
  <c r="AB7" i="2"/>
  <c r="AE7" i="2"/>
  <c r="AF7" i="2" s="1"/>
  <c r="AB25" i="2"/>
  <c r="AB21" i="2"/>
  <c r="R29" i="2"/>
  <c r="S29" i="2"/>
  <c r="T29" i="2"/>
  <c r="Z32" i="2"/>
  <c r="Z45" i="2" s="1"/>
  <c r="Y32" i="2"/>
  <c r="Y45" i="2" s="1"/>
  <c r="AF51" i="2" s="1"/>
  <c r="X32" i="2"/>
  <c r="W32" i="2"/>
  <c r="W45" i="2" s="1"/>
  <c r="V32" i="2"/>
  <c r="U32" i="2"/>
  <c r="R23" i="2"/>
  <c r="R24" i="2"/>
  <c r="R25" i="2"/>
  <c r="R22" i="2"/>
  <c r="AE24" i="2"/>
  <c r="AF24" i="2"/>
  <c r="E22" i="2"/>
  <c r="AE22" i="2"/>
  <c r="AF22" i="2" s="1"/>
  <c r="R28" i="2"/>
  <c r="S28" i="2" s="1"/>
  <c r="T28" i="2" s="1"/>
  <c r="K44" i="2"/>
  <c r="G50" i="2"/>
  <c r="H50" i="2"/>
  <c r="I50" i="2"/>
  <c r="J50" i="2"/>
  <c r="K50" i="2"/>
  <c r="F50" i="2"/>
  <c r="Z43" i="2"/>
  <c r="Y43" i="2"/>
  <c r="U43" i="2"/>
  <c r="U45" i="2" s="1"/>
  <c r="V43" i="2"/>
  <c r="W43" i="2"/>
  <c r="X43" i="2"/>
  <c r="E27" i="2"/>
  <c r="S27" i="2" s="1"/>
  <c r="T27" i="2" s="1"/>
  <c r="R27" i="2"/>
  <c r="R8" i="2"/>
  <c r="S8" i="2"/>
  <c r="T8" i="2"/>
  <c r="R9" i="2"/>
  <c r="S9" i="2"/>
  <c r="R10" i="2"/>
  <c r="R11" i="2"/>
  <c r="S11" i="2" s="1"/>
  <c r="T11" i="2" s="1"/>
  <c r="R12" i="2"/>
  <c r="S12" i="2"/>
  <c r="T12" i="2"/>
  <c r="R13" i="2"/>
  <c r="S13" i="2"/>
  <c r="T13" i="2" s="1"/>
  <c r="R14" i="2"/>
  <c r="S14" i="2" s="1"/>
  <c r="T14" i="2" s="1"/>
  <c r="R15" i="2"/>
  <c r="S15" i="2" s="1"/>
  <c r="T15" i="2" s="1"/>
  <c r="R16" i="2"/>
  <c r="S16" i="2"/>
  <c r="T16" i="2"/>
  <c r="R17" i="2"/>
  <c r="S17" i="2"/>
  <c r="T17" i="2" s="1"/>
  <c r="R19" i="2"/>
  <c r="S19" i="2" s="1"/>
  <c r="T19" i="2" s="1"/>
  <c r="R20" i="2"/>
  <c r="S20" i="2" s="1"/>
  <c r="T20" i="2" s="1"/>
  <c r="R21" i="2"/>
  <c r="R35" i="2"/>
  <c r="S35" i="2"/>
  <c r="T35" i="2" s="1"/>
  <c r="R36" i="2"/>
  <c r="R43" i="2" s="1"/>
  <c r="R38" i="2"/>
  <c r="R39" i="2"/>
  <c r="S39" i="2" s="1"/>
  <c r="T39" i="2" s="1"/>
  <c r="R40" i="2"/>
  <c r="S40" i="2" s="1"/>
  <c r="T40" i="2" s="1"/>
  <c r="R26" i="2"/>
  <c r="S26" i="2" s="1"/>
  <c r="T26" i="2" s="1"/>
  <c r="R41" i="2"/>
  <c r="R42" i="2"/>
  <c r="S42" i="2" s="1"/>
  <c r="T42" i="2"/>
  <c r="R34" i="2"/>
  <c r="S34" i="2"/>
  <c r="T34" i="2" s="1"/>
  <c r="K55" i="2"/>
  <c r="E41" i="2"/>
  <c r="AE41" i="2"/>
  <c r="AF41" i="2" s="1"/>
  <c r="E26" i="2"/>
  <c r="E38" i="2"/>
  <c r="S38" i="2" s="1"/>
  <c r="T38" i="2" s="1"/>
  <c r="E25" i="2"/>
  <c r="E21" i="2"/>
  <c r="R7" i="2"/>
  <c r="S41" i="2"/>
  <c r="T41" i="2"/>
  <c r="S25" i="2"/>
  <c r="T25" i="2"/>
  <c r="X45" i="2"/>
  <c r="V45" i="2"/>
  <c r="AE25" i="2"/>
  <c r="AF25" i="2" s="1"/>
  <c r="S22" i="2"/>
  <c r="T22" i="2" s="1"/>
  <c r="S24" i="2"/>
  <c r="T24" i="2"/>
  <c r="S7" i="2"/>
  <c r="T7" i="2"/>
  <c r="X30" i="12"/>
  <c r="M98" i="12"/>
  <c r="L98" i="12"/>
  <c r="J98" i="12"/>
  <c r="R98" i="12"/>
  <c r="P98" i="12"/>
  <c r="G74" i="10"/>
  <c r="I70" i="13" l="1"/>
  <c r="X43" i="13"/>
  <c r="M70" i="13"/>
  <c r="M71" i="13"/>
  <c r="R70" i="13"/>
  <c r="S71" i="13"/>
  <c r="O71" i="13"/>
  <c r="L70" i="13"/>
  <c r="X50" i="13"/>
  <c r="Y50" i="13" s="1"/>
  <c r="Q100" i="13"/>
  <c r="Q102" i="13" s="1"/>
  <c r="Q53" i="13" s="1"/>
  <c r="L71" i="13"/>
  <c r="X34" i="13"/>
  <c r="Y34" i="13" s="1"/>
  <c r="I100" i="13"/>
  <c r="Q70" i="13"/>
  <c r="Q101" i="13"/>
  <c r="X28" i="13"/>
  <c r="Y28" i="13" s="1"/>
  <c r="X24" i="13"/>
  <c r="Y24" i="13" s="1"/>
  <c r="X33" i="13"/>
  <c r="Y33" i="13" s="1"/>
  <c r="Z23" i="13"/>
  <c r="W87" i="13"/>
  <c r="Y87" i="13" s="1"/>
  <c r="Z87" i="13" s="1"/>
  <c r="X36" i="13"/>
  <c r="Y36" i="13" s="1"/>
  <c r="AB21" i="13"/>
  <c r="AC21" i="13" s="1"/>
  <c r="X20" i="13"/>
  <c r="Y20" i="13" s="1"/>
  <c r="X88" i="15"/>
  <c r="G107" i="15"/>
  <c r="T106" i="15"/>
  <c r="T107" i="15" s="1"/>
  <c r="Y88" i="15"/>
  <c r="Y102" i="15" s="1"/>
  <c r="W88" i="15"/>
  <c r="W102" i="15" s="1"/>
  <c r="X102" i="15" s="1"/>
  <c r="O72" i="13"/>
  <c r="Z30" i="13"/>
  <c r="H72" i="13"/>
  <c r="R69" i="13"/>
  <c r="L101" i="13"/>
  <c r="Z17" i="13"/>
  <c r="W38" i="13"/>
  <c r="L72" i="13"/>
  <c r="N72" i="13"/>
  <c r="K69" i="13"/>
  <c r="S72" i="13"/>
  <c r="S88" i="13" s="1"/>
  <c r="S39" i="13" s="1"/>
  <c r="X49" i="13"/>
  <c r="Y49" i="13" s="1"/>
  <c r="O69" i="13"/>
  <c r="X25" i="13"/>
  <c r="Y25" i="13" s="1"/>
  <c r="P72" i="13"/>
  <c r="K72" i="13"/>
  <c r="J69" i="13"/>
  <c r="Y43" i="13"/>
  <c r="M72" i="13"/>
  <c r="W74" i="13"/>
  <c r="X74" i="13" s="1"/>
  <c r="W75" i="13"/>
  <c r="W79" i="13"/>
  <c r="Y79" i="13" s="1"/>
  <c r="Z79" i="13" s="1"/>
  <c r="W82" i="13"/>
  <c r="X82" i="13" s="1"/>
  <c r="W83" i="13"/>
  <c r="Y83" i="13" s="1"/>
  <c r="Z83" i="13" s="1"/>
  <c r="W84" i="13"/>
  <c r="W85" i="13"/>
  <c r="W86" i="13"/>
  <c r="X86" i="13" s="1"/>
  <c r="W97" i="13"/>
  <c r="X97" i="13" s="1"/>
  <c r="Y97" i="13" s="1"/>
  <c r="X64" i="12"/>
  <c r="Y64" i="12" s="1"/>
  <c r="W64" i="12"/>
  <c r="Y17" i="12"/>
  <c r="V38" i="12"/>
  <c r="V52" i="12" s="1"/>
  <c r="S39" i="12"/>
  <c r="W25" i="12"/>
  <c r="X25" i="12" s="1"/>
  <c r="Y25" i="12"/>
  <c r="V63" i="12"/>
  <c r="AE21" i="2"/>
  <c r="AF21" i="2" s="1"/>
  <c r="S21" i="2"/>
  <c r="T21" i="2" s="1"/>
  <c r="S10" i="2"/>
  <c r="T10" i="2" s="1"/>
  <c r="R32" i="2"/>
  <c r="R45" i="2" s="1"/>
  <c r="T75" i="10"/>
  <c r="U75" i="10" s="1"/>
  <c r="M84" i="12"/>
  <c r="M39" i="12" s="1"/>
  <c r="V69" i="12"/>
  <c r="V70" i="12"/>
  <c r="V71" i="12"/>
  <c r="V73" i="12"/>
  <c r="V74" i="12"/>
  <c r="V75" i="12"/>
  <c r="V77" i="12"/>
  <c r="V78" i="12"/>
  <c r="V79" i="12"/>
  <c r="V80" i="12"/>
  <c r="V82" i="12"/>
  <c r="V83" i="12"/>
  <c r="V89" i="12"/>
  <c r="V90" i="12"/>
  <c r="W90" i="12" s="1"/>
  <c r="X90" i="12" s="1"/>
  <c r="V92" i="12"/>
  <c r="W92" i="12" s="1"/>
  <c r="X92" i="12" s="1"/>
  <c r="V94" i="12"/>
  <c r="W94" i="12" s="1"/>
  <c r="X94" i="12" s="1"/>
  <c r="V95" i="12"/>
  <c r="W95" i="12" s="1"/>
  <c r="X95" i="12" s="1"/>
  <c r="V72" i="12"/>
  <c r="Q67" i="12"/>
  <c r="J67" i="12"/>
  <c r="J84" i="12" s="1"/>
  <c r="J39" i="12" s="1"/>
  <c r="W21" i="12"/>
  <c r="X21" i="12" s="1"/>
  <c r="L67" i="12"/>
  <c r="L84" i="12" s="1"/>
  <c r="L39" i="12" s="1"/>
  <c r="H67" i="12"/>
  <c r="O67" i="12"/>
  <c r="R67" i="12"/>
  <c r="R84" i="12" s="1"/>
  <c r="R39" i="12" s="1"/>
  <c r="I67" i="12"/>
  <c r="M67" i="12"/>
  <c r="G67" i="12"/>
  <c r="N67" i="12"/>
  <c r="K67" i="12"/>
  <c r="P67" i="12"/>
  <c r="P84" i="12" s="1"/>
  <c r="P39" i="12" s="1"/>
  <c r="Z29" i="13"/>
  <c r="X29" i="13"/>
  <c r="Y29" i="13" s="1"/>
  <c r="AF34" i="2"/>
  <c r="AF43" i="2" s="1"/>
  <c r="W17" i="12"/>
  <c r="V76" i="12"/>
  <c r="V81" i="12"/>
  <c r="S36" i="2"/>
  <c r="T36" i="2" s="1"/>
  <c r="T43" i="2" s="1"/>
  <c r="T9" i="2"/>
  <c r="AE17" i="2"/>
  <c r="AF17" i="2" s="1"/>
  <c r="AF30" i="2" s="1"/>
  <c r="AF45" i="2" s="1"/>
  <c r="K68" i="12"/>
  <c r="G68" i="12"/>
  <c r="V68" i="12" s="1"/>
  <c r="Y18" i="12"/>
  <c r="Y26" i="12"/>
  <c r="W31" i="12"/>
  <c r="X47" i="13"/>
  <c r="Y47" i="13" s="1"/>
  <c r="W77" i="13"/>
  <c r="X77" i="13" s="1"/>
  <c r="W96" i="13"/>
  <c r="X96" i="13" s="1"/>
  <c r="Y96" i="13" s="1"/>
  <c r="AE38" i="2"/>
  <c r="AF38" i="2" s="1"/>
  <c r="X27" i="13"/>
  <c r="Y27" i="13" s="1"/>
  <c r="K65" i="12"/>
  <c r="N68" i="12"/>
  <c r="Z37" i="13"/>
  <c r="X48" i="13"/>
  <c r="Y48" i="13" s="1"/>
  <c r="W81" i="13"/>
  <c r="Y81" i="13" s="1"/>
  <c r="Z81" i="13" s="1"/>
  <c r="T39" i="13"/>
  <c r="S43" i="2"/>
  <c r="W98" i="13"/>
  <c r="X98" i="13" s="1"/>
  <c r="Y98" i="13" s="1"/>
  <c r="G98" i="12"/>
  <c r="X32" i="13"/>
  <c r="Y32" i="13" s="1"/>
  <c r="W80" i="13"/>
  <c r="Y80" i="13" s="1"/>
  <c r="Z80" i="13" s="1"/>
  <c r="W99" i="13"/>
  <c r="X99" i="13" s="1"/>
  <c r="Y99" i="13" s="1"/>
  <c r="AB44" i="13"/>
  <c r="S75" i="10"/>
  <c r="O65" i="12"/>
  <c r="O68" i="12"/>
  <c r="H65" i="12"/>
  <c r="H84" i="12" s="1"/>
  <c r="H39" i="12" s="1"/>
  <c r="W19" i="12"/>
  <c r="X19" i="12" s="1"/>
  <c r="H87" i="10"/>
  <c r="I71" i="13"/>
  <c r="Q69" i="13"/>
  <c r="P100" i="13"/>
  <c r="L100" i="13"/>
  <c r="L102" i="13" s="1"/>
  <c r="L53" i="13" s="1"/>
  <c r="X19" i="13"/>
  <c r="Y19" i="13" s="1"/>
  <c r="X44" i="13"/>
  <c r="Y44" i="13" s="1"/>
  <c r="W68" i="13"/>
  <c r="Y68" i="13" s="1"/>
  <c r="Z68" i="13" s="1"/>
  <c r="L69" i="13"/>
  <c r="AB19" i="13"/>
  <c r="AC19" i="13" s="1"/>
  <c r="W20" i="12"/>
  <c r="X20" i="12" s="1"/>
  <c r="M69" i="13"/>
  <c r="W78" i="13"/>
  <c r="Y78" i="13" s="1"/>
  <c r="Z78" i="13" s="1"/>
  <c r="W24" i="12"/>
  <c r="X24" i="12" s="1"/>
  <c r="I68" i="12"/>
  <c r="Q65" i="12"/>
  <c r="Q84" i="12" s="1"/>
  <c r="Q39" i="12" s="1"/>
  <c r="X45" i="13"/>
  <c r="Y45" i="13" s="1"/>
  <c r="W67" i="13"/>
  <c r="X67" i="13" s="1"/>
  <c r="W76" i="13"/>
  <c r="X76" i="13" s="1"/>
  <c r="W95" i="13"/>
  <c r="X95" i="13" s="1"/>
  <c r="Y95" i="13" s="1"/>
  <c r="AA52" i="13"/>
  <c r="V65" i="12"/>
  <c r="W73" i="13"/>
  <c r="X73" i="13" s="1"/>
  <c r="N66" i="12"/>
  <c r="N84" i="12" s="1"/>
  <c r="N39" i="12" s="1"/>
  <c r="P87" i="10"/>
  <c r="H71" i="13"/>
  <c r="K70" i="13"/>
  <c r="X21" i="13"/>
  <c r="Y21" i="13" s="1"/>
  <c r="K100" i="13"/>
  <c r="X46" i="13"/>
  <c r="Y46" i="13" s="1"/>
  <c r="R72" i="13"/>
  <c r="W93" i="13"/>
  <c r="X93" i="13" s="1"/>
  <c r="Y93" i="13" s="1"/>
  <c r="W94" i="13"/>
  <c r="X94" i="13" s="1"/>
  <c r="Y94" i="13" s="1"/>
  <c r="Z52" i="13"/>
  <c r="M102" i="13"/>
  <c r="M53" i="13" s="1"/>
  <c r="Y30" i="13"/>
  <c r="X75" i="13"/>
  <c r="Y75" i="13"/>
  <c r="Z75" i="13" s="1"/>
  <c r="Y84" i="13"/>
  <c r="Z84" i="13" s="1"/>
  <c r="X84" i="13"/>
  <c r="Y85" i="13"/>
  <c r="Z85" i="13" s="1"/>
  <c r="X85" i="13"/>
  <c r="X81" i="13"/>
  <c r="AC17" i="13"/>
  <c r="O101" i="13"/>
  <c r="O102" i="13" s="1"/>
  <c r="O53" i="13" s="1"/>
  <c r="K101" i="13"/>
  <c r="I69" i="13"/>
  <c r="J72" i="13"/>
  <c r="N100" i="13"/>
  <c r="AB20" i="13"/>
  <c r="AC20" i="13" s="1"/>
  <c r="AA38" i="13"/>
  <c r="O70" i="13"/>
  <c r="O88" i="13" s="1"/>
  <c r="X22" i="13"/>
  <c r="Y22" i="13" s="1"/>
  <c r="Z35" i="13"/>
  <c r="J101" i="13"/>
  <c r="AC50" i="13"/>
  <c r="P101" i="13"/>
  <c r="H70" i="13"/>
  <c r="R101" i="13"/>
  <c r="R102" i="13" s="1"/>
  <c r="AB43" i="13"/>
  <c r="AC49" i="13"/>
  <c r="X51" i="13"/>
  <c r="Y51" i="13" s="1"/>
  <c r="P70" i="13"/>
  <c r="AB51" i="13"/>
  <c r="AC48" i="13"/>
  <c r="AB50" i="13"/>
  <c r="AC47" i="13"/>
  <c r="S101" i="13"/>
  <c r="S102" i="13" s="1"/>
  <c r="S53" i="13" s="1"/>
  <c r="J71" i="13"/>
  <c r="AC46" i="13"/>
  <c r="K71" i="13"/>
  <c r="AC45" i="13"/>
  <c r="H101" i="13"/>
  <c r="X18" i="13"/>
  <c r="N71" i="13"/>
  <c r="I101" i="13"/>
  <c r="I102" i="13" s="1"/>
  <c r="I53" i="13" s="1"/>
  <c r="AC51" i="13"/>
  <c r="J100" i="13"/>
  <c r="J102" i="13" s="1"/>
  <c r="J53" i="13" s="1"/>
  <c r="AB22" i="13"/>
  <c r="AC22" i="13" s="1"/>
  <c r="N101" i="13"/>
  <c r="Q72" i="13"/>
  <c r="R88" i="13" l="1"/>
  <c r="R39" i="13" s="1"/>
  <c r="K88" i="13"/>
  <c r="K39" i="13" s="1"/>
  <c r="Q88" i="13"/>
  <c r="Q106" i="13" s="1"/>
  <c r="Q107" i="13" s="1"/>
  <c r="L88" i="13"/>
  <c r="L39" i="13" s="1"/>
  <c r="I88" i="13"/>
  <c r="I106" i="13" s="1"/>
  <c r="I107" i="13" s="1"/>
  <c r="H88" i="13"/>
  <c r="X78" i="13"/>
  <c r="Y74" i="13"/>
  <c r="Z74" i="13" s="1"/>
  <c r="X87" i="13"/>
  <c r="Y86" i="13"/>
  <c r="Z86" i="13" s="1"/>
  <c r="X83" i="13"/>
  <c r="X80" i="13"/>
  <c r="P88" i="13"/>
  <c r="P39" i="13" s="1"/>
  <c r="Y73" i="13"/>
  <c r="Z73" i="13" s="1"/>
  <c r="X52" i="13"/>
  <c r="X68" i="13"/>
  <c r="Z38" i="13"/>
  <c r="N88" i="13"/>
  <c r="N39" i="13" s="1"/>
  <c r="AA56" i="13"/>
  <c r="Y76" i="13"/>
  <c r="Z76" i="13" s="1"/>
  <c r="Y82" i="13"/>
  <c r="Z82" i="13" s="1"/>
  <c r="Y67" i="13"/>
  <c r="Z67" i="13" s="1"/>
  <c r="Y77" i="13"/>
  <c r="Z77" i="13" s="1"/>
  <c r="X79" i="13"/>
  <c r="M88" i="13"/>
  <c r="M39" i="13" s="1"/>
  <c r="AC52" i="13"/>
  <c r="W72" i="13"/>
  <c r="Y72" i="13" s="1"/>
  <c r="Z72" i="13" s="1"/>
  <c r="W65" i="12"/>
  <c r="X65" i="12"/>
  <c r="Y65" i="12" s="1"/>
  <c r="W76" i="12"/>
  <c r="X76" i="12"/>
  <c r="Y76" i="12" s="1"/>
  <c r="W75" i="12"/>
  <c r="X75" i="12"/>
  <c r="Y75" i="12" s="1"/>
  <c r="N102" i="13"/>
  <c r="N53" i="13" s="1"/>
  <c r="AE43" i="2"/>
  <c r="W74" i="12"/>
  <c r="X74" i="12"/>
  <c r="Y74" i="12" s="1"/>
  <c r="W68" i="12"/>
  <c r="X68" i="12"/>
  <c r="Y68" i="12" s="1"/>
  <c r="X73" i="12"/>
  <c r="Y73" i="12" s="1"/>
  <c r="W73" i="12"/>
  <c r="T32" i="2"/>
  <c r="T45" i="2" s="1"/>
  <c r="X71" i="12"/>
  <c r="Y71" i="12" s="1"/>
  <c r="W71" i="12"/>
  <c r="J88" i="13"/>
  <c r="J39" i="13" s="1"/>
  <c r="AE30" i="2"/>
  <c r="AE45" i="2" s="1"/>
  <c r="X70" i="12"/>
  <c r="Y70" i="12" s="1"/>
  <c r="W70" i="12"/>
  <c r="W63" i="12"/>
  <c r="X63" i="12"/>
  <c r="V84" i="12"/>
  <c r="Y38" i="12"/>
  <c r="Y52" i="12" s="1"/>
  <c r="W38" i="12"/>
  <c r="X17" i="12"/>
  <c r="P102" i="13"/>
  <c r="P53" i="13" s="1"/>
  <c r="W89" i="12"/>
  <c r="X89" i="12" s="1"/>
  <c r="V98" i="12"/>
  <c r="X69" i="12"/>
  <c r="Y69" i="12" s="1"/>
  <c r="W69" i="12"/>
  <c r="V66" i="12"/>
  <c r="K102" i="13"/>
  <c r="K53" i="13" s="1"/>
  <c r="W83" i="12"/>
  <c r="X83" i="12"/>
  <c r="Y83" i="12" s="1"/>
  <c r="AB38" i="13"/>
  <c r="O84" i="12"/>
  <c r="O39" i="12" s="1"/>
  <c r="X82" i="12"/>
  <c r="Y82" i="12" s="1"/>
  <c r="W82" i="12"/>
  <c r="AC38" i="13"/>
  <c r="W80" i="12"/>
  <c r="X80" i="12"/>
  <c r="Y80" i="12" s="1"/>
  <c r="S32" i="2"/>
  <c r="S45" i="2" s="1"/>
  <c r="W72" i="12"/>
  <c r="X72" i="12"/>
  <c r="Y72" i="12" s="1"/>
  <c r="X79" i="12"/>
  <c r="Y79" i="12" s="1"/>
  <c r="W79" i="12"/>
  <c r="V67" i="12"/>
  <c r="G84" i="12"/>
  <c r="G39" i="12" s="1"/>
  <c r="W78" i="12"/>
  <c r="X78" i="12"/>
  <c r="Y78" i="12" s="1"/>
  <c r="W52" i="12"/>
  <c r="X52" i="12" s="1"/>
  <c r="X31" i="12"/>
  <c r="L106" i="13"/>
  <c r="L107" i="13" s="1"/>
  <c r="AA53" i="13"/>
  <c r="K84" i="12"/>
  <c r="K39" i="12" s="1"/>
  <c r="W81" i="12"/>
  <c r="X81" i="12"/>
  <c r="Y81" i="12" s="1"/>
  <c r="I84" i="12"/>
  <c r="I39" i="12" s="1"/>
  <c r="W77" i="12"/>
  <c r="X77" i="12"/>
  <c r="Y77" i="12" s="1"/>
  <c r="R53" i="13"/>
  <c r="S106" i="13"/>
  <c r="S107" i="13" s="1"/>
  <c r="Y18" i="13"/>
  <c r="X38" i="13"/>
  <c r="H102" i="13"/>
  <c r="H53" i="13" s="1"/>
  <c r="W101" i="13"/>
  <c r="X101" i="13" s="1"/>
  <c r="Y101" i="13" s="1"/>
  <c r="H39" i="13"/>
  <c r="W70" i="13"/>
  <c r="O106" i="13"/>
  <c r="O107" i="13" s="1"/>
  <c r="O39" i="13"/>
  <c r="AB52" i="13"/>
  <c r="W71" i="13"/>
  <c r="W100" i="13"/>
  <c r="W69" i="13"/>
  <c r="Q39" i="13" l="1"/>
  <c r="U39" i="13" s="1"/>
  <c r="V39" i="13" s="1"/>
  <c r="X72" i="13"/>
  <c r="R106" i="13"/>
  <c r="R107" i="13" s="1"/>
  <c r="I39" i="13"/>
  <c r="AB53" i="13"/>
  <c r="AC56" i="13"/>
  <c r="K106" i="13"/>
  <c r="K107" i="13" s="1"/>
  <c r="AC53" i="13"/>
  <c r="AB56" i="13"/>
  <c r="M106" i="13"/>
  <c r="M107" i="13" s="1"/>
  <c r="J106" i="13"/>
  <c r="J107" i="13" s="1"/>
  <c r="X38" i="12"/>
  <c r="X56" i="12" s="1"/>
  <c r="W56" i="12"/>
  <c r="P106" i="13"/>
  <c r="P107" i="13" s="1"/>
  <c r="Y98" i="12"/>
  <c r="N106" i="13"/>
  <c r="N107" i="13" s="1"/>
  <c r="Y63" i="12"/>
  <c r="X84" i="12"/>
  <c r="W98" i="12"/>
  <c r="X98" i="12" s="1"/>
  <c r="T39" i="12"/>
  <c r="U39" i="12" s="1"/>
  <c r="H106" i="13"/>
  <c r="H107" i="13" s="1"/>
  <c r="X67" i="12"/>
  <c r="Y67" i="12" s="1"/>
  <c r="W67" i="12"/>
  <c r="X66" i="12"/>
  <c r="Y66" i="12" s="1"/>
  <c r="Y84" i="12" s="1"/>
  <c r="W66" i="12"/>
  <c r="W84" i="12" s="1"/>
  <c r="H55" i="13"/>
  <c r="H56" i="13" s="1"/>
  <c r="Y70" i="13"/>
  <c r="Z70" i="13" s="1"/>
  <c r="X70" i="13"/>
  <c r="X39" i="13"/>
  <c r="Y39" i="13" s="1"/>
  <c r="Y38" i="13"/>
  <c r="Y69" i="13"/>
  <c r="X69" i="13"/>
  <c r="W88" i="13"/>
  <c r="X100" i="13"/>
  <c r="Y100" i="13" s="1"/>
  <c r="W102" i="13"/>
  <c r="Y71" i="13"/>
  <c r="Z71" i="13" s="1"/>
  <c r="X71" i="13"/>
  <c r="U106" i="13" l="1"/>
  <c r="U107" i="13" s="1"/>
  <c r="X88" i="13"/>
  <c r="X102" i="13" s="1"/>
  <c r="Y102" i="13" s="1"/>
  <c r="Z69" i="13"/>
  <c r="Z88" i="13" s="1"/>
  <c r="Z102" i="13" s="1"/>
  <c r="Y88" i="13"/>
  <c r="Y52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Rogelio Curiel Lopez</author>
  </authors>
  <commentList>
    <comment ref="L27" authorId="0" shapeId="0" xr:uid="{A82D2DEA-FA70-47D6-A519-70DD139E7B1D}">
      <text>
        <r>
          <rPr>
            <b/>
            <sz val="9"/>
            <color indexed="81"/>
            <rFont val="Tahoma"/>
            <family val="2"/>
          </rPr>
          <t>Rogelio Curiel Lopez:</t>
        </r>
        <r>
          <rPr>
            <sz val="9"/>
            <color indexed="81"/>
            <rFont val="Tahoma"/>
            <family val="2"/>
          </rPr>
          <t xml:space="preserve">
pedir 2000 adicionales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tc={EE1694A1-5112-477F-952C-0675AF3C3FCF}</author>
  </authors>
  <commentList>
    <comment ref="G23" authorId="0" shapeId="0" xr:uid="{EE1694A1-5112-477F-952C-0675AF3C3FC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10000 kg from NZDK</t>
      </text>
    </comment>
  </commentList>
</comments>
</file>

<file path=xl/sharedStrings.xml><?xml version="1.0" encoding="utf-8"?>
<sst xmlns="http://schemas.openxmlformats.org/spreadsheetml/2006/main" count="1831" uniqueCount="274">
  <si>
    <t>Actualizando con DP de Junio  para Julio a Dic</t>
  </si>
  <si>
    <t>26.06.25  basado en BIOTECSA  Archivoi enviado por Riogelio Curiel 7 Mayo</t>
  </si>
  <si>
    <t xml:space="preserve">BIOTECSA - Brewing </t>
  </si>
  <si>
    <t>REYTD Jan</t>
  </si>
  <si>
    <t>REYTD Feb</t>
  </si>
  <si>
    <t>REYTD Mar</t>
  </si>
  <si>
    <t>REYTD Apr</t>
  </si>
  <si>
    <t>REYTD May</t>
  </si>
  <si>
    <t>REYTD Jun</t>
  </si>
  <si>
    <t>DP</t>
  </si>
  <si>
    <t>Frozen</t>
  </si>
  <si>
    <t>Frozen March 2025</t>
  </si>
  <si>
    <t>Company</t>
  </si>
  <si>
    <t>PRODUCTO</t>
  </si>
  <si>
    <t xml:space="preserve">PRECIO USD / Kg 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</si>
  <si>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</si>
  <si>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</si>
  <si>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</si>
  <si>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</si>
  <si>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</si>
  <si>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</si>
  <si>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</si>
  <si>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</si>
  <si>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</si>
  <si>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</si>
  <si>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</si>
  <si>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</si>
  <si>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VOLUMEN</t>
  </si>
  <si>
    <t>TURNOVER USD</t>
  </si>
  <si>
    <t>TURNOVER EUR</t>
  </si>
  <si>
    <t>BGT EUR 2025</t>
  </si>
  <si>
    <t>BDGT  in KG</t>
  </si>
  <si>
    <t>FF1 NVNS EUR</t>
  </si>
  <si>
    <t>FF1 NVN SKG</t>
  </si>
  <si>
    <t>FF2 NVNS EUR</t>
  </si>
  <si>
    <t>FF2 NVNS KG</t>
  </si>
  <si>
    <t>Dose</t>
  </si>
  <si>
    <t>Kg calculated 2026</t>
  </si>
  <si>
    <t>Enzyme in 2026 BGT</t>
  </si>
  <si>
    <t>USD</t>
  </si>
  <si>
    <t>EUROS</t>
  </si>
  <si>
    <t>Budgeted</t>
  </si>
  <si>
    <t>NZMX</t>
  </si>
  <si>
    <t>HK</t>
  </si>
  <si>
    <t>ATTENUZYME PRO PORR</t>
  </si>
  <si>
    <t>Attenuzyme Prime</t>
  </si>
  <si>
    <t>ATTENUZYME PRO CONT</t>
  </si>
  <si>
    <t>ATTENUZYME PRIME CONT</t>
  </si>
  <si>
    <t>ATTENUZYME PRIME PORR</t>
  </si>
  <si>
    <t>CEREMIX PLUS</t>
  </si>
  <si>
    <t>Ceremix Plus</t>
  </si>
  <si>
    <t>MATUREX PRO</t>
  </si>
  <si>
    <t>Maturex Pro</t>
  </si>
  <si>
    <t>TERMAMYL SC DS</t>
  </si>
  <si>
    <t>Termamyl SC DS</t>
  </si>
  <si>
    <t>TEMAMYL SC 4X CONT</t>
  </si>
  <si>
    <t xml:space="preserve">Termamyl SC 4X </t>
  </si>
  <si>
    <t>TEMAMYL SC 4X</t>
  </si>
  <si>
    <t>ULTRAFLO MAX PORR</t>
  </si>
  <si>
    <t>ULTRAFLO MAX CONT</t>
  </si>
  <si>
    <t>Ultraflo Prime</t>
  </si>
  <si>
    <t>NZNA</t>
  </si>
  <si>
    <t xml:space="preserve">ULTRAFLO MAX </t>
  </si>
  <si>
    <t>Ultraflo Max</t>
  </si>
  <si>
    <t>ULTRAFLO PRIME CONT</t>
  </si>
  <si>
    <t>ULTRAFLO PRIME</t>
  </si>
  <si>
    <t>CIH</t>
  </si>
  <si>
    <t>TERMAMYL SC DS JC 30 Kg</t>
  </si>
  <si>
    <t>Termamyl SC 4X</t>
  </si>
  <si>
    <t>TERMAMYL SC DS IBC 1100 Kg</t>
  </si>
  <si>
    <t>NZDK</t>
  </si>
  <si>
    <t>ULTRAFLO MAX JC 25 Kg</t>
  </si>
  <si>
    <t xml:space="preserve">ULTRAFLO MAX 1000 kg </t>
  </si>
  <si>
    <t>ATTENUZYME PRO IBC 1100 Kg</t>
  </si>
  <si>
    <t>Not in BGT</t>
  </si>
  <si>
    <t>Jamaica</t>
  </si>
  <si>
    <t xml:space="preserve">Ultraflo Max </t>
  </si>
  <si>
    <t>T y Tobago</t>
  </si>
  <si>
    <t>???</t>
  </si>
  <si>
    <t xml:space="preserve">Lumista Gold PR </t>
  </si>
  <si>
    <t>Panama</t>
  </si>
  <si>
    <t xml:space="preserve">Attenuzyme Pro DG </t>
  </si>
  <si>
    <t>Attenuzyme Pro</t>
  </si>
  <si>
    <t xml:space="preserve">Ty Tobago </t>
  </si>
  <si>
    <t>Ty Tobago</t>
  </si>
  <si>
    <t xml:space="preserve">Maturex Pro </t>
  </si>
  <si>
    <t>T &amp; Tobago</t>
  </si>
  <si>
    <t>Barbados</t>
  </si>
  <si>
    <t>Ceremix Plus MG</t>
  </si>
  <si>
    <t>Bahamas</t>
  </si>
  <si>
    <t>Kg/ mth</t>
  </si>
  <si>
    <t>Re Mth</t>
  </si>
  <si>
    <t>BGT 2026 recalculated</t>
  </si>
  <si>
    <r>
      <t xml:space="preserve">FF1 Mth </t>
    </r>
    <r>
      <rPr>
        <b/>
        <sz val="14"/>
        <color theme="1"/>
        <rFont val="Aptos Narrow"/>
        <family val="2"/>
        <scheme val="minor"/>
      </rPr>
      <t>NVNS</t>
    </r>
  </si>
  <si>
    <t>Oficial BGT 2026 ( see below  cell S98)</t>
  </si>
  <si>
    <r>
      <t xml:space="preserve">FF2 Mth </t>
    </r>
    <r>
      <rPr>
        <b/>
        <sz val="11"/>
        <color theme="1"/>
        <rFont val="Aptos Narrow"/>
        <family val="2"/>
        <scheme val="minor"/>
      </rPr>
      <t>NVNS</t>
    </r>
  </si>
  <si>
    <t>% Re vs FF1 Mth</t>
  </si>
  <si>
    <t xml:space="preserve">Gap between FF2 and  BGT 2026 : </t>
  </si>
  <si>
    <t>ReYTD</t>
  </si>
  <si>
    <t>BGT YTD</t>
  </si>
  <si>
    <t>BIC's Impact BIOTECSA  2025</t>
  </si>
  <si>
    <t>From SF July 4th, 2025</t>
  </si>
  <si>
    <t>Ultraflo Max to Ultraflo PRIME</t>
  </si>
  <si>
    <t>Price</t>
  </si>
  <si>
    <t>EUR</t>
  </si>
  <si>
    <t xml:space="preserve">EUR </t>
  </si>
  <si>
    <t>2024 KG</t>
  </si>
  <si>
    <t>2024 EUR</t>
  </si>
  <si>
    <t xml:space="preserve">2025 SF Kg </t>
  </si>
  <si>
    <t xml:space="preserve"> 2025 SF EUR </t>
  </si>
  <si>
    <t xml:space="preserve">Impact of Year </t>
  </si>
  <si>
    <t xml:space="preserve">Annualized Value </t>
  </si>
  <si>
    <t xml:space="preserve">Status/ EFO </t>
  </si>
  <si>
    <t>%</t>
  </si>
  <si>
    <t xml:space="preserve">Heineken </t>
  </si>
  <si>
    <t>BIOTECSA/HK/ Brewhouse BIC conversion: UF MAX TO UF PRIME 4 out of 7 plants</t>
  </si>
  <si>
    <t>UFMax</t>
  </si>
  <si>
    <t>WON</t>
  </si>
  <si>
    <t>UFPrime</t>
  </si>
  <si>
    <t xml:space="preserve">WON </t>
  </si>
  <si>
    <t>BIOTECSA/HK/ Brewhouse BIC conversion: UF MAX TO UF PRIME 3out of 7 plants</t>
  </si>
  <si>
    <t>Attenuzyme Pro to Attenuzyme PRIME</t>
  </si>
  <si>
    <t xml:space="preserve">Status </t>
  </si>
  <si>
    <t>BIOTECSA/ HK/ Brewhouse BIC to Attenuzyme Prime/</t>
  </si>
  <si>
    <t>Termamyl SC DS to Termamyl SC 4X</t>
  </si>
  <si>
    <t>BIOTECSA/ HK/ Brewhouse BIC Conversion : Termamyl SC DS to Termamyl SC 4X</t>
  </si>
  <si>
    <t>FF2 2025  KG</t>
  </si>
  <si>
    <t>FF2 2025  EUR</t>
  </si>
  <si>
    <t>Constellation Brands</t>
  </si>
  <si>
    <t>BIOTECSA/CIH/ Brewhouse BIC conversion: UF MAX TO UF PRIME</t>
  </si>
  <si>
    <t>BIOTECSA/CIH/ Brewhouse BIC conversion: Attenuzyme Pro TO Attenuzyme Prime</t>
  </si>
  <si>
    <t>BIOTECSA//CIH/ Brewhouse BIC Conversion : Termamyl SC DS to Termamyl SC 4X</t>
  </si>
  <si>
    <t>ULTRAFLO MAXJC 25Kg</t>
  </si>
  <si>
    <t>Jan Kg</t>
  </si>
  <si>
    <t>Feb Kg</t>
  </si>
  <si>
    <t>Mar Kg</t>
  </si>
  <si>
    <t>Apr Kg</t>
  </si>
  <si>
    <t>May Kg</t>
  </si>
  <si>
    <t>Jun Kg</t>
  </si>
  <si>
    <t>Jul Kg</t>
  </si>
  <si>
    <t xml:space="preserve">Aug Kg </t>
  </si>
  <si>
    <t xml:space="preserve">Sep Kg </t>
  </si>
  <si>
    <t xml:space="preserve">Oct Kg </t>
  </si>
  <si>
    <t xml:space="preserve">Nov Kg </t>
  </si>
  <si>
    <t xml:space="preserve">Dec Kg </t>
  </si>
  <si>
    <t>ULTRAFLO PRIME IBC 1000 Kg</t>
  </si>
  <si>
    <t>ULTRAFLO PRIME JC 25kg</t>
  </si>
  <si>
    <t>CEREMIX PLUS FD 40 Kgs</t>
  </si>
  <si>
    <t>Maturex Pro JC 5Kg</t>
  </si>
  <si>
    <t>Maturex Pro  JC 5Kg</t>
  </si>
  <si>
    <t>Ultraflo Max  JC 5Kg</t>
  </si>
  <si>
    <t>MATUREX PRO  JC 5Kg</t>
  </si>
  <si>
    <t>BDGT KG
2026</t>
  </si>
  <si>
    <t>BGT USD 2026</t>
  </si>
  <si>
    <t>BGT EUR 2026</t>
  </si>
  <si>
    <t>Oficial BGT
Brewing in SAP
2026</t>
  </si>
  <si>
    <t>Subtotal</t>
  </si>
  <si>
    <t>Total BDGT</t>
  </si>
  <si>
    <t>Budgeteed</t>
  </si>
  <si>
    <t>ATTENUZYME PRIME PORR 25 Kg</t>
  </si>
  <si>
    <t>ATTENUZYME PRIME CONT 1100Kg</t>
  </si>
  <si>
    <t>ATTENUZYME PRO JC 25 Kg</t>
  </si>
  <si>
    <t>ATTENUZYME PRO CONT 1100 Kg</t>
  </si>
  <si>
    <t>TEMAMYL SC 4X JC 25 Kg</t>
  </si>
  <si>
    <t>TERMAMYL SC DS 1200 Kg</t>
  </si>
  <si>
    <t>TEMAMYL SC 4X CONT IBC 1200 Kg</t>
  </si>
  <si>
    <t>GAP vs BGT</t>
  </si>
  <si>
    <t>DP Kg</t>
  </si>
  <si>
    <t xml:space="preserve">Ex. Rate 1 USD </t>
  </si>
  <si>
    <t>Gap in Kg</t>
  </si>
  <si>
    <t>DP in USD</t>
  </si>
  <si>
    <t>January 2026</t>
  </si>
  <si>
    <t>23.01.26</t>
  </si>
  <si>
    <t>DP  based on  BGT 2026  BREWING BIOTECSA</t>
  </si>
  <si>
    <t>Instructions: Please do not modify formulas, only populate information on Volume.</t>
  </si>
  <si>
    <t>Jan USD</t>
  </si>
  <si>
    <t>Feb USD</t>
  </si>
  <si>
    <t>Mar  USD</t>
  </si>
  <si>
    <t>Apr  USD</t>
  </si>
  <si>
    <t>May USD</t>
  </si>
  <si>
    <t>Jun  USD</t>
  </si>
  <si>
    <t>Jul USD</t>
  </si>
  <si>
    <t>Aug USD</t>
  </si>
  <si>
    <t>Sep USD</t>
  </si>
  <si>
    <t>Nov  USD</t>
  </si>
  <si>
    <t>Dec  USD</t>
  </si>
  <si>
    <t>DP in EUR</t>
  </si>
  <si>
    <t>Gap in EUR
 vs BGT 2026</t>
  </si>
  <si>
    <t>Gap in USD
 vs BGT 2026</t>
  </si>
  <si>
    <t xml:space="preserve"> DP Period: February-  April 2026</t>
  </si>
  <si>
    <t>KG</t>
  </si>
  <si>
    <t>Subtotal  MX</t>
  </si>
  <si>
    <t>Subtotal CAM &amp; Caribe</t>
  </si>
  <si>
    <t>DP USD in MX</t>
  </si>
  <si>
    <t>DP EUR in MX</t>
  </si>
  <si>
    <t>Gap in Kg MX</t>
  </si>
  <si>
    <t>DP USD
 in CAM&amp;CB</t>
  </si>
  <si>
    <t>DP EUR
 in CAM&amp;CB</t>
  </si>
  <si>
    <t>BDGT KG 2026
CAM&amp;CB</t>
  </si>
  <si>
    <t>BGT USD 2026
CAM&amp;CB</t>
  </si>
  <si>
    <t>BGT EUR 2026
CAM&amp;CB</t>
  </si>
  <si>
    <t xml:space="preserve">USD </t>
  </si>
  <si>
    <r>
      <t>2026 BGT Calculated  TURNOVER in Volume</t>
    </r>
    <r>
      <rPr>
        <b/>
        <u/>
        <sz val="16"/>
        <color theme="1"/>
        <rFont val="Aptos Narrow"/>
        <family val="2"/>
        <scheme val="minor"/>
      </rPr>
      <t xml:space="preserve"> KG</t>
    </r>
  </si>
  <si>
    <t>MEXICO</t>
  </si>
  <si>
    <t>CAM &amp; Caribe</t>
  </si>
  <si>
    <t>Oct USD</t>
  </si>
  <si>
    <r>
      <t>2026 BGT Calculated  TURNOVER in</t>
    </r>
    <r>
      <rPr>
        <b/>
        <u/>
        <sz val="20"/>
        <color theme="1"/>
        <rFont val="Aptos Narrow"/>
        <family val="2"/>
        <scheme val="minor"/>
      </rPr>
      <t xml:space="preserve"> USD </t>
    </r>
  </si>
  <si>
    <t xml:space="preserve">DO NOT TOUCH or MODIFY </t>
  </si>
  <si>
    <t>Notes: Kg have been modified  by VIAA to meet the BGT 2026 indicated by LT/CNSY</t>
  </si>
  <si>
    <t>BUDGET 2026 
Brewing</t>
  </si>
  <si>
    <r>
      <t>2026 BGT Calculated  TURNOVER in</t>
    </r>
    <r>
      <rPr>
        <b/>
        <u/>
        <sz val="20"/>
        <color theme="1"/>
        <rFont val="Aptos Narrow"/>
        <family val="2"/>
        <scheme val="minor"/>
      </rPr>
      <t xml:space="preserve"> KG</t>
    </r>
  </si>
  <si>
    <r>
      <t xml:space="preserve">2026 BGT Calculated  TURNOVER in </t>
    </r>
    <r>
      <rPr>
        <b/>
        <u/>
        <sz val="20"/>
        <color theme="1"/>
        <rFont val="Aptos Narrow"/>
        <family val="2"/>
        <scheme val="minor"/>
      </rPr>
      <t>USD</t>
    </r>
  </si>
  <si>
    <t>TC 2025</t>
  </si>
  <si>
    <t>1 USD</t>
  </si>
  <si>
    <t>TC 2026</t>
  </si>
  <si>
    <t>RELY (2025)</t>
  </si>
  <si>
    <t>TC2026</t>
  </si>
  <si>
    <t>Cambio de forma en que se envian enzimas a las plantas.</t>
  </si>
  <si>
    <t>Se estara tomando en cuenta consumo trimestral a partir de Abril</t>
  </si>
  <si>
    <t>ATTENUZYME PRO  JC 25</t>
  </si>
  <si>
    <t>ATTENUZYME PRO Cont</t>
  </si>
  <si>
    <t>Termamyl SC 4X, en JC ye IBC,  no se hizo una proyeccion correcta en plantas y estan usando muy poco. Biotecsa esta sobreinventariado</t>
  </si>
  <si>
    <r>
      <t xml:space="preserve">TERMAMYL SC DS IBC </t>
    </r>
    <r>
      <rPr>
        <u/>
        <sz val="11"/>
        <color theme="1"/>
        <rFont val="Aptos Narrow"/>
        <family val="2"/>
        <scheme val="minor"/>
      </rPr>
      <t xml:space="preserve">1200 </t>
    </r>
    <r>
      <rPr>
        <sz val="11"/>
        <color theme="1"/>
        <rFont val="Aptos Narrow"/>
        <family val="2"/>
        <scheme val="minor"/>
      </rPr>
      <t>Kg</t>
    </r>
  </si>
  <si>
    <t xml:space="preserve">Comentarios </t>
  </si>
  <si>
    <t>FF1 KG</t>
  </si>
  <si>
    <t>FF1 USD</t>
  </si>
  <si>
    <t>FF1EUR</t>
  </si>
  <si>
    <t>FF1 Acordado</t>
  </si>
  <si>
    <t>RE +DP Kg</t>
  </si>
  <si>
    <t>Comentarios</t>
  </si>
  <si>
    <t>MX &amp; CAM USD</t>
  </si>
  <si>
    <t>MX&amp; CAM EUR</t>
  </si>
  <si>
    <t>Jan Kg REAL</t>
  </si>
  <si>
    <t>Real USD</t>
  </si>
  <si>
    <t>Re EUR</t>
  </si>
  <si>
    <t>Real Kg</t>
  </si>
  <si>
    <t>Cambios DP</t>
  </si>
  <si>
    <t>Orden colocada ( OO)</t>
  </si>
  <si>
    <t>Real Sales</t>
  </si>
  <si>
    <t xml:space="preserve">BDGT </t>
  </si>
  <si>
    <t>FF1</t>
  </si>
  <si>
    <t>FF2 EUR</t>
  </si>
  <si>
    <t>Consideramos que continuaremos vendiendo Ceremix Plus durante todo el año, es importante tener inventario disponible</t>
  </si>
  <si>
    <t>Es probable que continuen comprando el resto del año</t>
  </si>
  <si>
    <t>Nos informaron que esperan un año con menos producción, por lo que se comprará menos enzima</t>
  </si>
  <si>
    <t>Clave SAE</t>
  </si>
  <si>
    <t>MP-0044</t>
  </si>
  <si>
    <t>POR-0352</t>
  </si>
  <si>
    <t>CON-0343</t>
  </si>
  <si>
    <t>POR-0343</t>
  </si>
  <si>
    <t>CON-0066</t>
  </si>
  <si>
    <t>CON-0246</t>
  </si>
  <si>
    <t>MP-0066</t>
  </si>
  <si>
    <t>MP-0268</t>
  </si>
  <si>
    <t>MP-0316</t>
  </si>
  <si>
    <t>MP-0184</t>
  </si>
  <si>
    <t>MP-0246</t>
  </si>
  <si>
    <t>MP-0319</t>
  </si>
  <si>
    <t>MP-0308</t>
  </si>
  <si>
    <t xml:space="preserve">Codigo Universal  </t>
  </si>
  <si>
    <t>B0196-C3</t>
  </si>
  <si>
    <t>B0196-P6</t>
  </si>
  <si>
    <t>B0202-C1</t>
  </si>
  <si>
    <t>B0203-C1</t>
  </si>
  <si>
    <t>B0203-P6</t>
  </si>
  <si>
    <t>B0216-06</t>
  </si>
  <si>
    <t>B0215-P7</t>
  </si>
  <si>
    <t>REVISAR</t>
  </si>
  <si>
    <t>B0021-P6</t>
  </si>
  <si>
    <t>B0022-C2</t>
  </si>
  <si>
    <t>B0022-P6</t>
  </si>
  <si>
    <t>B0121</t>
  </si>
  <si>
    <t>B0124</t>
  </si>
  <si>
    <t>B0073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</si>
</sst>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&quot;$&quot;* #,##0_-;\-&quot;$&quot;* #,##0_-;_-&quot;$&quot;* &quot;-&quot;??_-;_-@_-"/>
    <numFmt numFmtId="167" formatCode="_([$€-2]\ * #,##0.00_);_([$€-2]\ * \(#,##0.00\);_([$€-2]\ * &quot;-&quot;??_);_(@_)"/>
    <numFmt numFmtId="168" formatCode="_(* #,##0_);_(* \(#,##0\);_(* &quot;-&quot;??_);_(@_)"/>
    <numFmt numFmtId="169" formatCode="_([$€-2]\ * #,##0_);_([$€-2]\ * \(#,##0\);_([$€-2]\ * &quot;-&quot;??_);_(@_)"/>
    <numFmt numFmtId="170" formatCode="###,000"/>
    <numFmt numFmtId="171" formatCode="_([$€-2]\ * #,##0.0000_);_([$€-2]\ * \(#,##0.0000\);_([$€-2]\ * &quot;-&quot;??_);_(@_)"/>
    <numFmt numFmtId="172" formatCode="_-[$€-2]\ * #,##0.00_-;\-[$€-2]\ * #,##0.00_-;_-[$€-2]\ * &quot;-&quot;??_-;_-@_-"/>
    <numFmt numFmtId="173" formatCode="_-[$€-2]\ * #,##0_-;\-[$€-2]\ * #,##0_-;_-[$€-2]\ * &quot;-&quot;??_-;_-@_-"/>
    <numFmt numFmtId="174" formatCode="_-* #,##0.0000_-;\-* #,##0.0000_-;_-* &quot;-&quot;????_-;_-@_-"/>
    <numFmt numFmtId="175" formatCode="_-&quot;$&quot;* #,##0.0_-;\-&quot;$&quot;* #,##0.0_-;_-&quot;$&quot;* &quot;-&quot;??_-;_-@_-"/>
    <numFmt numFmtId="176" formatCode="[$€-2]\ #,##0;\-[$€-2]\ #,##0"/>
  </numFmts>
  <fonts count="3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2D0028"/>
      <name val="Arial"/>
      <family val="2"/>
    </font>
    <font>
      <b/>
      <u/>
      <sz val="11"/>
      <color theme="1"/>
      <name val="Aptos Narrow"/>
      <family val="2"/>
      <scheme val="minor"/>
    </font>
    <font>
      <b/>
      <sz val="10"/>
      <color rgb="FF2D0028"/>
      <name val="Arial"/>
      <family val="2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rial"/>
      <family val="2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8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sz val="11"/>
      <color theme="1"/>
      <name val="Abadi"/>
      <family val="2"/>
    </font>
    <font>
      <b/>
      <sz val="20"/>
      <color theme="1"/>
      <name val="Aptos Narrow"/>
      <family val="2"/>
      <scheme val="minor"/>
    </font>
    <font>
      <b/>
      <u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0"/>
      <color rgb="FF00B05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5DA00"/>
        <bgColor rgb="FF000000"/>
      </patternFill>
    </fill>
    <fill>
      <patternFill patternType="solid">
        <fgColor rgb="FFDBDDDB"/>
        <bgColor rgb="FF000000"/>
      </patternFill>
    </fill>
    <fill>
      <patternFill patternType="solid">
        <fgColor theme="2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7DDD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3" tint="0.59996337778862885"/>
      </right>
      <top/>
      <bottom style="dotted">
        <color theme="3" tint="0.599963377788628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 tint="-4.9989318521683403E-2"/>
      </bottom>
      <diagonal/>
    </border>
    <border>
      <left/>
      <right/>
      <top/>
      <bottom style="thin">
        <color theme="0"/>
      </bottom>
      <diagonal/>
    </border>
    <border>
      <left/>
      <right/>
      <top style="thick">
        <color rgb="FFC5DA00"/>
      </top>
      <bottom style="thin">
        <color theme="0"/>
      </bottom>
      <diagonal/>
    </border>
    <border>
      <left/>
      <right style="medium">
        <color rgb="FFC0C0C0"/>
      </right>
      <top style="thick">
        <color rgb="FFC5DA00"/>
      </top>
      <bottom style="medium">
        <color rgb="FFC0C0C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8" fillId="0" borderId="8" applyNumberFormat="0" applyProtection="0">
      <alignment horizontal="right" vertical="center"/>
    </xf>
    <xf numFmtId="0" fontId="3" fillId="18" borderId="14" applyNumberFormat="0" applyAlignment="0" applyProtection="0">
      <alignment horizontal="left" vertical="center" indent="1"/>
    </xf>
    <xf numFmtId="170" fontId="8" fillId="19" borderId="15" applyNumberFormat="0" applyAlignment="0" applyProtection="0">
      <alignment horizontal="left" vertical="center" indent="1"/>
    </xf>
    <xf numFmtId="0" fontId="10" fillId="20" borderId="16" applyNumberFormat="0" applyAlignment="0" applyProtection="0">
      <alignment horizontal="left" vertical="center" indent="1"/>
    </xf>
    <xf numFmtId="170" fontId="10" fillId="0" borderId="17" applyNumberFormat="0" applyProtection="0">
      <alignment horizontal="right" vertical="center"/>
    </xf>
  </cellStyleXfs>
  <cellXfs count="612">
    <xf numFmtId="0" fontId="0" fillId="0" borderId="0" xfId="0"/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4" fontId="2" fillId="3" borderId="1" xfId="1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3" fontId="2" fillId="0" borderId="1" xfId="0" applyNumberFormat="1" applyFont="1" applyBorder="1" applyAlignment="1">
      <alignment horizontal="left" vertical="top"/>
    </xf>
    <xf numFmtId="3" fontId="4" fillId="3" borderId="1" xfId="0" applyNumberFormat="1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3" fontId="0" fillId="0" borderId="0" xfId="0" applyNumberFormat="1" applyAlignment="1">
      <alignment horizontal="left" vertical="top"/>
    </xf>
    <xf numFmtId="167" fontId="0" fillId="0" borderId="0" xfId="0" applyNumberFormat="1" applyAlignment="1">
      <alignment horizontal="left" vertical="top"/>
    </xf>
    <xf numFmtId="44" fontId="0" fillId="0" borderId="0" xfId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3" fontId="4" fillId="6" borderId="1" xfId="0" applyNumberFormat="1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/>
    </xf>
    <xf numFmtId="0" fontId="5" fillId="8" borderId="1" xfId="0" applyFont="1" applyFill="1" applyBorder="1" applyAlignment="1">
      <alignment horizontal="left" vertical="top"/>
    </xf>
    <xf numFmtId="3" fontId="0" fillId="6" borderId="1" xfId="0" applyNumberFormat="1" applyFill="1" applyBorder="1" applyAlignment="1">
      <alignment horizontal="left" vertical="top"/>
    </xf>
    <xf numFmtId="168" fontId="0" fillId="0" borderId="0" xfId="2" applyNumberFormat="1" applyFont="1" applyAlignment="1">
      <alignment horizontal="left" vertical="top"/>
    </xf>
    <xf numFmtId="168" fontId="0" fillId="0" borderId="0" xfId="0" applyNumberFormat="1" applyAlignment="1">
      <alignment horizontal="left" vertical="top"/>
    </xf>
    <xf numFmtId="3" fontId="4" fillId="6" borderId="1" xfId="0" applyNumberFormat="1" applyFont="1" applyFill="1" applyBorder="1" applyAlignment="1">
      <alignment horizontal="left" vertical="top"/>
    </xf>
    <xf numFmtId="3" fontId="0" fillId="6" borderId="2" xfId="0" applyNumberForma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3" fontId="4" fillId="8" borderId="1" xfId="0" applyNumberFormat="1" applyFont="1" applyFill="1" applyBorder="1" applyAlignment="1">
      <alignment horizontal="left" vertical="top"/>
    </xf>
    <xf numFmtId="3" fontId="0" fillId="6" borderId="1" xfId="0" applyNumberFormat="1" applyFill="1" applyBorder="1" applyAlignment="1">
      <alignment horizontal="left" vertical="top" shrinkToFit="1"/>
    </xf>
    <xf numFmtId="3" fontId="4" fillId="7" borderId="1" xfId="0" applyNumberFormat="1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/>
    </xf>
    <xf numFmtId="0" fontId="4" fillId="8" borderId="1" xfId="0" applyFont="1" applyFill="1" applyBorder="1" applyAlignment="1">
      <alignment horizontal="left" vertical="top"/>
    </xf>
    <xf numFmtId="0" fontId="5" fillId="9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3" fontId="4" fillId="0" borderId="1" xfId="0" applyNumberFormat="1" applyFont="1" applyBorder="1" applyAlignment="1">
      <alignment horizontal="left" vertical="top"/>
    </xf>
    <xf numFmtId="0" fontId="4" fillId="9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3" fontId="4" fillId="9" borderId="1" xfId="0" applyNumberFormat="1" applyFont="1" applyFill="1" applyBorder="1" applyAlignment="1">
      <alignment horizontal="left" vertical="top"/>
    </xf>
    <xf numFmtId="0" fontId="4" fillId="9" borderId="1" xfId="0" applyFont="1" applyFill="1" applyBorder="1" applyAlignment="1">
      <alignment horizontal="left" vertical="top"/>
    </xf>
    <xf numFmtId="3" fontId="0" fillId="9" borderId="1" xfId="0" applyNumberFormat="1" applyFill="1" applyBorder="1" applyAlignment="1">
      <alignment horizontal="left" vertical="top"/>
    </xf>
    <xf numFmtId="3" fontId="3" fillId="9" borderId="1" xfId="0" applyNumberFormat="1" applyFont="1" applyFill="1" applyBorder="1" applyAlignment="1">
      <alignment horizontal="left" vertical="top" wrapText="1"/>
    </xf>
    <xf numFmtId="3" fontId="0" fillId="9" borderId="1" xfId="0" applyNumberFormat="1" applyFill="1" applyBorder="1" applyAlignment="1">
      <alignment horizontal="left" vertical="top" shrinkToFit="1"/>
    </xf>
    <xf numFmtId="168" fontId="1" fillId="0" borderId="0" xfId="2" applyNumberFormat="1" applyFont="1" applyAlignment="1">
      <alignment horizontal="left" vertical="top"/>
    </xf>
    <xf numFmtId="169" fontId="0" fillId="0" borderId="0" xfId="1" applyNumberFormat="1" applyFont="1" applyAlignment="1">
      <alignment horizontal="left" vertical="top"/>
    </xf>
    <xf numFmtId="9" fontId="0" fillId="0" borderId="0" xfId="3" applyFont="1" applyAlignment="1">
      <alignment horizontal="center" vertical="center"/>
    </xf>
    <xf numFmtId="3" fontId="0" fillId="5" borderId="1" xfId="0" applyNumberFormat="1" applyFill="1" applyBorder="1" applyAlignment="1">
      <alignment horizontal="left" vertical="top"/>
    </xf>
    <xf numFmtId="3" fontId="0" fillId="5" borderId="1" xfId="0" applyNumberFormat="1" applyFill="1" applyBorder="1" applyAlignment="1">
      <alignment horizontal="left" vertical="top" shrinkToFit="1"/>
    </xf>
    <xf numFmtId="0" fontId="0" fillId="0" borderId="1" xfId="0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0" fontId="0" fillId="9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8" borderId="1" xfId="0" applyFill="1" applyBorder="1" applyAlignment="1">
      <alignment horizontal="left" vertical="top"/>
    </xf>
    <xf numFmtId="44" fontId="2" fillId="3" borderId="3" xfId="1" applyFont="1" applyFill="1" applyBorder="1" applyAlignment="1">
      <alignment horizontal="left" vertical="top"/>
    </xf>
    <xf numFmtId="3" fontId="4" fillId="6" borderId="3" xfId="0" applyNumberFormat="1" applyFont="1" applyFill="1" applyBorder="1" applyAlignment="1">
      <alignment horizontal="left" vertical="top" wrapText="1"/>
    </xf>
    <xf numFmtId="0" fontId="5" fillId="6" borderId="3" xfId="0" applyFont="1" applyFill="1" applyBorder="1" applyAlignment="1">
      <alignment horizontal="left" vertical="top"/>
    </xf>
    <xf numFmtId="0" fontId="5" fillId="8" borderId="3" xfId="0" applyFont="1" applyFill="1" applyBorder="1" applyAlignment="1">
      <alignment horizontal="left" vertical="top"/>
    </xf>
    <xf numFmtId="0" fontId="5" fillId="9" borderId="3" xfId="0" applyFont="1" applyFill="1" applyBorder="1" applyAlignment="1">
      <alignment horizontal="left" vertical="top"/>
    </xf>
    <xf numFmtId="3" fontId="0" fillId="9" borderId="3" xfId="0" applyNumberFormat="1" applyFill="1" applyBorder="1" applyAlignment="1">
      <alignment horizontal="left" vertical="top"/>
    </xf>
    <xf numFmtId="3" fontId="0" fillId="5" borderId="3" xfId="0" applyNumberFormat="1" applyFill="1" applyBorder="1" applyAlignment="1">
      <alignment horizontal="left" vertical="top"/>
    </xf>
    <xf numFmtId="3" fontId="0" fillId="6" borderId="3" xfId="0" applyNumberFormat="1" applyFill="1" applyBorder="1" applyAlignment="1">
      <alignment horizontal="left" vertical="top"/>
    </xf>
    <xf numFmtId="3" fontId="2" fillId="0" borderId="3" xfId="0" applyNumberFormat="1" applyFont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top" wrapText="1"/>
    </xf>
    <xf numFmtId="167" fontId="0" fillId="0" borderId="1" xfId="0" applyNumberFormat="1" applyBorder="1" applyAlignment="1">
      <alignment horizontal="left" vertical="top"/>
    </xf>
    <xf numFmtId="167" fontId="0" fillId="0" borderId="7" xfId="0" applyNumberForma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13" borderId="1" xfId="0" applyFill="1" applyBorder="1" applyAlignment="1">
      <alignment horizontal="left" vertical="top"/>
    </xf>
    <xf numFmtId="44" fontId="2" fillId="13" borderId="1" xfId="1" applyFont="1" applyFill="1" applyBorder="1" applyAlignment="1">
      <alignment horizontal="left" vertical="top"/>
    </xf>
    <xf numFmtId="44" fontId="2" fillId="14" borderId="1" xfId="1" applyFont="1" applyFill="1" applyBorder="1" applyAlignment="1">
      <alignment horizontal="left" vertical="top"/>
    </xf>
    <xf numFmtId="167" fontId="0" fillId="15" borderId="1" xfId="0" applyNumberFormat="1" applyFill="1" applyBorder="1" applyAlignment="1">
      <alignment horizontal="left" vertical="top"/>
    </xf>
    <xf numFmtId="168" fontId="0" fillId="0" borderId="1" xfId="2" applyNumberFormat="1" applyFont="1" applyBorder="1" applyAlignment="1">
      <alignment horizontal="left" vertical="top"/>
    </xf>
    <xf numFmtId="168" fontId="0" fillId="15" borderId="1" xfId="2" applyNumberFormat="1" applyFont="1" applyFill="1" applyBorder="1" applyAlignment="1">
      <alignment horizontal="left" vertical="top"/>
    </xf>
    <xf numFmtId="168" fontId="0" fillId="16" borderId="1" xfId="2" applyNumberFormat="1" applyFont="1" applyFill="1" applyBorder="1" applyAlignment="1">
      <alignment horizontal="left" vertical="top"/>
    </xf>
    <xf numFmtId="3" fontId="0" fillId="15" borderId="1" xfId="0" applyNumberFormat="1" applyFill="1" applyBorder="1"/>
    <xf numFmtId="169" fontId="0" fillId="16" borderId="1" xfId="0" applyNumberFormat="1" applyFill="1" applyBorder="1" applyAlignment="1">
      <alignment horizontal="left" vertical="top"/>
    </xf>
    <xf numFmtId="169" fontId="0" fillId="0" borderId="0" xfId="0" applyNumberFormat="1" applyAlignment="1">
      <alignment horizontal="left" vertical="top"/>
    </xf>
    <xf numFmtId="168" fontId="0" fillId="0" borderId="0" xfId="2" applyNumberFormat="1" applyFont="1"/>
    <xf numFmtId="168" fontId="0" fillId="17" borderId="1" xfId="2" applyNumberFormat="1" applyFont="1" applyFill="1" applyBorder="1" applyAlignment="1">
      <alignment horizontal="left" vertical="top"/>
    </xf>
    <xf numFmtId="171" fontId="0" fillId="17" borderId="1" xfId="2" applyNumberFormat="1" applyFont="1" applyFill="1" applyBorder="1" applyAlignment="1">
      <alignment horizontal="left" vertical="top"/>
    </xf>
    <xf numFmtId="1" fontId="0" fillId="17" borderId="1" xfId="2" applyNumberFormat="1" applyFont="1" applyFill="1" applyBorder="1" applyAlignment="1">
      <alignment horizontal="left" vertical="top"/>
    </xf>
    <xf numFmtId="169" fontId="0" fillId="17" borderId="1" xfId="2" applyNumberFormat="1" applyFont="1" applyFill="1" applyBorder="1" applyAlignment="1">
      <alignment horizontal="left" vertical="top"/>
    </xf>
    <xf numFmtId="169" fontId="0" fillId="17" borderId="1" xfId="0" applyNumberFormat="1" applyFill="1" applyBorder="1" applyAlignment="1">
      <alignment horizontal="left" vertical="top"/>
    </xf>
    <xf numFmtId="44" fontId="2" fillId="17" borderId="1" xfId="1" applyFont="1" applyFill="1" applyBorder="1" applyAlignment="1">
      <alignment horizontal="left" vertical="top"/>
    </xf>
    <xf numFmtId="167" fontId="0" fillId="0" borderId="5" xfId="0" applyNumberForma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169" fontId="0" fillId="0" borderId="0" xfId="2" applyNumberFormat="1" applyFont="1" applyFill="1" applyBorder="1" applyAlignment="1">
      <alignment horizontal="left" vertical="top"/>
    </xf>
    <xf numFmtId="168" fontId="0" fillId="0" borderId="0" xfId="2" applyNumberFormat="1" applyFont="1" applyFill="1" applyBorder="1" applyAlignment="1">
      <alignment horizontal="left" vertical="top"/>
    </xf>
    <xf numFmtId="3" fontId="2" fillId="0" borderId="0" xfId="0" applyNumberFormat="1" applyFont="1" applyAlignment="1">
      <alignment horizontal="left" vertical="top"/>
    </xf>
    <xf numFmtId="167" fontId="2" fillId="0" borderId="0" xfId="0" applyNumberFormat="1" applyFont="1" applyAlignment="1">
      <alignment horizontal="left" vertical="top"/>
    </xf>
    <xf numFmtId="168" fontId="2" fillId="0" borderId="0" xfId="2" applyNumberFormat="1" applyFont="1" applyAlignment="1">
      <alignment horizontal="left" vertical="top"/>
    </xf>
    <xf numFmtId="169" fontId="2" fillId="0" borderId="0" xfId="0" applyNumberFormat="1" applyFont="1" applyAlignment="1">
      <alignment horizontal="left" vertical="top"/>
    </xf>
    <xf numFmtId="168" fontId="2" fillId="0" borderId="0" xfId="0" applyNumberFormat="1" applyFont="1" applyAlignment="1">
      <alignment horizontal="left" vertical="top"/>
    </xf>
    <xf numFmtId="168" fontId="6" fillId="0" borderId="1" xfId="2" applyNumberFormat="1" applyFont="1" applyBorder="1" applyAlignment="1">
      <alignment horizontal="left" vertical="top" wrapText="1"/>
    </xf>
    <xf numFmtId="168" fontId="2" fillId="0" borderId="4" xfId="2" applyNumberFormat="1" applyFont="1" applyBorder="1" applyAlignment="1">
      <alignment horizontal="left" vertical="top"/>
    </xf>
    <xf numFmtId="168" fontId="2" fillId="0" borderId="5" xfId="2" applyNumberFormat="1" applyFont="1" applyBorder="1" applyAlignment="1">
      <alignment horizontal="left" vertical="top"/>
    </xf>
    <xf numFmtId="168" fontId="2" fillId="6" borderId="5" xfId="2" applyNumberFormat="1" applyFont="1" applyFill="1" applyBorder="1" applyAlignment="1">
      <alignment horizontal="left" vertical="top"/>
    </xf>
    <xf numFmtId="168" fontId="2" fillId="4" borderId="5" xfId="2" applyNumberFormat="1" applyFont="1" applyFill="1" applyBorder="1" applyAlignment="1">
      <alignment horizontal="left" vertical="top"/>
    </xf>
    <xf numFmtId="168" fontId="0" fillId="0" borderId="6" xfId="2" applyNumberFormat="1" applyFont="1" applyBorder="1" applyAlignment="1">
      <alignment horizontal="left" vertical="top"/>
    </xf>
    <xf numFmtId="44" fontId="2" fillId="0" borderId="0" xfId="1" applyFont="1" applyFill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6" borderId="9" xfId="0" applyFont="1" applyFill="1" applyBorder="1" applyAlignment="1">
      <alignment horizontal="left" vertical="top"/>
    </xf>
    <xf numFmtId="0" fontId="5" fillId="4" borderId="9" xfId="0" applyFont="1" applyFill="1" applyBorder="1" applyAlignment="1">
      <alignment horizontal="left" vertical="top"/>
    </xf>
    <xf numFmtId="0" fontId="5" fillId="9" borderId="9" xfId="0" applyFont="1" applyFill="1" applyBorder="1" applyAlignment="1">
      <alignment horizontal="left" vertical="top"/>
    </xf>
    <xf numFmtId="3" fontId="0" fillId="6" borderId="9" xfId="0" applyNumberFormat="1" applyFill="1" applyBorder="1" applyAlignment="1">
      <alignment horizontal="left" vertical="top"/>
    </xf>
    <xf numFmtId="168" fontId="2" fillId="4" borderId="10" xfId="2" applyNumberFormat="1" applyFont="1" applyFill="1" applyBorder="1" applyAlignment="1">
      <alignment horizontal="left" vertical="top"/>
    </xf>
    <xf numFmtId="167" fontId="0" fillId="0" borderId="9" xfId="0" applyNumberFormat="1" applyBorder="1" applyAlignment="1">
      <alignment horizontal="left" vertical="top"/>
    </xf>
    <xf numFmtId="167" fontId="0" fillId="15" borderId="9" xfId="0" applyNumberFormat="1" applyFill="1" applyBorder="1" applyAlignment="1">
      <alignment horizontal="left" vertical="top"/>
    </xf>
    <xf numFmtId="3" fontId="0" fillId="15" borderId="9" xfId="0" applyNumberFormat="1" applyFill="1" applyBorder="1"/>
    <xf numFmtId="169" fontId="0" fillId="16" borderId="9" xfId="0" applyNumberFormat="1" applyFill="1" applyBorder="1" applyAlignment="1">
      <alignment horizontal="left" vertical="top"/>
    </xf>
    <xf numFmtId="168" fontId="0" fillId="16" borderId="9" xfId="2" applyNumberFormat="1" applyFont="1" applyFill="1" applyBorder="1" applyAlignment="1">
      <alignment horizontal="left" vertical="top"/>
    </xf>
    <xf numFmtId="169" fontId="0" fillId="17" borderId="9" xfId="0" applyNumberFormat="1" applyFill="1" applyBorder="1" applyAlignment="1">
      <alignment horizontal="left" vertical="top"/>
    </xf>
    <xf numFmtId="168" fontId="0" fillId="17" borderId="9" xfId="2" applyNumberFormat="1" applyFont="1" applyFill="1" applyBorder="1" applyAlignment="1">
      <alignment horizontal="left" vertical="top"/>
    </xf>
    <xf numFmtId="44" fontId="0" fillId="0" borderId="0" xfId="1" applyFont="1" applyFill="1" applyAlignment="1">
      <alignment horizontal="left" vertical="top"/>
    </xf>
    <xf numFmtId="165" fontId="0" fillId="0" borderId="0" xfId="0" applyNumberFormat="1" applyAlignment="1">
      <alignment horizontal="left" vertical="top"/>
    </xf>
    <xf numFmtId="169" fontId="2" fillId="0" borderId="0" xfId="1" applyNumberFormat="1" applyFont="1" applyAlignment="1">
      <alignment horizontal="left" vertical="top"/>
    </xf>
    <xf numFmtId="0" fontId="4" fillId="4" borderId="9" xfId="0" applyFont="1" applyFill="1" applyBorder="1" applyAlignment="1">
      <alignment horizontal="left" vertical="top"/>
    </xf>
    <xf numFmtId="0" fontId="5" fillId="8" borderId="9" xfId="0" applyFont="1" applyFill="1" applyBorder="1" applyAlignment="1">
      <alignment horizontal="left" vertical="top"/>
    </xf>
    <xf numFmtId="3" fontId="0" fillId="9" borderId="9" xfId="0" applyNumberFormat="1" applyFill="1" applyBorder="1" applyAlignment="1">
      <alignment horizontal="left" vertical="top" shrinkToFit="1"/>
    </xf>
    <xf numFmtId="3" fontId="0" fillId="5" borderId="9" xfId="0" applyNumberFormat="1" applyFill="1" applyBorder="1" applyAlignment="1">
      <alignment horizontal="left" vertical="top" shrinkToFit="1"/>
    </xf>
    <xf numFmtId="3" fontId="0" fillId="5" borderId="9" xfId="0" applyNumberFormat="1" applyFill="1" applyBorder="1" applyAlignment="1">
      <alignment horizontal="left" vertical="top"/>
    </xf>
    <xf numFmtId="168" fontId="0" fillId="15" borderId="9" xfId="2" applyNumberFormat="1" applyFont="1" applyFill="1" applyBorder="1" applyAlignment="1">
      <alignment horizontal="left" vertical="top"/>
    </xf>
    <xf numFmtId="0" fontId="0" fillId="11" borderId="0" xfId="0" applyFill="1" applyAlignment="1">
      <alignment horizontal="left" vertical="top"/>
    </xf>
    <xf numFmtId="0" fontId="0" fillId="11" borderId="1" xfId="0" applyFill="1" applyBorder="1" applyAlignment="1">
      <alignment horizontal="left" vertical="top"/>
    </xf>
    <xf numFmtId="0" fontId="0" fillId="10" borderId="1" xfId="0" applyFill="1" applyBorder="1" applyAlignment="1">
      <alignment horizontal="left" vertical="top"/>
    </xf>
    <xf numFmtId="0" fontId="6" fillId="2" borderId="11" xfId="0" applyFont="1" applyFill="1" applyBorder="1" applyAlignment="1">
      <alignment horizontal="left" vertical="top"/>
    </xf>
    <xf numFmtId="0" fontId="0" fillId="3" borderId="12" xfId="0" applyFill="1" applyBorder="1" applyAlignment="1">
      <alignment horizontal="left" vertical="top"/>
    </xf>
    <xf numFmtId="0" fontId="0" fillId="3" borderId="11" xfId="0" applyFill="1" applyBorder="1" applyAlignment="1">
      <alignment horizontal="left" vertical="top"/>
    </xf>
    <xf numFmtId="0" fontId="0" fillId="17" borderId="11" xfId="0" applyFill="1" applyBorder="1" applyAlignment="1">
      <alignment horizontal="left" vertical="top"/>
    </xf>
    <xf numFmtId="0" fontId="0" fillId="14" borderId="11" xfId="0" applyFill="1" applyBorder="1" applyAlignment="1">
      <alignment horizontal="left" vertical="top"/>
    </xf>
    <xf numFmtId="0" fontId="0" fillId="13" borderId="11" xfId="0" applyFill="1" applyBorder="1" applyAlignment="1">
      <alignment horizontal="left" vertical="top"/>
    </xf>
    <xf numFmtId="0" fontId="0" fillId="12" borderId="1" xfId="0" applyFill="1" applyBorder="1" applyAlignment="1">
      <alignment horizontal="left" vertical="top"/>
    </xf>
    <xf numFmtId="0" fontId="0" fillId="17" borderId="1" xfId="0" applyFill="1" applyBorder="1" applyAlignment="1">
      <alignment horizontal="left" vertical="top"/>
    </xf>
    <xf numFmtId="0" fontId="0" fillId="14" borderId="1" xfId="0" applyFill="1" applyBorder="1" applyAlignment="1">
      <alignment horizontal="left" vertical="top"/>
    </xf>
    <xf numFmtId="0" fontId="7" fillId="14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/>
    </xf>
    <xf numFmtId="165" fontId="0" fillId="0" borderId="0" xfId="2" applyFont="1" applyAlignment="1">
      <alignment horizontal="left" vertical="top"/>
    </xf>
    <xf numFmtId="165" fontId="0" fillId="0" borderId="0" xfId="2" applyFont="1"/>
    <xf numFmtId="168" fontId="0" fillId="17" borderId="0" xfId="2" applyNumberFormat="1" applyFont="1" applyFill="1" applyBorder="1" applyAlignment="1">
      <alignment horizontal="left" vertical="top"/>
    </xf>
    <xf numFmtId="1" fontId="0" fillId="17" borderId="0" xfId="2" applyNumberFormat="1" applyFont="1" applyFill="1" applyBorder="1" applyAlignment="1">
      <alignment horizontal="left" vertical="top"/>
    </xf>
    <xf numFmtId="165" fontId="0" fillId="17" borderId="0" xfId="2" applyFont="1" applyFill="1" applyBorder="1" applyAlignment="1">
      <alignment horizontal="left" vertical="top"/>
    </xf>
    <xf numFmtId="16" fontId="0" fillId="0" borderId="0" xfId="0" applyNumberFormat="1"/>
    <xf numFmtId="0" fontId="2" fillId="0" borderId="0" xfId="0" applyFont="1"/>
    <xf numFmtId="0" fontId="9" fillId="0" borderId="0" xfId="0" applyFont="1"/>
    <xf numFmtId="165" fontId="0" fillId="0" borderId="13" xfId="2" applyFont="1" applyBorder="1"/>
    <xf numFmtId="0" fontId="0" fillId="0" borderId="13" xfId="0" applyBorder="1"/>
    <xf numFmtId="0" fontId="0" fillId="0" borderId="0" xfId="0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0" xfId="0" applyFill="1"/>
    <xf numFmtId="2" fontId="0" fillId="0" borderId="0" xfId="0" applyNumberFormat="1"/>
    <xf numFmtId="167" fontId="0" fillId="0" borderId="13" xfId="0" applyNumberFormat="1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44" fontId="0" fillId="0" borderId="13" xfId="1" applyFont="1" applyBorder="1" applyAlignment="1">
      <alignment horizontal="left" vertical="top"/>
    </xf>
    <xf numFmtId="165" fontId="0" fillId="0" borderId="13" xfId="2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169" fontId="13" fillId="0" borderId="0" xfId="1" applyNumberFormat="1" applyFont="1" applyAlignment="1">
      <alignment horizontal="left" vertical="top"/>
    </xf>
    <xf numFmtId="0" fontId="13" fillId="0" borderId="0" xfId="0" applyFont="1" applyAlignment="1">
      <alignment horizontal="right" vertical="top"/>
    </xf>
    <xf numFmtId="166" fontId="11" fillId="0" borderId="0" xfId="1" applyNumberFormat="1" applyFont="1" applyAlignment="1">
      <alignment horizontal="left" vertical="top"/>
    </xf>
    <xf numFmtId="167" fontId="11" fillId="0" borderId="0" xfId="0" applyNumberFormat="1" applyFont="1" applyAlignment="1">
      <alignment horizontal="left" vertical="top"/>
    </xf>
    <xf numFmtId="168" fontId="11" fillId="0" borderId="0" xfId="2" applyNumberFormat="1" applyFont="1" applyAlignment="1">
      <alignment horizontal="left" vertical="top"/>
    </xf>
    <xf numFmtId="169" fontId="11" fillId="0" borderId="0" xfId="0" applyNumberFormat="1" applyFont="1" applyAlignment="1">
      <alignment horizontal="left" vertical="top"/>
    </xf>
    <xf numFmtId="168" fontId="11" fillId="0" borderId="0" xfId="0" applyNumberFormat="1" applyFont="1" applyAlignment="1">
      <alignment horizontal="left" vertical="top"/>
    </xf>
    <xf numFmtId="165" fontId="11" fillId="0" borderId="0" xfId="0" applyNumberFormat="1" applyFont="1" applyAlignment="1">
      <alignment horizontal="left" vertical="top"/>
    </xf>
    <xf numFmtId="164" fontId="11" fillId="0" borderId="13" xfId="0" applyNumberFormat="1" applyFont="1" applyBorder="1" applyAlignment="1">
      <alignment horizontal="left" vertical="top"/>
    </xf>
    <xf numFmtId="167" fontId="11" fillId="22" borderId="13" xfId="0" applyNumberFormat="1" applyFont="1" applyFill="1" applyBorder="1" applyAlignment="1">
      <alignment horizontal="left" vertical="top"/>
    </xf>
    <xf numFmtId="0" fontId="13" fillId="22" borderId="0" xfId="0" applyFont="1" applyFill="1" applyAlignment="1">
      <alignment horizontal="left" vertical="top"/>
    </xf>
    <xf numFmtId="168" fontId="13" fillId="0" borderId="0" xfId="2" applyNumberFormat="1" applyFont="1" applyAlignment="1">
      <alignment horizontal="left" vertical="top"/>
    </xf>
    <xf numFmtId="44" fontId="11" fillId="0" borderId="0" xfId="1" applyFont="1" applyAlignment="1">
      <alignment horizontal="left" vertical="top"/>
    </xf>
    <xf numFmtId="167" fontId="11" fillId="21" borderId="0" xfId="0" applyNumberFormat="1" applyFont="1" applyFill="1" applyAlignment="1">
      <alignment horizontal="left" vertical="top"/>
    </xf>
    <xf numFmtId="0" fontId="11" fillId="21" borderId="0" xfId="0" applyFont="1" applyFill="1" applyAlignment="1">
      <alignment horizontal="left" vertical="top"/>
    </xf>
    <xf numFmtId="0" fontId="11" fillId="22" borderId="0" xfId="0" applyFont="1" applyFill="1" applyAlignment="1">
      <alignment horizontal="left" vertical="top"/>
    </xf>
    <xf numFmtId="0" fontId="0" fillId="23" borderId="0" xfId="0" applyFill="1" applyAlignment="1">
      <alignment horizontal="left" vertical="top"/>
    </xf>
    <xf numFmtId="0" fontId="12" fillId="23" borderId="0" xfId="0" applyFont="1" applyFill="1" applyAlignment="1">
      <alignment horizontal="right" vertical="top"/>
    </xf>
    <xf numFmtId="0" fontId="0" fillId="11" borderId="0" xfId="0" applyFill="1" applyAlignment="1">
      <alignment wrapText="1"/>
    </xf>
    <xf numFmtId="0" fontId="14" fillId="11" borderId="0" xfId="0" applyFont="1" applyFill="1" applyAlignment="1">
      <alignment wrapText="1"/>
    </xf>
    <xf numFmtId="165" fontId="0" fillId="0" borderId="0" xfId="2" applyFont="1" applyBorder="1"/>
    <xf numFmtId="16" fontId="15" fillId="0" borderId="0" xfId="0" applyNumberFormat="1" applyFont="1"/>
    <xf numFmtId="165" fontId="0" fillId="16" borderId="13" xfId="2" applyFont="1" applyFill="1" applyBorder="1"/>
    <xf numFmtId="14" fontId="0" fillId="0" borderId="0" xfId="0" applyNumberFormat="1"/>
    <xf numFmtId="165" fontId="0" fillId="0" borderId="0" xfId="0" applyNumberFormat="1"/>
    <xf numFmtId="0" fontId="2" fillId="0" borderId="0" xfId="0" applyFont="1" applyAlignment="1">
      <alignment horizontal="left" vertical="top" wrapText="1"/>
    </xf>
    <xf numFmtId="9" fontId="0" fillId="0" borderId="0" xfId="0" applyNumberFormat="1"/>
    <xf numFmtId="165" fontId="0" fillId="16" borderId="0" xfId="2" applyFont="1" applyFill="1"/>
    <xf numFmtId="167" fontId="16" fillId="23" borderId="0" xfId="0" applyNumberFormat="1" applyFont="1" applyFill="1" applyAlignment="1">
      <alignment horizontal="left" vertical="top"/>
    </xf>
    <xf numFmtId="44" fontId="2" fillId="0" borderId="1" xfId="1" applyFont="1" applyFill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18" fillId="0" borderId="1" xfId="0" applyFont="1" applyBorder="1" applyAlignment="1">
      <alignment horizontal="left" vertical="top"/>
    </xf>
    <xf numFmtId="166" fontId="0" fillId="0" borderId="1" xfId="1" applyNumberFormat="1" applyFont="1" applyFill="1" applyBorder="1" applyAlignment="1">
      <alignment horizontal="left" vertical="top"/>
    </xf>
    <xf numFmtId="0" fontId="0" fillId="16" borderId="1" xfId="0" applyFill="1" applyBorder="1" applyAlignment="1">
      <alignment horizontal="left" vertical="top"/>
    </xf>
    <xf numFmtId="0" fontId="0" fillId="16" borderId="11" xfId="0" applyFill="1" applyBorder="1" applyAlignment="1">
      <alignment horizontal="left" vertical="top"/>
    </xf>
    <xf numFmtId="44" fontId="2" fillId="16" borderId="1" xfId="1" applyFont="1" applyFill="1" applyBorder="1" applyAlignment="1">
      <alignment horizontal="left" vertical="top"/>
    </xf>
    <xf numFmtId="0" fontId="4" fillId="16" borderId="1" xfId="0" applyFont="1" applyFill="1" applyBorder="1" applyAlignment="1">
      <alignment horizontal="left" vertical="top"/>
    </xf>
    <xf numFmtId="0" fontId="4" fillId="14" borderId="1" xfId="0" applyFont="1" applyFill="1" applyBorder="1" applyAlignment="1">
      <alignment horizontal="left" vertical="top"/>
    </xf>
    <xf numFmtId="44" fontId="19" fillId="14" borderId="1" xfId="1" applyFont="1" applyFill="1" applyBorder="1" applyAlignment="1">
      <alignment horizontal="left" vertical="top"/>
    </xf>
    <xf numFmtId="0" fontId="4" fillId="14" borderId="11" xfId="0" applyFont="1" applyFill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2" fillId="0" borderId="26" xfId="0" applyFont="1" applyBorder="1" applyAlignment="1">
      <alignment horizontal="left" vertical="top"/>
    </xf>
    <xf numFmtId="169" fontId="0" fillId="0" borderId="27" xfId="0" applyNumberFormat="1" applyBorder="1" applyAlignment="1">
      <alignment horizontal="left" vertical="top"/>
    </xf>
    <xf numFmtId="3" fontId="11" fillId="25" borderId="6" xfId="0" applyNumberFormat="1" applyFont="1" applyFill="1" applyBorder="1" applyAlignment="1">
      <alignment horizontal="left" vertical="top"/>
    </xf>
    <xf numFmtId="166" fontId="11" fillId="25" borderId="24" xfId="1" applyNumberFormat="1" applyFont="1" applyFill="1" applyBorder="1" applyAlignment="1">
      <alignment horizontal="left" vertical="top"/>
    </xf>
    <xf numFmtId="169" fontId="11" fillId="25" borderId="7" xfId="0" applyNumberFormat="1" applyFont="1" applyFill="1" applyBorder="1" applyAlignment="1">
      <alignment horizontal="left" vertical="top"/>
    </xf>
    <xf numFmtId="3" fontId="4" fillId="14" borderId="5" xfId="0" applyNumberFormat="1" applyFont="1" applyFill="1" applyBorder="1" applyAlignment="1">
      <alignment horizontal="center" vertical="center"/>
    </xf>
    <xf numFmtId="3" fontId="4" fillId="14" borderId="1" xfId="0" applyNumberFormat="1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/>
    </xf>
    <xf numFmtId="3" fontId="4" fillId="14" borderId="1" xfId="0" applyNumberFormat="1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/>
    </xf>
    <xf numFmtId="3" fontId="4" fillId="14" borderId="1" xfId="0" applyNumberFormat="1" applyFont="1" applyFill="1" applyBorder="1" applyAlignment="1">
      <alignment horizontal="center" vertical="center" shrinkToFit="1"/>
    </xf>
    <xf numFmtId="3" fontId="20" fillId="14" borderId="1" xfId="0" applyNumberFormat="1" applyFont="1" applyFill="1" applyBorder="1" applyAlignment="1">
      <alignment horizontal="center" vertical="center" wrapText="1"/>
    </xf>
    <xf numFmtId="3" fontId="4" fillId="16" borderId="1" xfId="0" applyNumberFormat="1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3" fontId="0" fillId="16" borderId="1" xfId="0" applyNumberFormat="1" applyFill="1" applyBorder="1" applyAlignment="1">
      <alignment horizontal="center" vertical="center"/>
    </xf>
    <xf numFmtId="3" fontId="0" fillId="16" borderId="5" xfId="0" applyNumberFormat="1" applyFill="1" applyBorder="1" applyAlignment="1">
      <alignment horizontal="center" vertical="center"/>
    </xf>
    <xf numFmtId="3" fontId="4" fillId="16" borderId="1" xfId="0" applyNumberFormat="1" applyFont="1" applyFill="1" applyBorder="1" applyAlignment="1">
      <alignment horizontal="center" vertical="center"/>
    </xf>
    <xf numFmtId="3" fontId="0" fillId="16" borderId="1" xfId="0" applyNumberFormat="1" applyFill="1" applyBorder="1" applyAlignment="1">
      <alignment horizontal="center" vertical="center" shrinkToFit="1"/>
    </xf>
    <xf numFmtId="3" fontId="2" fillId="16" borderId="1" xfId="0" applyNumberFormat="1" applyFont="1" applyFill="1" applyBorder="1" applyAlignment="1">
      <alignment horizontal="center" vertical="center"/>
    </xf>
    <xf numFmtId="0" fontId="0" fillId="0" borderId="31" xfId="0" applyBorder="1" applyAlignment="1">
      <alignment horizontal="left" vertical="top"/>
    </xf>
    <xf numFmtId="3" fontId="4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left" vertical="top"/>
    </xf>
    <xf numFmtId="166" fontId="0" fillId="0" borderId="3" xfId="1" applyNumberFormat="1" applyFont="1" applyFill="1" applyBorder="1" applyAlignment="1">
      <alignment horizontal="left" vertical="top"/>
    </xf>
    <xf numFmtId="169" fontId="0" fillId="0" borderId="1" xfId="0" applyNumberFormat="1" applyBorder="1" applyAlignment="1">
      <alignment horizontal="left" vertical="top"/>
    </xf>
    <xf numFmtId="43" fontId="0" fillId="24" borderId="0" xfId="0" applyNumberFormat="1" applyFill="1" applyAlignment="1">
      <alignment horizontal="left" vertical="top"/>
    </xf>
    <xf numFmtId="169" fontId="13" fillId="0" borderId="0" xfId="1" applyNumberFormat="1" applyFont="1" applyFill="1" applyAlignment="1">
      <alignment horizontal="left" vertical="top"/>
    </xf>
    <xf numFmtId="169" fontId="0" fillId="0" borderId="0" xfId="1" applyNumberFormat="1" applyFont="1" applyFill="1" applyAlignment="1">
      <alignment horizontal="left" vertical="top"/>
    </xf>
    <xf numFmtId="43" fontId="0" fillId="11" borderId="1" xfId="0" applyNumberFormat="1" applyFill="1" applyBorder="1" applyAlignment="1">
      <alignment horizontal="left" vertical="top"/>
    </xf>
    <xf numFmtId="43" fontId="0" fillId="11" borderId="26" xfId="0" applyNumberFormat="1" applyFill="1" applyBorder="1" applyAlignment="1">
      <alignment horizontal="left" vertical="top"/>
    </xf>
    <xf numFmtId="166" fontId="0" fillId="11" borderId="1" xfId="1" applyNumberFormat="1" applyFont="1" applyFill="1" applyBorder="1" applyAlignment="1">
      <alignment horizontal="left" vertical="top"/>
    </xf>
    <xf numFmtId="173" fontId="0" fillId="11" borderId="27" xfId="0" applyNumberFormat="1" applyFill="1" applyBorder="1" applyAlignment="1">
      <alignment horizontal="left" vertical="top"/>
    </xf>
    <xf numFmtId="0" fontId="0" fillId="16" borderId="12" xfId="0" applyFill="1" applyBorder="1" applyAlignment="1">
      <alignment horizontal="left" vertical="top"/>
    </xf>
    <xf numFmtId="44" fontId="2" fillId="16" borderId="3" xfId="1" applyFont="1" applyFill="1" applyBorder="1" applyAlignment="1">
      <alignment horizontal="left" vertical="top"/>
    </xf>
    <xf numFmtId="3" fontId="4" fillId="16" borderId="5" xfId="0" applyNumberFormat="1" applyFont="1" applyFill="1" applyBorder="1" applyAlignment="1">
      <alignment horizontal="center" vertical="center" wrapText="1"/>
    </xf>
    <xf numFmtId="0" fontId="5" fillId="16" borderId="18" xfId="0" applyFont="1" applyFill="1" applyBorder="1" applyAlignment="1">
      <alignment horizontal="center" vertical="center"/>
    </xf>
    <xf numFmtId="3" fontId="0" fillId="16" borderId="18" xfId="0" applyNumberFormat="1" applyFill="1" applyBorder="1" applyAlignment="1">
      <alignment horizontal="center" vertical="center"/>
    </xf>
    <xf numFmtId="3" fontId="0" fillId="16" borderId="19" xfId="0" applyNumberFormat="1" applyFill="1" applyBorder="1" applyAlignment="1">
      <alignment horizontal="center" vertical="center"/>
    </xf>
    <xf numFmtId="3" fontId="4" fillId="16" borderId="3" xfId="0" applyNumberFormat="1" applyFont="1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3" fontId="0" fillId="16" borderId="3" xfId="0" applyNumberFormat="1" applyFill="1" applyBorder="1" applyAlignment="1">
      <alignment horizontal="center" vertical="center"/>
    </xf>
    <xf numFmtId="3" fontId="0" fillId="16" borderId="29" xfId="0" applyNumberFormat="1" applyFill="1" applyBorder="1" applyAlignment="1">
      <alignment horizontal="center" vertical="center"/>
    </xf>
    <xf numFmtId="0" fontId="5" fillId="16" borderId="19" xfId="0" applyFont="1" applyFill="1" applyBorder="1" applyAlignment="1">
      <alignment horizontal="center" vertical="center"/>
    </xf>
    <xf numFmtId="3" fontId="0" fillId="16" borderId="19" xfId="0" applyNumberFormat="1" applyFill="1" applyBorder="1" applyAlignment="1">
      <alignment horizontal="center" vertical="center" shrinkToFit="1"/>
    </xf>
    <xf numFmtId="3" fontId="2" fillId="16" borderId="18" xfId="0" applyNumberFormat="1" applyFont="1" applyFill="1" applyBorder="1" applyAlignment="1">
      <alignment horizontal="center" vertical="center"/>
    </xf>
    <xf numFmtId="3" fontId="0" fillId="16" borderId="2" xfId="0" applyNumberFormat="1" applyFill="1" applyBorder="1" applyAlignment="1">
      <alignment horizontal="center" vertical="center" shrinkToFit="1"/>
    </xf>
    <xf numFmtId="3" fontId="0" fillId="16" borderId="37" xfId="0" applyNumberFormat="1" applyFill="1" applyBorder="1" applyAlignment="1">
      <alignment horizontal="center" vertical="center"/>
    </xf>
    <xf numFmtId="0" fontId="4" fillId="16" borderId="12" xfId="0" applyFont="1" applyFill="1" applyBorder="1" applyAlignment="1">
      <alignment horizontal="left" vertical="top"/>
    </xf>
    <xf numFmtId="0" fontId="4" fillId="16" borderId="11" xfId="0" applyFont="1" applyFill="1" applyBorder="1" applyAlignment="1">
      <alignment horizontal="left" vertical="top"/>
    </xf>
    <xf numFmtId="173" fontId="0" fillId="11" borderId="1" xfId="0" applyNumberFormat="1" applyFill="1" applyBorder="1" applyAlignment="1">
      <alignment horizontal="left" vertical="top"/>
    </xf>
    <xf numFmtId="3" fontId="4" fillId="14" borderId="9" xfId="0" applyNumberFormat="1" applyFont="1" applyFill="1" applyBorder="1" applyAlignment="1">
      <alignment horizontal="center" vertical="center"/>
    </xf>
    <xf numFmtId="3" fontId="4" fillId="14" borderId="0" xfId="0" applyNumberFormat="1" applyFont="1" applyFill="1" applyAlignment="1">
      <alignment horizontal="center" vertical="center"/>
    </xf>
    <xf numFmtId="0" fontId="5" fillId="14" borderId="9" xfId="0" applyFont="1" applyFill="1" applyBorder="1" applyAlignment="1">
      <alignment horizontal="center" vertical="center"/>
    </xf>
    <xf numFmtId="3" fontId="4" fillId="14" borderId="9" xfId="0" applyNumberFormat="1" applyFont="1" applyFill="1" applyBorder="1" applyAlignment="1">
      <alignment horizontal="center" vertical="center" shrinkToFit="1"/>
    </xf>
    <xf numFmtId="0" fontId="0" fillId="16" borderId="1" xfId="0" applyFill="1" applyBorder="1" applyAlignment="1">
      <alignment horizontal="center" vertical="center"/>
    </xf>
    <xf numFmtId="3" fontId="4" fillId="14" borderId="10" xfId="0" applyNumberFormat="1" applyFont="1" applyFill="1" applyBorder="1" applyAlignment="1">
      <alignment horizontal="center" vertical="center"/>
    </xf>
    <xf numFmtId="3" fontId="0" fillId="24" borderId="0" xfId="0" applyNumberFormat="1" applyFill="1" applyAlignment="1">
      <alignment horizontal="right" vertical="top"/>
    </xf>
    <xf numFmtId="173" fontId="0" fillId="24" borderId="0" xfId="2" applyNumberFormat="1" applyFont="1" applyFill="1" applyBorder="1" applyAlignment="1">
      <alignment horizontal="left" vertical="top"/>
    </xf>
    <xf numFmtId="0" fontId="4" fillId="14" borderId="9" xfId="0" applyFont="1" applyFill="1" applyBorder="1" applyAlignment="1">
      <alignment horizontal="center" vertical="center"/>
    </xf>
    <xf numFmtId="3" fontId="0" fillId="16" borderId="0" xfId="0" applyNumberFormat="1" applyFill="1" applyAlignment="1">
      <alignment horizontal="center" vertical="center" shrinkToFit="1"/>
    </xf>
    <xf numFmtId="0" fontId="12" fillId="0" borderId="9" xfId="0" applyFont="1" applyBorder="1" applyAlignment="1">
      <alignment horizontal="left" vertical="top"/>
    </xf>
    <xf numFmtId="0" fontId="12" fillId="0" borderId="10" xfId="0" applyFont="1" applyBorder="1" applyAlignment="1">
      <alignment horizontal="left" vertical="top"/>
    </xf>
    <xf numFmtId="0" fontId="0" fillId="8" borderId="40" xfId="0" applyFill="1" applyBorder="1" applyAlignment="1">
      <alignment horizontal="left" vertical="top" wrapText="1"/>
    </xf>
    <xf numFmtId="166" fontId="2" fillId="8" borderId="20" xfId="1" applyNumberFormat="1" applyFont="1" applyFill="1" applyBorder="1" applyAlignment="1">
      <alignment horizontal="center" vertical="center"/>
    </xf>
    <xf numFmtId="173" fontId="2" fillId="8" borderId="21" xfId="0" applyNumberFormat="1" applyFont="1" applyFill="1" applyBorder="1" applyAlignment="1">
      <alignment horizontal="center" vertical="center"/>
    </xf>
    <xf numFmtId="0" fontId="0" fillId="16" borderId="3" xfId="0" applyFill="1" applyBorder="1" applyAlignment="1">
      <alignment horizontal="left" vertical="top"/>
    </xf>
    <xf numFmtId="0" fontId="4" fillId="16" borderId="3" xfId="0" applyFont="1" applyFill="1" applyBorder="1" applyAlignment="1">
      <alignment horizontal="left" vertical="top"/>
    </xf>
    <xf numFmtId="3" fontId="4" fillId="16" borderId="4" xfId="0" applyNumberFormat="1" applyFont="1" applyFill="1" applyBorder="1" applyAlignment="1">
      <alignment horizontal="center" vertical="center" wrapText="1"/>
    </xf>
    <xf numFmtId="0" fontId="5" fillId="16" borderId="41" xfId="0" applyFont="1" applyFill="1" applyBorder="1" applyAlignment="1">
      <alignment horizontal="center" vertical="center"/>
    </xf>
    <xf numFmtId="0" fontId="5" fillId="16" borderId="37" xfId="0" applyFont="1" applyFill="1" applyBorder="1" applyAlignment="1">
      <alignment horizontal="center" vertical="center"/>
    </xf>
    <xf numFmtId="3" fontId="0" fillId="16" borderId="41" xfId="0" applyNumberFormat="1" applyFill="1" applyBorder="1" applyAlignment="1">
      <alignment horizontal="center" vertical="center"/>
    </xf>
    <xf numFmtId="3" fontId="0" fillId="16" borderId="37" xfId="0" applyNumberFormat="1" applyFill="1" applyBorder="1" applyAlignment="1">
      <alignment horizontal="center" vertical="center" shrinkToFit="1"/>
    </xf>
    <xf numFmtId="3" fontId="2" fillId="16" borderId="41" xfId="0" applyNumberFormat="1" applyFont="1" applyFill="1" applyBorder="1" applyAlignment="1">
      <alignment horizontal="center" vertical="center"/>
    </xf>
    <xf numFmtId="3" fontId="0" fillId="16" borderId="42" xfId="0" applyNumberFormat="1" applyFill="1" applyBorder="1" applyAlignment="1">
      <alignment horizontal="center" vertical="center"/>
    </xf>
    <xf numFmtId="0" fontId="0" fillId="0" borderId="43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6" fillId="2" borderId="45" xfId="0" applyFont="1" applyFill="1" applyBorder="1" applyAlignment="1">
      <alignment horizontal="left" vertical="top"/>
    </xf>
    <xf numFmtId="0" fontId="6" fillId="2" borderId="44" xfId="0" applyFont="1" applyFill="1" applyBorder="1" applyAlignment="1">
      <alignment horizontal="left" vertical="top"/>
    </xf>
    <xf numFmtId="0" fontId="0" fillId="24" borderId="35" xfId="0" applyFill="1" applyBorder="1" applyAlignment="1">
      <alignment horizontal="left" vertical="top" wrapText="1"/>
    </xf>
    <xf numFmtId="0" fontId="0" fillId="0" borderId="36" xfId="0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167" fontId="2" fillId="0" borderId="0" xfId="2" applyNumberFormat="1" applyFont="1" applyFill="1" applyBorder="1" applyAlignment="1">
      <alignment horizontal="left" vertical="top"/>
    </xf>
    <xf numFmtId="43" fontId="0" fillId="0" borderId="0" xfId="0" applyNumberFormat="1" applyAlignment="1">
      <alignment horizontal="left" vertical="top"/>
    </xf>
    <xf numFmtId="0" fontId="0" fillId="0" borderId="45" xfId="0" applyBorder="1" applyAlignment="1">
      <alignment horizontal="left" vertical="top"/>
    </xf>
    <xf numFmtId="0" fontId="5" fillId="4" borderId="41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3" fontId="4" fillId="4" borderId="9" xfId="0" applyNumberFormat="1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3" fontId="4" fillId="12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167" fontId="2" fillId="0" borderId="2" xfId="2" applyNumberFormat="1" applyFont="1" applyFill="1" applyBorder="1" applyAlignment="1">
      <alignment horizontal="left" vertical="top"/>
    </xf>
    <xf numFmtId="169" fontId="0" fillId="0" borderId="47" xfId="0" applyNumberFormat="1" applyBorder="1" applyAlignment="1">
      <alignment horizontal="left" vertical="top"/>
    </xf>
    <xf numFmtId="3" fontId="11" fillId="25" borderId="0" xfId="0" applyNumberFormat="1" applyFont="1" applyFill="1" applyAlignment="1">
      <alignment horizontal="left" vertical="top"/>
    </xf>
    <xf numFmtId="166" fontId="11" fillId="25" borderId="0" xfId="1" applyNumberFormat="1" applyFont="1" applyFill="1" applyBorder="1" applyAlignment="1">
      <alignment horizontal="left" vertical="top"/>
    </xf>
    <xf numFmtId="169" fontId="11" fillId="25" borderId="0" xfId="0" applyNumberFormat="1" applyFont="1" applyFill="1" applyAlignment="1">
      <alignment horizontal="left" vertical="top"/>
    </xf>
    <xf numFmtId="43" fontId="0" fillId="24" borderId="7" xfId="0" applyNumberFormat="1" applyFill="1" applyBorder="1" applyAlignment="1">
      <alignment horizontal="left" vertical="top"/>
    </xf>
    <xf numFmtId="3" fontId="0" fillId="0" borderId="48" xfId="0" applyNumberFormat="1" applyBorder="1" applyAlignment="1">
      <alignment horizontal="left" vertical="top"/>
    </xf>
    <xf numFmtId="3" fontId="4" fillId="14" borderId="4" xfId="0" applyNumberFormat="1" applyFont="1" applyFill="1" applyBorder="1" applyAlignment="1">
      <alignment horizontal="center" vertical="center" wrapText="1"/>
    </xf>
    <xf numFmtId="3" fontId="19" fillId="0" borderId="0" xfId="0" applyNumberFormat="1" applyFont="1" applyAlignment="1">
      <alignment horizontal="center" vertical="center" wrapText="1"/>
    </xf>
    <xf numFmtId="0" fontId="0" fillId="0" borderId="38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3" fontId="19" fillId="12" borderId="0" xfId="0" applyNumberFormat="1" applyFont="1" applyFill="1" applyAlignment="1">
      <alignment horizontal="center" vertical="center" wrapText="1"/>
    </xf>
    <xf numFmtId="43" fontId="2" fillId="24" borderId="39" xfId="0" applyNumberFormat="1" applyFont="1" applyFill="1" applyBorder="1" applyAlignment="1">
      <alignment horizontal="left" vertical="top"/>
    </xf>
    <xf numFmtId="173" fontId="2" fillId="24" borderId="39" xfId="2" applyNumberFormat="1" applyFont="1" applyFill="1" applyBorder="1" applyAlignment="1">
      <alignment horizontal="left" vertical="top"/>
    </xf>
    <xf numFmtId="3" fontId="19" fillId="12" borderId="1" xfId="0" applyNumberFormat="1" applyFont="1" applyFill="1" applyBorder="1" applyAlignment="1">
      <alignment horizontal="center" vertical="center" wrapText="1"/>
    </xf>
    <xf numFmtId="3" fontId="19" fillId="13" borderId="1" xfId="0" applyNumberFormat="1" applyFont="1" applyFill="1" applyBorder="1" applyAlignment="1">
      <alignment horizontal="center" vertical="center" wrapText="1"/>
    </xf>
    <xf numFmtId="3" fontId="4" fillId="13" borderId="0" xfId="0" applyNumberFormat="1" applyFont="1" applyFill="1" applyAlignment="1">
      <alignment horizontal="center" vertical="center" wrapText="1"/>
    </xf>
    <xf numFmtId="43" fontId="0" fillId="13" borderId="39" xfId="0" applyNumberFormat="1" applyFill="1" applyBorder="1" applyAlignment="1">
      <alignment horizontal="left" vertical="top"/>
    </xf>
    <xf numFmtId="166" fontId="0" fillId="13" borderId="39" xfId="1" applyNumberFormat="1" applyFont="1" applyFill="1" applyBorder="1" applyAlignment="1">
      <alignment horizontal="left" vertical="top"/>
    </xf>
    <xf numFmtId="173" fontId="0" fillId="13" borderId="39" xfId="2" applyNumberFormat="1" applyFont="1" applyFill="1" applyBorder="1" applyAlignment="1">
      <alignment horizontal="left" vertical="top"/>
    </xf>
    <xf numFmtId="3" fontId="2" fillId="13" borderId="49" xfId="0" applyNumberFormat="1" applyFont="1" applyFill="1" applyBorder="1" applyAlignment="1">
      <alignment horizontal="left" vertical="top"/>
    </xf>
    <xf numFmtId="43" fontId="2" fillId="13" borderId="23" xfId="0" applyNumberFormat="1" applyFont="1" applyFill="1" applyBorder="1" applyAlignment="1">
      <alignment horizontal="left" vertical="top"/>
    </xf>
    <xf numFmtId="3" fontId="0" fillId="13" borderId="39" xfId="0" applyNumberFormat="1" applyFill="1" applyBorder="1" applyAlignment="1">
      <alignment horizontal="left" vertical="top"/>
    </xf>
    <xf numFmtId="43" fontId="0" fillId="13" borderId="7" xfId="0" applyNumberFormat="1" applyFill="1" applyBorder="1" applyAlignment="1">
      <alignment horizontal="left" vertical="top"/>
    </xf>
    <xf numFmtId="166" fontId="0" fillId="0" borderId="1" xfId="1" applyNumberFormat="1" applyFont="1" applyBorder="1" applyAlignment="1">
      <alignment horizontal="center" vertical="center"/>
    </xf>
    <xf numFmtId="166" fontId="0" fillId="4" borderId="1" xfId="1" applyNumberFormat="1" applyFont="1" applyFill="1" applyBorder="1" applyAlignment="1">
      <alignment horizontal="center" vertical="center"/>
    </xf>
    <xf numFmtId="168" fontId="0" fillId="0" borderId="0" xfId="2" applyNumberFormat="1" applyFont="1" applyBorder="1" applyAlignment="1">
      <alignment horizontal="right" vertical="top"/>
    </xf>
    <xf numFmtId="165" fontId="0" fillId="0" borderId="0" xfId="2" applyFont="1" applyBorder="1" applyAlignment="1">
      <alignment horizontal="right" vertical="center"/>
    </xf>
    <xf numFmtId="0" fontId="0" fillId="21" borderId="12" xfId="0" applyFill="1" applyBorder="1" applyAlignment="1">
      <alignment horizontal="left" vertical="top"/>
    </xf>
    <xf numFmtId="0" fontId="0" fillId="0" borderId="36" xfId="0" applyBorder="1" applyAlignment="1">
      <alignment horizontal="left" vertical="top" wrapText="1"/>
    </xf>
    <xf numFmtId="0" fontId="23" fillId="0" borderId="0" xfId="0" applyFont="1" applyAlignment="1">
      <alignment horizontal="left" vertical="top"/>
    </xf>
    <xf numFmtId="0" fontId="24" fillId="0" borderId="0" xfId="0" applyFont="1" applyAlignment="1">
      <alignment horizontal="left" vertical="top"/>
    </xf>
    <xf numFmtId="0" fontId="0" fillId="0" borderId="35" xfId="0" applyBorder="1" applyAlignment="1">
      <alignment horizontal="left" vertical="top"/>
    </xf>
    <xf numFmtId="0" fontId="0" fillId="0" borderId="35" xfId="0" applyBorder="1" applyAlignment="1">
      <alignment horizontal="left" vertical="top" wrapText="1"/>
    </xf>
    <xf numFmtId="173" fontId="0" fillId="13" borderId="6" xfId="2" applyNumberFormat="1" applyFont="1" applyFill="1" applyBorder="1" applyAlignment="1">
      <alignment horizontal="left" vertical="top"/>
    </xf>
    <xf numFmtId="3" fontId="0" fillId="13" borderId="0" xfId="0" applyNumberFormat="1" applyFill="1" applyAlignment="1">
      <alignment horizontal="left" vertical="top"/>
    </xf>
    <xf numFmtId="3" fontId="0" fillId="0" borderId="2" xfId="0" applyNumberFormat="1" applyBorder="1" applyAlignment="1">
      <alignment horizontal="left" vertical="top"/>
    </xf>
    <xf numFmtId="43" fontId="0" fillId="13" borderId="0" xfId="0" applyNumberFormat="1" applyFill="1" applyAlignment="1">
      <alignment horizontal="left" vertical="top"/>
    </xf>
    <xf numFmtId="0" fontId="2" fillId="0" borderId="1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3" fontId="0" fillId="0" borderId="30" xfId="0" applyNumberFormat="1" applyBorder="1" applyAlignment="1">
      <alignment horizontal="right" vertical="top"/>
    </xf>
    <xf numFmtId="43" fontId="0" fillId="0" borderId="3" xfId="0" applyNumberFormat="1" applyBorder="1" applyAlignment="1">
      <alignment horizontal="right" vertical="top"/>
    </xf>
    <xf numFmtId="174" fontId="0" fillId="0" borderId="3" xfId="0" applyNumberFormat="1" applyBorder="1" applyAlignment="1">
      <alignment horizontal="right" vertical="top"/>
    </xf>
    <xf numFmtId="0" fontId="0" fillId="0" borderId="27" xfId="0" applyBorder="1" applyAlignment="1">
      <alignment horizontal="right" vertical="top"/>
    </xf>
    <xf numFmtId="0" fontId="2" fillId="0" borderId="26" xfId="0" applyFont="1" applyBorder="1" applyAlignment="1">
      <alignment horizontal="right" vertical="top"/>
    </xf>
    <xf numFmtId="0" fontId="2" fillId="0" borderId="29" xfId="0" applyFont="1" applyBorder="1" applyAlignment="1">
      <alignment horizontal="right" vertical="top"/>
    </xf>
    <xf numFmtId="3" fontId="0" fillId="0" borderId="26" xfId="0" applyNumberFormat="1" applyBorder="1" applyAlignment="1">
      <alignment horizontal="right" vertical="top"/>
    </xf>
    <xf numFmtId="43" fontId="0" fillId="0" borderId="1" xfId="0" applyNumberFormat="1" applyBorder="1" applyAlignment="1">
      <alignment horizontal="right" vertical="top"/>
    </xf>
    <xf numFmtId="174" fontId="0" fillId="0" borderId="1" xfId="0" applyNumberFormat="1" applyBorder="1" applyAlignment="1">
      <alignment horizontal="right" vertical="top"/>
    </xf>
    <xf numFmtId="43" fontId="0" fillId="0" borderId="47" xfId="0" applyNumberFormat="1" applyBorder="1" applyAlignment="1">
      <alignment horizontal="right" vertical="top"/>
    </xf>
    <xf numFmtId="43" fontId="0" fillId="0" borderId="27" xfId="0" applyNumberFormat="1" applyBorder="1" applyAlignment="1">
      <alignment horizontal="right" vertical="top"/>
    </xf>
    <xf numFmtId="166" fontId="0" fillId="13" borderId="1" xfId="0" applyNumberFormat="1" applyFill="1" applyBorder="1" applyAlignment="1">
      <alignment horizontal="left" vertical="top"/>
    </xf>
    <xf numFmtId="166" fontId="0" fillId="11" borderId="1" xfId="0" applyNumberFormat="1" applyFill="1" applyBorder="1" applyAlignment="1">
      <alignment horizontal="left" vertical="top"/>
    </xf>
    <xf numFmtId="3" fontId="19" fillId="11" borderId="1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left" vertical="top"/>
    </xf>
    <xf numFmtId="0" fontId="27" fillId="24" borderId="44" xfId="0" applyFont="1" applyFill="1" applyBorder="1" applyAlignment="1">
      <alignment horizontal="left" vertical="top"/>
    </xf>
    <xf numFmtId="0" fontId="27" fillId="24" borderId="46" xfId="0" applyFont="1" applyFill="1" applyBorder="1" applyAlignment="1">
      <alignment horizontal="left" vertical="top"/>
    </xf>
    <xf numFmtId="0" fontId="27" fillId="4" borderId="44" xfId="0" applyFont="1" applyFill="1" applyBorder="1" applyAlignment="1">
      <alignment horizontal="left" vertical="top"/>
    </xf>
    <xf numFmtId="0" fontId="0" fillId="0" borderId="21" xfId="0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44" fontId="0" fillId="0" borderId="1" xfId="1" applyFont="1" applyBorder="1" applyAlignment="1">
      <alignment horizontal="right" vertical="top"/>
    </xf>
    <xf numFmtId="0" fontId="0" fillId="24" borderId="20" xfId="0" applyFill="1" applyBorder="1" applyAlignment="1">
      <alignment horizontal="left" vertical="top" wrapText="1"/>
    </xf>
    <xf numFmtId="0" fontId="0" fillId="24" borderId="20" xfId="0" applyFill="1" applyBorder="1" applyAlignment="1">
      <alignment horizontal="left" vertical="top"/>
    </xf>
    <xf numFmtId="43" fontId="2" fillId="24" borderId="49" xfId="0" applyNumberFormat="1" applyFont="1" applyFill="1" applyBorder="1" applyAlignment="1">
      <alignment horizontal="left" vertical="top"/>
    </xf>
    <xf numFmtId="166" fontId="2" fillId="24" borderId="49" xfId="1" applyNumberFormat="1" applyFont="1" applyFill="1" applyBorder="1" applyAlignment="1">
      <alignment horizontal="left" vertical="top"/>
    </xf>
    <xf numFmtId="166" fontId="0" fillId="11" borderId="1" xfId="1" applyNumberFormat="1" applyFont="1" applyFill="1" applyBorder="1" applyAlignment="1">
      <alignment horizontal="right" vertical="top"/>
    </xf>
    <xf numFmtId="3" fontId="0" fillId="0" borderId="12" xfId="0" applyNumberFormat="1" applyBorder="1" applyAlignment="1">
      <alignment horizontal="right" vertical="top"/>
    </xf>
    <xf numFmtId="3" fontId="0" fillId="0" borderId="11" xfId="0" applyNumberFormat="1" applyBorder="1" applyAlignment="1">
      <alignment horizontal="right" vertical="top"/>
    </xf>
    <xf numFmtId="166" fontId="2" fillId="26" borderId="20" xfId="1" applyNumberFormat="1" applyFont="1" applyFill="1" applyBorder="1" applyAlignment="1">
      <alignment horizontal="center" vertical="center"/>
    </xf>
    <xf numFmtId="173" fontId="2" fillId="26" borderId="21" xfId="0" applyNumberFormat="1" applyFont="1" applyFill="1" applyBorder="1" applyAlignment="1">
      <alignment horizontal="center" vertical="center"/>
    </xf>
    <xf numFmtId="3" fontId="19" fillId="12" borderId="5" xfId="0" applyNumberFormat="1" applyFont="1" applyFill="1" applyBorder="1" applyAlignment="1">
      <alignment horizontal="center" vertical="center" wrapText="1"/>
    </xf>
    <xf numFmtId="3" fontId="2" fillId="13" borderId="23" xfId="0" applyNumberFormat="1" applyFont="1" applyFill="1" applyBorder="1" applyAlignment="1">
      <alignment horizontal="left" vertical="top"/>
    </xf>
    <xf numFmtId="43" fontId="2" fillId="24" borderId="1" xfId="0" applyNumberFormat="1" applyFont="1" applyFill="1" applyBorder="1" applyAlignment="1">
      <alignment horizontal="left" vertical="top"/>
    </xf>
    <xf numFmtId="166" fontId="2" fillId="24" borderId="1" xfId="1" applyNumberFormat="1" applyFont="1" applyFill="1" applyBorder="1" applyAlignment="1">
      <alignment horizontal="left" vertical="top"/>
    </xf>
    <xf numFmtId="173" fontId="2" fillId="24" borderId="1" xfId="2" applyNumberFormat="1" applyFont="1" applyFill="1" applyBorder="1" applyAlignment="1">
      <alignment horizontal="left" vertical="top"/>
    </xf>
    <xf numFmtId="3" fontId="19" fillId="11" borderId="5" xfId="0" applyNumberFormat="1" applyFont="1" applyFill="1" applyBorder="1" applyAlignment="1">
      <alignment horizontal="center" vertical="center" wrapText="1"/>
    </xf>
    <xf numFmtId="3" fontId="0" fillId="13" borderId="7" xfId="0" applyNumberFormat="1" applyFill="1" applyBorder="1" applyAlignment="1">
      <alignment horizontal="left" vertical="top"/>
    </xf>
    <xf numFmtId="43" fontId="0" fillId="11" borderId="26" xfId="0" applyNumberFormat="1" applyFill="1" applyBorder="1" applyAlignment="1">
      <alignment horizontal="right" vertical="top"/>
    </xf>
    <xf numFmtId="173" fontId="0" fillId="11" borderId="27" xfId="0" applyNumberFormat="1" applyFill="1" applyBorder="1" applyAlignment="1">
      <alignment horizontal="right" vertical="top"/>
    </xf>
    <xf numFmtId="173" fontId="2" fillId="24" borderId="49" xfId="2" applyNumberFormat="1" applyFont="1" applyFill="1" applyBorder="1" applyAlignment="1">
      <alignment horizontal="left" vertical="top"/>
    </xf>
    <xf numFmtId="3" fontId="4" fillId="0" borderId="5" xfId="0" applyNumberFormat="1" applyFont="1" applyBorder="1" applyAlignment="1">
      <alignment horizontal="center" vertical="center" wrapText="1"/>
    </xf>
    <xf numFmtId="166" fontId="0" fillId="11" borderId="5" xfId="0" applyNumberFormat="1" applyFill="1" applyBorder="1" applyAlignment="1">
      <alignment horizontal="left" vertical="top"/>
    </xf>
    <xf numFmtId="0" fontId="2" fillId="0" borderId="27" xfId="0" applyFont="1" applyBorder="1" applyAlignment="1">
      <alignment horizontal="right" vertical="top"/>
    </xf>
    <xf numFmtId="0" fontId="2" fillId="0" borderId="18" xfId="0" applyFont="1" applyBorder="1" applyAlignment="1">
      <alignment horizontal="right" vertical="top"/>
    </xf>
    <xf numFmtId="43" fontId="0" fillId="24" borderId="22" xfId="0" applyNumberFormat="1" applyFill="1" applyBorder="1" applyAlignment="1">
      <alignment horizontal="left" vertical="top"/>
    </xf>
    <xf numFmtId="43" fontId="0" fillId="24" borderId="23" xfId="0" applyNumberFormat="1" applyFill="1" applyBorder="1" applyAlignment="1">
      <alignment horizontal="left" vertical="top"/>
    </xf>
    <xf numFmtId="166" fontId="0" fillId="13" borderId="6" xfId="0" applyNumberFormat="1" applyFill="1" applyBorder="1" applyAlignment="1">
      <alignment horizontal="left" vertical="top"/>
    </xf>
    <xf numFmtId="168" fontId="0" fillId="13" borderId="24" xfId="2" applyNumberFormat="1" applyFont="1" applyFill="1" applyBorder="1" applyAlignment="1">
      <alignment horizontal="left" vertical="top"/>
    </xf>
    <xf numFmtId="0" fontId="0" fillId="13" borderId="7" xfId="0" applyFill="1" applyBorder="1" applyAlignment="1">
      <alignment horizontal="left" vertical="top"/>
    </xf>
    <xf numFmtId="43" fontId="2" fillId="6" borderId="34" xfId="0" applyNumberFormat="1" applyFont="1" applyFill="1" applyBorder="1"/>
    <xf numFmtId="168" fontId="2" fillId="6" borderId="35" xfId="2" applyNumberFormat="1" applyFont="1" applyFill="1" applyBorder="1"/>
    <xf numFmtId="172" fontId="2" fillId="6" borderId="36" xfId="0" applyNumberFormat="1" applyFont="1" applyFill="1" applyBorder="1"/>
    <xf numFmtId="168" fontId="2" fillId="24" borderId="40" xfId="2" applyNumberFormat="1" applyFont="1" applyFill="1" applyBorder="1" applyAlignment="1">
      <alignment horizontal="left" vertical="top"/>
    </xf>
    <xf numFmtId="173" fontId="2" fillId="24" borderId="21" xfId="2" applyNumberFormat="1" applyFont="1" applyFill="1" applyBorder="1" applyAlignment="1">
      <alignment horizontal="left" vertical="top"/>
    </xf>
    <xf numFmtId="173" fontId="2" fillId="24" borderId="7" xfId="2" applyNumberFormat="1" applyFont="1" applyFill="1" applyBorder="1" applyAlignment="1">
      <alignment horizontal="left" vertical="top"/>
    </xf>
    <xf numFmtId="166" fontId="0" fillId="11" borderId="9" xfId="1" applyNumberFormat="1" applyFont="1" applyFill="1" applyBorder="1" applyAlignment="1">
      <alignment horizontal="left" vertical="top"/>
    </xf>
    <xf numFmtId="173" fontId="2" fillId="24" borderId="20" xfId="2" applyNumberFormat="1" applyFont="1" applyFill="1" applyBorder="1" applyAlignment="1">
      <alignment horizontal="left" vertical="top"/>
    </xf>
    <xf numFmtId="43" fontId="2" fillId="24" borderId="6" xfId="0" applyNumberFormat="1" applyFont="1" applyFill="1" applyBorder="1" applyAlignment="1">
      <alignment horizontal="left" vertical="top"/>
    </xf>
    <xf numFmtId="173" fontId="2" fillId="24" borderId="24" xfId="2" applyNumberFormat="1" applyFont="1" applyFill="1" applyBorder="1" applyAlignment="1">
      <alignment horizontal="left" vertical="top"/>
    </xf>
    <xf numFmtId="44" fontId="2" fillId="16" borderId="4" xfId="1" applyFont="1" applyFill="1" applyBorder="1" applyAlignment="1">
      <alignment horizontal="left" vertical="top"/>
    </xf>
    <xf numFmtId="44" fontId="2" fillId="16" borderId="5" xfId="1" applyFont="1" applyFill="1" applyBorder="1" applyAlignment="1">
      <alignment horizontal="left" vertical="top"/>
    </xf>
    <xf numFmtId="44" fontId="19" fillId="14" borderId="5" xfId="1" applyFont="1" applyFill="1" applyBorder="1" applyAlignment="1">
      <alignment horizontal="left" vertical="top"/>
    </xf>
    <xf numFmtId="44" fontId="2" fillId="14" borderId="5" xfId="1" applyFont="1" applyFill="1" applyBorder="1" applyAlignment="1">
      <alignment horizontal="left" vertical="top"/>
    </xf>
    <xf numFmtId="3" fontId="4" fillId="16" borderId="26" xfId="0" applyNumberFormat="1" applyFont="1" applyFill="1" applyBorder="1" applyAlignment="1">
      <alignment horizontal="center" vertical="center" wrapText="1"/>
    </xf>
    <xf numFmtId="0" fontId="4" fillId="16" borderId="26" xfId="0" applyFont="1" applyFill="1" applyBorder="1" applyAlignment="1">
      <alignment horizontal="center" vertical="center"/>
    </xf>
    <xf numFmtId="3" fontId="4" fillId="14" borderId="26" xfId="0" applyNumberFormat="1" applyFont="1" applyFill="1" applyBorder="1" applyAlignment="1">
      <alignment horizontal="center" vertical="center" wrapText="1"/>
    </xf>
    <xf numFmtId="0" fontId="5" fillId="14" borderId="28" xfId="0" applyFont="1" applyFill="1" applyBorder="1" applyAlignment="1">
      <alignment horizontal="center" vertical="center"/>
    </xf>
    <xf numFmtId="3" fontId="4" fillId="14" borderId="28" xfId="0" applyNumberFormat="1" applyFont="1" applyFill="1" applyBorder="1" applyAlignment="1">
      <alignment horizontal="center" vertical="center"/>
    </xf>
    <xf numFmtId="3" fontId="4" fillId="14" borderId="33" xfId="0" applyNumberFormat="1" applyFont="1" applyFill="1" applyBorder="1" applyAlignment="1">
      <alignment horizontal="center" vertical="center"/>
    </xf>
    <xf numFmtId="166" fontId="5" fillId="16" borderId="4" xfId="1" applyNumberFormat="1" applyFont="1" applyFill="1" applyBorder="1" applyAlignment="1">
      <alignment horizontal="center" vertical="center" wrapText="1"/>
    </xf>
    <xf numFmtId="166" fontId="5" fillId="14" borderId="4" xfId="1" applyNumberFormat="1" applyFont="1" applyFill="1" applyBorder="1" applyAlignment="1">
      <alignment horizontal="center" vertical="center" wrapText="1"/>
    </xf>
    <xf numFmtId="3" fontId="19" fillId="15" borderId="0" xfId="0" applyNumberFormat="1" applyFont="1" applyFill="1" applyAlignment="1">
      <alignment horizontal="center" vertical="center" wrapText="1"/>
    </xf>
    <xf numFmtId="169" fontId="11" fillId="0" borderId="34" xfId="1" applyNumberFormat="1" applyFont="1" applyFill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43" fontId="0" fillId="11" borderId="50" xfId="0" applyNumberFormat="1" applyFill="1" applyBorder="1" applyAlignment="1">
      <alignment horizontal="left" vertical="top"/>
    </xf>
    <xf numFmtId="173" fontId="0" fillId="11" borderId="51" xfId="0" applyNumberFormat="1" applyFill="1" applyBorder="1" applyAlignment="1">
      <alignment horizontal="left" vertical="top"/>
    </xf>
    <xf numFmtId="43" fontId="0" fillId="24" borderId="6" xfId="0" applyNumberFormat="1" applyFill="1" applyBorder="1" applyAlignment="1">
      <alignment horizontal="left" vertical="top"/>
    </xf>
    <xf numFmtId="43" fontId="0" fillId="24" borderId="24" xfId="0" applyNumberFormat="1" applyFill="1" applyBorder="1" applyAlignment="1">
      <alignment horizontal="left" vertical="top"/>
    </xf>
    <xf numFmtId="3" fontId="11" fillId="0" borderId="0" xfId="0" applyNumberFormat="1" applyFont="1" applyAlignment="1">
      <alignment horizontal="left" vertical="top"/>
    </xf>
    <xf numFmtId="166" fontId="11" fillId="0" borderId="0" xfId="1" applyNumberFormat="1" applyFont="1" applyFill="1" applyBorder="1" applyAlignment="1">
      <alignment horizontal="left" vertical="top"/>
    </xf>
    <xf numFmtId="0" fontId="0" fillId="27" borderId="40" xfId="0" applyFill="1" applyBorder="1" applyAlignment="1">
      <alignment horizontal="left" vertical="top" wrapText="1"/>
    </xf>
    <xf numFmtId="166" fontId="2" fillId="27" borderId="20" xfId="1" applyNumberFormat="1" applyFont="1" applyFill="1" applyBorder="1" applyAlignment="1">
      <alignment horizontal="center" vertical="center"/>
    </xf>
    <xf numFmtId="0" fontId="0" fillId="27" borderId="34" xfId="0" applyFill="1" applyBorder="1" applyAlignment="1">
      <alignment horizontal="left" vertical="top"/>
    </xf>
    <xf numFmtId="0" fontId="2" fillId="27" borderId="35" xfId="0" applyFont="1" applyFill="1" applyBorder="1" applyAlignment="1">
      <alignment horizontal="right" vertical="top"/>
    </xf>
    <xf numFmtId="3" fontId="11" fillId="27" borderId="43" xfId="0" applyNumberFormat="1" applyFont="1" applyFill="1" applyBorder="1" applyAlignment="1">
      <alignment horizontal="left" vertical="top"/>
    </xf>
    <xf numFmtId="166" fontId="11" fillId="27" borderId="44" xfId="1" applyNumberFormat="1" applyFont="1" applyFill="1" applyBorder="1" applyAlignment="1">
      <alignment horizontal="left" vertical="top"/>
    </xf>
    <xf numFmtId="169" fontId="11" fillId="27" borderId="53" xfId="0" applyNumberFormat="1" applyFont="1" applyFill="1" applyBorder="1" applyAlignment="1">
      <alignment horizontal="left" vertical="top"/>
    </xf>
    <xf numFmtId="0" fontId="2" fillId="24" borderId="40" xfId="0" applyFont="1" applyFill="1" applyBorder="1" applyAlignment="1">
      <alignment horizontal="left" vertical="top" wrapText="1"/>
    </xf>
    <xf numFmtId="0" fontId="2" fillId="24" borderId="20" xfId="0" applyFont="1" applyFill="1" applyBorder="1" applyAlignment="1">
      <alignment horizontal="left" vertical="top"/>
    </xf>
    <xf numFmtId="166" fontId="2" fillId="24" borderId="39" xfId="1" applyNumberFormat="1" applyFont="1" applyFill="1" applyBorder="1" applyAlignment="1">
      <alignment horizontal="left" vertical="top"/>
    </xf>
    <xf numFmtId="0" fontId="6" fillId="24" borderId="54" xfId="0" applyFont="1" applyFill="1" applyBorder="1" applyAlignment="1">
      <alignment horizontal="left" vertical="top"/>
    </xf>
    <xf numFmtId="0" fontId="17" fillId="24" borderId="54" xfId="0" applyFont="1" applyFill="1" applyBorder="1" applyAlignment="1">
      <alignment horizontal="left" vertical="top"/>
    </xf>
    <xf numFmtId="0" fontId="17" fillId="24" borderId="55" xfId="0" applyFont="1" applyFill="1" applyBorder="1" applyAlignment="1">
      <alignment horizontal="left" vertical="top"/>
    </xf>
    <xf numFmtId="3" fontId="4" fillId="16" borderId="56" xfId="0" applyNumberFormat="1" applyFont="1" applyFill="1" applyBorder="1" applyAlignment="1">
      <alignment horizontal="center" vertical="center" wrapText="1"/>
    </xf>
    <xf numFmtId="0" fontId="5" fillId="16" borderId="57" xfId="0" applyFont="1" applyFill="1" applyBorder="1" applyAlignment="1">
      <alignment horizontal="center" vertical="center"/>
    </xf>
    <xf numFmtId="3" fontId="0" fillId="16" borderId="57" xfId="0" applyNumberFormat="1" applyFill="1" applyBorder="1" applyAlignment="1">
      <alignment horizontal="center" vertical="center"/>
    </xf>
    <xf numFmtId="3" fontId="0" fillId="16" borderId="57" xfId="0" applyNumberFormat="1" applyFill="1" applyBorder="1" applyAlignment="1">
      <alignment horizontal="center" vertical="center" shrinkToFit="1"/>
    </xf>
    <xf numFmtId="3" fontId="2" fillId="16" borderId="57" xfId="0" applyNumberFormat="1" applyFont="1" applyFill="1" applyBorder="1" applyAlignment="1">
      <alignment horizontal="center" vertical="center"/>
    </xf>
    <xf numFmtId="3" fontId="4" fillId="14" borderId="26" xfId="0" applyNumberFormat="1" applyFont="1" applyFill="1" applyBorder="1" applyAlignment="1">
      <alignment horizontal="center" vertical="center"/>
    </xf>
    <xf numFmtId="3" fontId="4" fillId="5" borderId="26" xfId="0" applyNumberFormat="1" applyFont="1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4" fillId="14" borderId="26" xfId="0" applyFont="1" applyFill="1" applyBorder="1" applyAlignment="1">
      <alignment horizontal="center" vertical="center" wrapText="1"/>
    </xf>
    <xf numFmtId="0" fontId="4" fillId="14" borderId="26" xfId="0" applyFont="1" applyFill="1" applyBorder="1" applyAlignment="1">
      <alignment horizontal="center" vertical="center"/>
    </xf>
    <xf numFmtId="3" fontId="4" fillId="14" borderId="52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top"/>
    </xf>
    <xf numFmtId="3" fontId="0" fillId="16" borderId="32" xfId="0" applyNumberFormat="1" applyFill="1" applyBorder="1" applyAlignment="1">
      <alignment horizontal="center" vertical="center"/>
    </xf>
    <xf numFmtId="43" fontId="2" fillId="0" borderId="0" xfId="0" applyNumberFormat="1" applyFont="1" applyAlignment="1">
      <alignment horizontal="left" vertical="top"/>
    </xf>
    <xf numFmtId="166" fontId="2" fillId="0" borderId="0" xfId="1" applyNumberFormat="1" applyFont="1" applyFill="1" applyBorder="1" applyAlignment="1">
      <alignment horizontal="center" vertical="center"/>
    </xf>
    <xf numFmtId="173" fontId="2" fillId="0" borderId="0" xfId="2" applyNumberFormat="1" applyFont="1" applyFill="1" applyBorder="1" applyAlignment="1">
      <alignment horizontal="center" vertical="center"/>
    </xf>
    <xf numFmtId="0" fontId="2" fillId="24" borderId="34" xfId="0" applyFont="1" applyFill="1" applyBorder="1" applyAlignment="1">
      <alignment horizontal="left" vertical="top" wrapText="1"/>
    </xf>
    <xf numFmtId="0" fontId="2" fillId="24" borderId="35" xfId="0" applyFont="1" applyFill="1" applyBorder="1" applyAlignment="1">
      <alignment horizontal="left" vertical="top"/>
    </xf>
    <xf numFmtId="0" fontId="2" fillId="24" borderId="36" xfId="0" applyFont="1" applyFill="1" applyBorder="1" applyAlignment="1">
      <alignment horizontal="left" vertical="top"/>
    </xf>
    <xf numFmtId="0" fontId="2" fillId="24" borderId="21" xfId="0" applyFont="1" applyFill="1" applyBorder="1" applyAlignment="1">
      <alignment horizontal="left" vertical="top"/>
    </xf>
    <xf numFmtId="169" fontId="0" fillId="0" borderId="3" xfId="0" applyNumberFormat="1" applyBorder="1" applyAlignment="1">
      <alignment horizontal="left" vertical="top"/>
    </xf>
    <xf numFmtId="0" fontId="2" fillId="24" borderId="1" xfId="0" applyFont="1" applyFill="1" applyBorder="1" applyAlignment="1">
      <alignment horizontal="left" vertical="top" wrapText="1"/>
    </xf>
    <xf numFmtId="0" fontId="2" fillId="24" borderId="1" xfId="0" applyFont="1" applyFill="1" applyBorder="1" applyAlignment="1">
      <alignment horizontal="left" vertical="top"/>
    </xf>
    <xf numFmtId="173" fontId="2" fillId="27" borderId="21" xfId="0" applyNumberFormat="1" applyFont="1" applyFill="1" applyBorder="1" applyAlignment="1">
      <alignment horizontal="center" vertical="center"/>
    </xf>
    <xf numFmtId="0" fontId="2" fillId="0" borderId="50" xfId="0" applyFont="1" applyBorder="1" applyAlignment="1">
      <alignment horizontal="left" vertical="top"/>
    </xf>
    <xf numFmtId="166" fontId="0" fillId="0" borderId="9" xfId="1" applyNumberFormat="1" applyFont="1" applyFill="1" applyBorder="1" applyAlignment="1">
      <alignment horizontal="left" vertical="top"/>
    </xf>
    <xf numFmtId="169" fontId="0" fillId="0" borderId="51" xfId="0" applyNumberFormat="1" applyBorder="1" applyAlignment="1">
      <alignment horizontal="left" vertical="top"/>
    </xf>
    <xf numFmtId="0" fontId="2" fillId="24" borderId="56" xfId="0" applyFont="1" applyFill="1" applyBorder="1" applyAlignment="1">
      <alignment horizontal="left" vertical="top" wrapText="1"/>
    </xf>
    <xf numFmtId="0" fontId="2" fillId="24" borderId="57" xfId="0" applyFont="1" applyFill="1" applyBorder="1" applyAlignment="1">
      <alignment horizontal="left" vertical="top"/>
    </xf>
    <xf numFmtId="0" fontId="2" fillId="24" borderId="25" xfId="0" applyFont="1" applyFill="1" applyBorder="1" applyAlignment="1">
      <alignment horizontal="left" vertical="top"/>
    </xf>
    <xf numFmtId="43" fontId="0" fillId="24" borderId="34" xfId="0" applyNumberFormat="1" applyFill="1" applyBorder="1" applyAlignment="1">
      <alignment horizontal="left" vertical="top"/>
    </xf>
    <xf numFmtId="43" fontId="0" fillId="24" borderId="35" xfId="0" applyNumberFormat="1" applyFill="1" applyBorder="1" applyAlignment="1">
      <alignment horizontal="left" vertical="top"/>
    </xf>
    <xf numFmtId="43" fontId="0" fillId="24" borderId="36" xfId="0" applyNumberFormat="1" applyFill="1" applyBorder="1" applyAlignment="1">
      <alignment horizontal="left" vertical="top"/>
    </xf>
    <xf numFmtId="173" fontId="2" fillId="0" borderId="0" xfId="2" applyNumberFormat="1" applyFont="1" applyFill="1" applyBorder="1" applyAlignment="1">
      <alignment horizontal="left" vertical="top"/>
    </xf>
    <xf numFmtId="0" fontId="2" fillId="0" borderId="0" xfId="0" applyFont="1" applyAlignment="1">
      <alignment horizontal="right" vertical="top"/>
    </xf>
    <xf numFmtId="0" fontId="4" fillId="5" borderId="11" xfId="0" applyFont="1" applyFill="1" applyBorder="1" applyAlignment="1">
      <alignment horizontal="left" vertical="top"/>
    </xf>
    <xf numFmtId="3" fontId="4" fillId="5" borderId="5" xfId="0" applyNumberFormat="1" applyFont="1" applyFill="1" applyBorder="1" applyAlignment="1">
      <alignment horizontal="center" vertical="center"/>
    </xf>
    <xf numFmtId="0" fontId="4" fillId="28" borderId="11" xfId="0" applyFont="1" applyFill="1" applyBorder="1" applyAlignment="1">
      <alignment horizontal="left" vertical="top"/>
    </xf>
    <xf numFmtId="0" fontId="0" fillId="28" borderId="1" xfId="0" applyFill="1" applyBorder="1" applyAlignment="1">
      <alignment horizontal="left" vertical="top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168" fontId="0" fillId="21" borderId="0" xfId="0" applyNumberFormat="1" applyFill="1" applyAlignment="1">
      <alignment horizontal="left" vertical="top"/>
    </xf>
    <xf numFmtId="0" fontId="12" fillId="6" borderId="9" xfId="0" applyFont="1" applyFill="1" applyBorder="1" applyAlignment="1">
      <alignment horizontal="left" vertical="top"/>
    </xf>
    <xf numFmtId="0" fontId="12" fillId="16" borderId="9" xfId="0" applyFont="1" applyFill="1" applyBorder="1" applyAlignment="1">
      <alignment horizontal="left" vertical="top"/>
    </xf>
    <xf numFmtId="0" fontId="12" fillId="16" borderId="10" xfId="0" applyFont="1" applyFill="1" applyBorder="1" applyAlignment="1">
      <alignment horizontal="left" vertical="top"/>
    </xf>
    <xf numFmtId="43" fontId="0" fillId="0" borderId="4" xfId="0" applyNumberFormat="1" applyBorder="1" applyAlignment="1">
      <alignment horizontal="right" vertical="top"/>
    </xf>
    <xf numFmtId="43" fontId="0" fillId="0" borderId="5" xfId="0" applyNumberFormat="1" applyBorder="1" applyAlignment="1">
      <alignment horizontal="right" vertical="top"/>
    </xf>
    <xf numFmtId="0" fontId="5" fillId="0" borderId="37" xfId="0" applyFont="1" applyBorder="1" applyAlignment="1">
      <alignment horizontal="center" vertical="center"/>
    </xf>
    <xf numFmtId="3" fontId="0" fillId="0" borderId="41" xfId="0" applyNumberFormat="1" applyBorder="1" applyAlignment="1">
      <alignment horizontal="center" vertical="center"/>
    </xf>
    <xf numFmtId="3" fontId="0" fillId="0" borderId="37" xfId="0" applyNumberFormat="1" applyBorder="1" applyAlignment="1">
      <alignment horizontal="center" vertical="center" shrinkToFit="1"/>
    </xf>
    <xf numFmtId="3" fontId="2" fillId="0" borderId="41" xfId="0" applyNumberFormat="1" applyFont="1" applyBorder="1" applyAlignment="1">
      <alignment horizontal="center" vertical="center"/>
    </xf>
    <xf numFmtId="3" fontId="0" fillId="0" borderId="37" xfId="0" applyNumberFormat="1" applyBorder="1" applyAlignment="1">
      <alignment horizontal="center" vertical="center"/>
    </xf>
    <xf numFmtId="3" fontId="0" fillId="0" borderId="42" xfId="0" applyNumberForma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3" fontId="0" fillId="0" borderId="18" xfId="0" applyNumberFormat="1" applyBorder="1" applyAlignment="1">
      <alignment horizontal="center" vertical="center"/>
    </xf>
    <xf numFmtId="3" fontId="0" fillId="0" borderId="19" xfId="0" applyNumberFormat="1" applyBorder="1" applyAlignment="1">
      <alignment horizontal="center" vertical="center" shrinkToFit="1"/>
    </xf>
    <xf numFmtId="3" fontId="2" fillId="0" borderId="18" xfId="0" applyNumberFormat="1" applyFont="1" applyBorder="1" applyAlignment="1">
      <alignment horizontal="center" vertical="center"/>
    </xf>
    <xf numFmtId="3" fontId="0" fillId="0" borderId="19" xfId="0" applyNumberFormat="1" applyBorder="1" applyAlignment="1">
      <alignment horizontal="center" vertical="center"/>
    </xf>
    <xf numFmtId="3" fontId="0" fillId="0" borderId="29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 shrinkToFit="1"/>
    </xf>
    <xf numFmtId="3" fontId="0" fillId="0" borderId="1" xfId="0" applyNumberFormat="1" applyBorder="1" applyAlignment="1">
      <alignment horizontal="center" vertical="center" shrinkToFit="1"/>
    </xf>
    <xf numFmtId="3" fontId="0" fillId="0" borderId="2" xfId="0" applyNumberFormat="1" applyBorder="1" applyAlignment="1">
      <alignment horizontal="center" vertical="center" shrinkToFit="1"/>
    </xf>
    <xf numFmtId="3" fontId="4" fillId="0" borderId="1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shrinkToFit="1"/>
    </xf>
    <xf numFmtId="3" fontId="4" fillId="0" borderId="0" xfId="0" applyNumberFormat="1" applyFont="1" applyAlignment="1">
      <alignment horizontal="center" vertical="center"/>
    </xf>
    <xf numFmtId="3" fontId="20" fillId="0" borderId="1" xfId="0" applyNumberFormat="1" applyFont="1" applyBorder="1" applyAlignment="1">
      <alignment horizontal="center" vertical="center" wrapText="1"/>
    </xf>
    <xf numFmtId="3" fontId="4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 shrinkToFit="1"/>
    </xf>
    <xf numFmtId="3" fontId="4" fillId="0" borderId="10" xfId="0" applyNumberFormat="1" applyFont="1" applyBorder="1" applyAlignment="1">
      <alignment horizontal="center" vertical="center"/>
    </xf>
    <xf numFmtId="0" fontId="25" fillId="0" borderId="0" xfId="0" applyFont="1"/>
    <xf numFmtId="173" fontId="0" fillId="0" borderId="0" xfId="0" applyNumberFormat="1"/>
    <xf numFmtId="44" fontId="0" fillId="0" borderId="0" xfId="1" applyFont="1"/>
    <xf numFmtId="166" fontId="0" fillId="0" borderId="0" xfId="1" applyNumberFormat="1" applyFont="1"/>
    <xf numFmtId="172" fontId="0" fillId="0" borderId="0" xfId="2" applyNumberFormat="1" applyFont="1"/>
    <xf numFmtId="3" fontId="13" fillId="0" borderId="0" xfId="0" applyNumberFormat="1" applyFont="1" applyAlignment="1">
      <alignment horizontal="left" vertical="top"/>
    </xf>
    <xf numFmtId="168" fontId="15" fillId="21" borderId="0" xfId="0" applyNumberFormat="1" applyFont="1" applyFill="1" applyAlignment="1">
      <alignment horizontal="left" vertical="top"/>
    </xf>
    <xf numFmtId="0" fontId="2" fillId="11" borderId="26" xfId="0" applyFont="1" applyFill="1" applyBorder="1" applyAlignment="1">
      <alignment horizontal="right" vertical="top"/>
    </xf>
    <xf numFmtId="0" fontId="2" fillId="11" borderId="1" xfId="0" applyFont="1" applyFill="1" applyBorder="1" applyAlignment="1">
      <alignment horizontal="right" vertical="top"/>
    </xf>
    <xf numFmtId="0" fontId="2" fillId="11" borderId="27" xfId="0" applyFont="1" applyFill="1" applyBorder="1" applyAlignment="1">
      <alignment horizontal="right" vertical="top"/>
    </xf>
    <xf numFmtId="0" fontId="2" fillId="11" borderId="18" xfId="0" applyFont="1" applyFill="1" applyBorder="1" applyAlignment="1">
      <alignment horizontal="right" vertical="top"/>
    </xf>
    <xf numFmtId="0" fontId="2" fillId="11" borderId="5" xfId="0" applyFont="1" applyFill="1" applyBorder="1" applyAlignment="1">
      <alignment horizontal="right" vertical="top"/>
    </xf>
    <xf numFmtId="0" fontId="2" fillId="11" borderId="29" xfId="0" applyFont="1" applyFill="1" applyBorder="1" applyAlignment="1">
      <alignment horizontal="right" vertical="top"/>
    </xf>
    <xf numFmtId="43" fontId="2" fillId="24" borderId="0" xfId="0" applyNumberFormat="1" applyFont="1" applyFill="1" applyAlignment="1">
      <alignment horizontal="left" vertical="top"/>
    </xf>
    <xf numFmtId="3" fontId="0" fillId="0" borderId="1" xfId="0" applyNumberFormat="1" applyBorder="1" applyAlignment="1">
      <alignment horizontal="left" vertical="top"/>
    </xf>
    <xf numFmtId="166" fontId="0" fillId="0" borderId="1" xfId="0" applyNumberFormat="1" applyBorder="1" applyAlignment="1">
      <alignment horizontal="left" vertical="top"/>
    </xf>
    <xf numFmtId="176" fontId="0" fillId="0" borderId="1" xfId="0" applyNumberFormat="1" applyBorder="1" applyAlignment="1">
      <alignment horizontal="right" vertical="top"/>
    </xf>
    <xf numFmtId="17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8" fontId="0" fillId="0" borderId="1" xfId="2" applyNumberFormat="1" applyFont="1" applyBorder="1" applyAlignment="1">
      <alignment horizontal="right" vertical="top"/>
    </xf>
    <xf numFmtId="168" fontId="0" fillId="0" borderId="0" xfId="2" applyNumberFormat="1" applyFont="1" applyAlignment="1">
      <alignment horizontal="right" vertical="top"/>
    </xf>
    <xf numFmtId="17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0" fontId="0" fillId="21" borderId="0" xfId="0" applyFill="1" applyAlignment="1">
      <alignment horizontal="left" vertical="top"/>
    </xf>
    <xf numFmtId="3" fontId="0" fillId="0" borderId="5" xfId="0" applyNumberFormat="1" applyBorder="1" applyAlignment="1">
      <alignment horizontal="right" vertical="top"/>
    </xf>
    <xf numFmtId="0" fontId="0" fillId="21" borderId="0" xfId="0" applyFill="1" applyAlignment="1">
      <alignment horizontal="right" vertical="top"/>
    </xf>
    <xf numFmtId="0" fontId="0" fillId="21" borderId="1" xfId="0" applyFill="1" applyBorder="1" applyAlignment="1">
      <alignment horizontal="left" vertical="top"/>
    </xf>
    <xf numFmtId="3" fontId="0" fillId="21" borderId="0" xfId="0" applyNumberFormat="1" applyFill="1" applyAlignment="1">
      <alignment horizontal="right" vertical="top"/>
    </xf>
    <xf numFmtId="44" fontId="0" fillId="21" borderId="0" xfId="0" applyNumberFormat="1" applyFill="1" applyAlignment="1">
      <alignment horizontal="left" vertical="top"/>
    </xf>
    <xf numFmtId="176" fontId="0" fillId="21" borderId="0" xfId="0" applyNumberFormat="1" applyFill="1" applyAlignment="1">
      <alignment horizontal="left" vertical="top"/>
    </xf>
    <xf numFmtId="3" fontId="4" fillId="0" borderId="4" xfId="0" applyNumberFormat="1" applyFont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/>
    </xf>
    <xf numFmtId="0" fontId="4" fillId="29" borderId="1" xfId="0" applyFont="1" applyFill="1" applyBorder="1" applyAlignment="1">
      <alignment horizontal="center" vertical="center"/>
    </xf>
    <xf numFmtId="3" fontId="4" fillId="29" borderId="1" xfId="0" applyNumberFormat="1" applyFont="1" applyFill="1" applyBorder="1" applyAlignment="1">
      <alignment horizontal="center" vertical="center"/>
    </xf>
    <xf numFmtId="3" fontId="4" fillId="29" borderId="1" xfId="0" applyNumberFormat="1" applyFont="1" applyFill="1" applyBorder="1" applyAlignment="1">
      <alignment horizontal="center" vertical="center" wrapText="1"/>
    </xf>
    <xf numFmtId="3" fontId="4" fillId="13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left" vertical="top"/>
    </xf>
    <xf numFmtId="176" fontId="14" fillId="0" borderId="0" xfId="1" applyNumberFormat="1" applyFont="1" applyAlignment="1">
      <alignment horizontal="right" vertical="top"/>
    </xf>
    <xf numFmtId="3" fontId="19" fillId="0" borderId="1" xfId="0" applyNumberFormat="1" applyFont="1" applyBorder="1" applyAlignment="1">
      <alignment horizontal="center" vertical="center" wrapText="1"/>
    </xf>
    <xf numFmtId="3" fontId="19" fillId="10" borderId="1" xfId="0" applyNumberFormat="1" applyFont="1" applyFill="1" applyBorder="1" applyAlignment="1">
      <alignment horizontal="center" vertical="center" wrapText="1"/>
    </xf>
    <xf numFmtId="3" fontId="19" fillId="0" borderId="11" xfId="0" applyNumberFormat="1" applyFont="1" applyBorder="1" applyAlignment="1">
      <alignment horizontal="center" vertical="center" wrapText="1"/>
    </xf>
    <xf numFmtId="166" fontId="14" fillId="10" borderId="1" xfId="1" applyNumberFormat="1" applyFont="1" applyFill="1" applyBorder="1" applyAlignment="1">
      <alignment horizontal="left" vertical="top"/>
    </xf>
    <xf numFmtId="176" fontId="14" fillId="10" borderId="1" xfId="1" applyNumberFormat="1" applyFont="1" applyFill="1" applyBorder="1" applyAlignment="1">
      <alignment horizontal="right" vertical="top"/>
    </xf>
    <xf numFmtId="3" fontId="4" fillId="11" borderId="4" xfId="0" applyNumberFormat="1" applyFont="1" applyFill="1" applyBorder="1" applyAlignment="1">
      <alignment horizontal="center" vertical="center" wrapText="1"/>
    </xf>
    <xf numFmtId="3" fontId="4" fillId="11" borderId="5" xfId="0" applyNumberFormat="1" applyFont="1" applyFill="1" applyBorder="1" applyAlignment="1">
      <alignment horizontal="center" vertical="center" wrapText="1"/>
    </xf>
    <xf numFmtId="3" fontId="4" fillId="11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3" fontId="4" fillId="11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0" fontId="4" fillId="11" borderId="9" xfId="0" applyFont="1" applyFill="1" applyBorder="1" applyAlignment="1">
      <alignment horizontal="center" vertical="center"/>
    </xf>
    <xf numFmtId="3" fontId="4" fillId="11" borderId="9" xfId="0" applyNumberFormat="1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30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top"/>
    </xf>
    <xf numFmtId="0" fontId="2" fillId="30" borderId="0" xfId="0" applyFont="1" applyFill="1" applyAlignment="1">
      <alignment horizontal="left" vertical="top"/>
    </xf>
    <xf numFmtId="0" fontId="0" fillId="30" borderId="0" xfId="0" applyFill="1" applyAlignment="1">
      <alignment horizontal="left" vertical="top"/>
    </xf>
    <xf numFmtId="0" fontId="2" fillId="29" borderId="0" xfId="0" applyFont="1" applyFill="1" applyAlignment="1">
      <alignment horizontal="left" vertical="top"/>
    </xf>
    <xf numFmtId="168" fontId="13" fillId="31" borderId="0" xfId="0" applyNumberFormat="1" applyFont="1" applyFill="1" applyAlignment="1">
      <alignment horizontal="left" vertical="top"/>
    </xf>
    <xf numFmtId="44" fontId="13" fillId="31" borderId="0" xfId="0" applyNumberFormat="1" applyFont="1" applyFill="1" applyAlignment="1">
      <alignment horizontal="left" vertical="top"/>
    </xf>
    <xf numFmtId="176" fontId="13" fillId="31" borderId="0" xfId="0" applyNumberFormat="1" applyFont="1" applyFill="1" applyAlignment="1">
      <alignment horizontal="left" vertical="top"/>
    </xf>
    <xf numFmtId="176" fontId="14" fillId="10" borderId="0" xfId="1" applyNumberFormat="1" applyFont="1" applyFill="1" applyBorder="1" applyAlignment="1">
      <alignment horizontal="right" vertical="top"/>
    </xf>
    <xf numFmtId="3" fontId="4" fillId="29" borderId="4" xfId="0" applyNumberFormat="1" applyFont="1" applyFill="1" applyBorder="1" applyAlignment="1">
      <alignment horizontal="center" vertical="center" wrapText="1"/>
    </xf>
    <xf numFmtId="3" fontId="4" fillId="29" borderId="5" xfId="0" applyNumberFormat="1" applyFont="1" applyFill="1" applyBorder="1" applyAlignment="1">
      <alignment horizontal="center" vertical="center" wrapText="1"/>
    </xf>
    <xf numFmtId="0" fontId="4" fillId="29" borderId="1" xfId="0" applyFont="1" applyFill="1" applyBorder="1" applyAlignment="1">
      <alignment horizontal="center" vertical="center" wrapText="1"/>
    </xf>
    <xf numFmtId="0" fontId="4" fillId="29" borderId="9" xfId="0" applyFont="1" applyFill="1" applyBorder="1" applyAlignment="1">
      <alignment horizontal="center" vertical="center"/>
    </xf>
    <xf numFmtId="3" fontId="4" fillId="29" borderId="9" xfId="0" applyNumberFormat="1" applyFont="1" applyFill="1" applyBorder="1" applyAlignment="1">
      <alignment horizontal="center" vertical="center" wrapText="1"/>
    </xf>
    <xf numFmtId="0" fontId="27" fillId="13" borderId="44" xfId="0" applyFont="1" applyFill="1" applyBorder="1" applyAlignment="1">
      <alignment horizontal="left" vertical="top"/>
    </xf>
    <xf numFmtId="0" fontId="13" fillId="26" borderId="0" xfId="0" applyFont="1" applyFill="1" applyAlignment="1">
      <alignment horizontal="left" vertical="top"/>
    </xf>
    <xf numFmtId="43" fontId="2" fillId="26" borderId="34" xfId="0" applyNumberFormat="1" applyFont="1" applyFill="1" applyBorder="1"/>
    <xf numFmtId="168" fontId="2" fillId="26" borderId="35" xfId="2" applyNumberFormat="1" applyFont="1" applyFill="1" applyBorder="1"/>
    <xf numFmtId="172" fontId="2" fillId="26" borderId="36" xfId="0" applyNumberFormat="1" applyFont="1" applyFill="1" applyBorder="1"/>
    <xf numFmtId="0" fontId="9" fillId="0" borderId="0" xfId="0" applyFont="1" applyAlignment="1">
      <alignment horizontal="left" vertical="top"/>
    </xf>
    <xf numFmtId="166" fontId="0" fillId="29" borderId="0" xfId="1" applyNumberFormat="1" applyFont="1" applyFill="1"/>
    <xf numFmtId="173" fontId="0" fillId="29" borderId="0" xfId="0" applyNumberFormat="1" applyFill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3" fontId="4" fillId="5" borderId="9" xfId="0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3" fontId="32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3" fontId="33" fillId="0" borderId="1" xfId="0" applyNumberFormat="1" applyFont="1" applyBorder="1" applyAlignment="1">
      <alignment horizontal="center" vertical="center"/>
    </xf>
    <xf numFmtId="3" fontId="34" fillId="0" borderId="1" xfId="0" applyNumberFormat="1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top"/>
    </xf>
    <xf numFmtId="44" fontId="4" fillId="13" borderId="1" xfId="1" applyFont="1" applyFill="1" applyBorder="1" applyAlignment="1">
      <alignment horizontal="center" vertical="center" wrapText="1"/>
    </xf>
    <xf numFmtId="44" fontId="4" fillId="12" borderId="1" xfId="1" applyFont="1" applyFill="1" applyBorder="1" applyAlignment="1">
      <alignment horizontal="center" vertical="center" wrapText="1"/>
    </xf>
    <xf numFmtId="0" fontId="38" fillId="32" borderId="9" xfId="0" applyFont="1" applyFill="1" applyBorder="1" applyAlignment="1">
      <alignment horizontal="center" vertical="center"/>
    </xf>
    <xf numFmtId="0" fontId="38" fillId="32" borderId="1" xfId="0" applyFont="1" applyFill="1" applyBorder="1" applyAlignment="1">
      <alignment horizontal="center" vertical="center"/>
    </xf>
    <xf numFmtId="0" fontId="2" fillId="0" borderId="45" xfId="0" applyFont="1" applyBorder="1" applyAlignment="1">
      <alignment horizontal="left" vertical="top"/>
    </xf>
    <xf numFmtId="0" fontId="12" fillId="0" borderId="22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0" fontId="22" fillId="0" borderId="0" xfId="0" applyFont="1" applyAlignment="1">
      <alignment horizontal="center" vertical="top" wrapText="1"/>
    </xf>
    <xf numFmtId="0" fontId="28" fillId="0" borderId="0" xfId="0" applyFont="1" applyAlignment="1">
      <alignment horizontal="center" vertical="top" wrapText="1"/>
    </xf>
    <xf numFmtId="0" fontId="30" fillId="0" borderId="0" xfId="0" applyFont="1" applyAlignment="1">
      <alignment horizontal="center" vertical="top" wrapText="1"/>
    </xf>
    <xf numFmtId="0" fontId="28" fillId="0" borderId="0" xfId="0" applyFont="1" applyAlignment="1">
      <alignment horizontal="left" vertical="top" wrapText="1"/>
    </xf>
    <xf numFmtId="0" fontId="30" fillId="0" borderId="0" xfId="0" applyFont="1" applyAlignment="1">
      <alignment horizontal="left" vertical="top" wrapText="1"/>
    </xf>
  </cellXfs>
  <cellStyles count="9">
    <cellStyle name="Millares" xfId="2" builtinId="3"/>
    <cellStyle name="Moneda" xfId="1" builtinId="4"/>
    <cellStyle name="Normal" xfId="0" builtinId="0"/>
    <cellStyle name="Porcentaje" xfId="3" builtinId="5"/>
    <cellStyle name="SAPDataCell" xfId="4" xr:uid="{9B89F4F4-C5F6-4AD3-ABAD-D19C04B54F1D}"/>
    <cellStyle name="SAPDataTotalCell" xfId="8" xr:uid="{5AAE05C6-4BC7-4C6E-85BF-A240304BF5C0}"/>
    <cellStyle name="SAPDimensionCell" xfId="5" xr:uid="{71346831-434B-4672-AF9B-46C0B085D626}"/>
    <cellStyle name="SAPMemberCell" xfId="6" xr:uid="{4CC9382A-0AD1-43CA-9587-DEAAF09CF698}"/>
    <cellStyle name="SAPMemberTotalCell" xfId="7" xr:uid="{A474EA86-96EF-479B-BC81-9DF1E4B2EB18}"/>
  </cellStyles>
  <dxfs count="0"/>
  <tableStyles count="0" defaultTableStyle="TableStyleMedium2" defaultPivotStyle="PivotStyleLight16"/>
  <colors>
    <mruColors>
      <color rgb="FFC7DDDC"/>
      <color rgb="FFF0E0EE"/>
      <color rgb="FF35FD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43464</xdr:colOff>
      <xdr:row>38</xdr:row>
      <xdr:rowOff>176893</xdr:rowOff>
    </xdr:from>
    <xdr:to>
      <xdr:col>21</xdr:col>
      <xdr:colOff>88518</xdr:colOff>
      <xdr:row>40</xdr:row>
      <xdr:rowOff>48078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37FB60-9E0F-41D0-B12F-673947CD7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72814" y="8228693"/>
          <a:ext cx="3032729" cy="2585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43464</xdr:colOff>
      <xdr:row>38</xdr:row>
      <xdr:rowOff>176893</xdr:rowOff>
    </xdr:from>
    <xdr:to>
      <xdr:col>22</xdr:col>
      <xdr:colOff>110107</xdr:colOff>
      <xdr:row>40</xdr:row>
      <xdr:rowOff>71573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E97D5B-8731-3F21-5665-57A35EEEE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57393" y="8123464"/>
          <a:ext cx="3035450" cy="2689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2</xdr:row>
      <xdr:rowOff>0</xdr:rowOff>
    </xdr:from>
    <xdr:to>
      <xdr:col>31</xdr:col>
      <xdr:colOff>435406</xdr:colOff>
      <xdr:row>18</xdr:row>
      <xdr:rowOff>54171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667784-469E-E383-868E-D9CAE55A2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85250" y="619125"/>
          <a:ext cx="8388781" cy="3816546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50</xdr:row>
      <xdr:rowOff>0</xdr:rowOff>
    </xdr:from>
    <xdr:to>
      <xdr:col>31</xdr:col>
      <xdr:colOff>390954</xdr:colOff>
      <xdr:row>67</xdr:row>
      <xdr:rowOff>158939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926B8C7-D1D0-D8DD-DB26-A3B80CBFA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85250" y="10747375"/>
          <a:ext cx="8344329" cy="368318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13677</xdr:colOff>
      <xdr:row>1</xdr:row>
      <xdr:rowOff>167054</xdr:rowOff>
    </xdr:from>
    <xdr:to>
      <xdr:col>19</xdr:col>
      <xdr:colOff>437950</xdr:colOff>
      <xdr:row>7</xdr:row>
      <xdr:rowOff>103554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F0F003-3683-4E37-BBB0-8052BAD34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812" y="350227"/>
          <a:ext cx="11882603" cy="1041889"/>
        </a:xfrm>
        <a:prstGeom prst="rect">
          <a:avLst/>
        </a:prstGeom>
      </xdr:spPr>
    </xdr:pic>
    <xdr:clientData/>
  </xdr:twoCellAnchor>
  <xdr:twoCellAnchor editAs="oneCell">
    <xdr:from>
      <xdr:col>0</xdr:col>
      <xdr:colOff>589573</xdr:colOff>
      <xdr:row>9</xdr:row>
      <xdr:rowOff>15142</xdr:rowOff>
    </xdr:from>
    <xdr:to>
      <xdr:col>19</xdr:col>
      <xdr:colOff>425450</xdr:colOff>
      <xdr:row>14</xdr:row>
      <xdr:rowOff>112552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CE8BB9-6E07-4E72-B803-E2D9E5834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9573" y="1663700"/>
          <a:ext cx="11899167" cy="10132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ictoria Angélica Alcaraz" id="{93BB798E-8C88-43E2-B340-03FA8332520E}" userId="S::VIAA@novozymes.com::bf5bb037-5314-41e8-87bf-130b4a0a999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3" dT="2025-06-25T21:55:18.21" personId="{93BB798E-8C88-43E2-B340-03FA8332520E}" id="{EE1694A1-5112-477F-952C-0675AF3C3FCF}">
    <text>10000 kg from NZDK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customProperty" Target="../customProperty6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9A4D9-32D5-4ACE-904D-297A114BB8DD}">
  <sheetPr>
    <tabColor rgb="FF00B050"/>
    <pageSetUpPr fitToPage="1"/>
  </sheetPr>
  <dimension ref="A1:AC117"/>
  <sheetViews>
    <sheetView showGridLines="0" topLeftCell="A15" zoomScale="90" zoomScaleNormal="90" workbookViewId="0">
      <pane xSplit="6" ySplit="2" topLeftCell="G17" activePane="bottomRight" state="frozen"/>
      <selection activeCell="A15" sqref="A15"/>
      <selection pane="topRight" activeCell="G15" sqref="G15"/>
      <selection pane="bottomLeft" activeCell="A17" sqref="A17"/>
      <selection pane="bottomRight" activeCell="F22" sqref="F22"/>
    </sheetView>
  </sheetViews>
  <sheetFormatPr baseColWidth="10" defaultColWidth="8.83203125" defaultRowHeight="15" x14ac:dyDescent="0.2"/>
  <cols>
    <col min="1" max="1" width="13.6640625" customWidth="1"/>
    <col min="3" max="4" width="6.6640625" customWidth="1"/>
    <col min="5" max="5" width="26.6640625" bestFit="1" customWidth="1"/>
    <col min="6" max="6" width="12.33203125" customWidth="1"/>
    <col min="7" max="8" width="16.33203125" customWidth="1"/>
    <col min="9" max="9" width="14.6640625" customWidth="1"/>
    <col min="10" max="11" width="15.5" bestFit="1" customWidth="1"/>
    <col min="12" max="12" width="12.5" customWidth="1"/>
    <col min="13" max="13" width="12.6640625" customWidth="1"/>
    <col min="14" max="14" width="14.1640625" customWidth="1"/>
    <col min="15" max="16" width="15.33203125" customWidth="1"/>
    <col min="17" max="17" width="16.33203125" customWidth="1"/>
    <col min="18" max="18" width="14.33203125" customWidth="1"/>
    <col min="19" max="19" width="18.33203125" customWidth="1"/>
    <col min="20" max="20" width="21" style="75" customWidth="1"/>
    <col min="21" max="21" width="21.6640625" customWidth="1"/>
    <col min="22" max="22" width="14.5" customWidth="1"/>
    <col min="23" max="23" width="30.83203125" customWidth="1"/>
    <col min="24" max="24" width="23.6640625" customWidth="1"/>
    <col min="25" max="25" width="21.83203125" customWidth="1"/>
    <col min="26" max="26" width="13.33203125" customWidth="1"/>
    <col min="27" max="27" width="19.6640625" customWidth="1"/>
    <col min="28" max="28" width="18.83203125" customWidth="1"/>
    <col min="29" max="29" width="98.33203125" customWidth="1"/>
  </cols>
  <sheetData>
    <row r="1" spans="1:29" s="2" customFormat="1" ht="16" thickBot="1" x14ac:dyDescent="0.25">
      <c r="T1" s="19"/>
    </row>
    <row r="2" spans="1:29" s="2" customFormat="1" ht="31.5" customHeight="1" thickBot="1" x14ac:dyDescent="0.25">
      <c r="A2" s="215" t="s">
        <v>172</v>
      </c>
      <c r="B2" s="604" t="s">
        <v>173</v>
      </c>
      <c r="C2" s="605"/>
      <c r="D2" s="605"/>
      <c r="E2" s="605"/>
      <c r="F2" s="605"/>
      <c r="G2" s="2" t="s">
        <v>174</v>
      </c>
      <c r="T2" s="19"/>
    </row>
    <row r="3" spans="1:29" s="2" customFormat="1" ht="24" x14ac:dyDescent="0.2">
      <c r="C3" s="326" t="s">
        <v>189</v>
      </c>
      <c r="D3" s="327"/>
      <c r="E3" s="326"/>
    </row>
    <row r="4" spans="1:29" s="2" customFormat="1" ht="3.5" customHeight="1" x14ac:dyDescent="0.2">
      <c r="A4" s="14"/>
      <c r="T4" s="19"/>
    </row>
    <row r="11" spans="1:29" s="2" customFormat="1" ht="16" thickBot="1" x14ac:dyDescent="0.25">
      <c r="T11" s="19"/>
    </row>
    <row r="12" spans="1:29" s="2" customFormat="1" ht="31.5" customHeight="1" thickBot="1" x14ac:dyDescent="0.25">
      <c r="A12" s="215" t="str">
        <f>A2</f>
        <v>23.01.26</v>
      </c>
      <c r="B12" s="606" t="s">
        <v>202</v>
      </c>
      <c r="C12" s="607"/>
      <c r="D12" s="607"/>
      <c r="E12" s="607"/>
      <c r="F12" s="607"/>
      <c r="T12" s="19"/>
      <c r="V12" s="326" t="str">
        <f>C3</f>
        <v xml:space="preserve"> DP Period: February-  April 2026</v>
      </c>
    </row>
    <row r="13" spans="1:29" s="2" customFormat="1" x14ac:dyDescent="0.2">
      <c r="C13" s="14" t="s">
        <v>2</v>
      </c>
      <c r="D13" s="14"/>
    </row>
    <row r="14" spans="1:29" s="2" customFormat="1" ht="3.5" customHeight="1" thickBot="1" x14ac:dyDescent="0.25">
      <c r="A14" s="14"/>
      <c r="T14" s="19"/>
    </row>
    <row r="15" spans="1:29" s="2" customFormat="1" ht="43.5" customHeight="1" thickBot="1" x14ac:dyDescent="0.25">
      <c r="A15" s="14"/>
      <c r="E15" s="584" t="s">
        <v>203</v>
      </c>
      <c r="G15" s="471">
        <v>2026</v>
      </c>
      <c r="H15" s="471">
        <v>2026</v>
      </c>
      <c r="I15" s="471">
        <v>2026</v>
      </c>
      <c r="J15" s="471">
        <v>2026</v>
      </c>
      <c r="K15" s="472">
        <v>2026</v>
      </c>
      <c r="L15" s="472">
        <v>2026</v>
      </c>
      <c r="M15" s="472">
        <v>2026</v>
      </c>
      <c r="N15" s="472">
        <v>2026</v>
      </c>
      <c r="O15" s="472">
        <v>2026</v>
      </c>
      <c r="P15" s="472">
        <v>2026</v>
      </c>
      <c r="Q15" s="472">
        <v>2026</v>
      </c>
      <c r="R15" s="473">
        <v>2026</v>
      </c>
      <c r="S15" s="258" t="s">
        <v>155</v>
      </c>
      <c r="T15" s="364">
        <f>U15/0.8475</f>
        <v>6486686.3716814155</v>
      </c>
      <c r="U15" s="365">
        <v>5497466.7000000002</v>
      </c>
      <c r="W15" s="2" t="s">
        <v>168</v>
      </c>
      <c r="X15" s="2">
        <v>0.84750000000000003</v>
      </c>
    </row>
    <row r="16" spans="1:29" s="2" customFormat="1" ht="52.5" customHeight="1" thickBot="1" x14ac:dyDescent="0.25">
      <c r="A16" s="270"/>
      <c r="B16" s="271" t="s">
        <v>12</v>
      </c>
      <c r="C16" s="271"/>
      <c r="D16" s="279"/>
      <c r="E16" s="272" t="s">
        <v>13</v>
      </c>
      <c r="F16" s="273" t="s">
        <v>14</v>
      </c>
      <c r="G16" s="353" t="s">
        <v>232</v>
      </c>
      <c r="H16" s="353" t="s">
        <v>134</v>
      </c>
      <c r="I16" s="353" t="s">
        <v>135</v>
      </c>
      <c r="J16" s="353" t="s">
        <v>136</v>
      </c>
      <c r="K16" s="351" t="s">
        <v>137</v>
      </c>
      <c r="L16" s="351" t="s">
        <v>138</v>
      </c>
      <c r="M16" s="351" t="s">
        <v>139</v>
      </c>
      <c r="N16" s="351" t="s">
        <v>140</v>
      </c>
      <c r="O16" s="351" t="s">
        <v>141</v>
      </c>
      <c r="P16" s="351" t="s">
        <v>142</v>
      </c>
      <c r="Q16" s="351" t="s">
        <v>143</v>
      </c>
      <c r="R16" s="352" t="s">
        <v>144</v>
      </c>
      <c r="S16" s="357" t="s">
        <v>152</v>
      </c>
      <c r="T16" s="358" t="s">
        <v>153</v>
      </c>
      <c r="U16" s="358" t="s">
        <v>154</v>
      </c>
      <c r="V16" s="215" t="s">
        <v>228</v>
      </c>
      <c r="W16" s="275" t="s">
        <v>193</v>
      </c>
      <c r="X16" s="328" t="s">
        <v>194</v>
      </c>
      <c r="Y16" s="328" t="s">
        <v>195</v>
      </c>
      <c r="Z16" s="534" t="s">
        <v>224</v>
      </c>
      <c r="AA16" s="534" t="s">
        <v>225</v>
      </c>
      <c r="AB16" s="534" t="s">
        <v>226</v>
      </c>
      <c r="AC16" s="45" t="s">
        <v>229</v>
      </c>
    </row>
    <row r="17" spans="1:29" s="2" customFormat="1" x14ac:dyDescent="0.2">
      <c r="A17" s="261" t="s">
        <v>41</v>
      </c>
      <c r="B17" s="261" t="s">
        <v>61</v>
      </c>
      <c r="C17" s="262" t="s">
        <v>66</v>
      </c>
      <c r="D17" s="243"/>
      <c r="E17" s="324" t="s">
        <v>73</v>
      </c>
      <c r="F17" s="229">
        <v>10.81</v>
      </c>
      <c r="G17" s="553">
        <v>0</v>
      </c>
      <c r="H17" s="563">
        <v>9900</v>
      </c>
      <c r="I17" s="476"/>
      <c r="J17" s="564"/>
      <c r="K17" s="476"/>
      <c r="L17" s="477"/>
      <c r="M17" s="478"/>
      <c r="N17" s="479"/>
      <c r="O17" s="480"/>
      <c r="P17" s="477"/>
      <c r="Q17" s="480"/>
      <c r="R17" s="481"/>
      <c r="S17" s="224">
        <v>0</v>
      </c>
      <c r="T17" s="226">
        <v>0</v>
      </c>
      <c r="U17" s="245">
        <v>0</v>
      </c>
      <c r="V17" s="362">
        <f>SUM(G17:R17)</f>
        <v>9900</v>
      </c>
      <c r="W17" s="337">
        <f>F17*V17</f>
        <v>107019</v>
      </c>
      <c r="X17" s="337">
        <f>W17*0.8475</f>
        <v>90698.602500000008</v>
      </c>
      <c r="Y17" s="474">
        <f>V17-S17</f>
        <v>9900</v>
      </c>
      <c r="Z17" s="522">
        <f>SUM(G17:R17)</f>
        <v>9900</v>
      </c>
      <c r="AA17" s="523">
        <f>SUM(F17*Z17)</f>
        <v>107019</v>
      </c>
      <c r="AB17" s="524">
        <f>AA17*0.8475</f>
        <v>90698.602500000008</v>
      </c>
      <c r="AC17" s="45"/>
    </row>
    <row r="18" spans="1:29" s="2" customFormat="1" x14ac:dyDescent="0.2">
      <c r="A18" s="186" t="s">
        <v>41</v>
      </c>
      <c r="B18" s="186" t="s">
        <v>61</v>
      </c>
      <c r="C18" s="189" t="s">
        <v>66</v>
      </c>
      <c r="D18" s="243"/>
      <c r="E18" s="228" t="s">
        <v>73</v>
      </c>
      <c r="F18" s="229">
        <v>10.81</v>
      </c>
      <c r="G18" s="554">
        <v>0</v>
      </c>
      <c r="H18" s="562"/>
      <c r="I18" s="482">
        <v>16500</v>
      </c>
      <c r="J18" s="562"/>
      <c r="K18" s="482">
        <v>15400</v>
      </c>
      <c r="L18" s="483"/>
      <c r="M18" s="484">
        <v>15400</v>
      </c>
      <c r="N18" s="485"/>
      <c r="O18" s="486">
        <v>15000</v>
      </c>
      <c r="P18" s="483"/>
      <c r="Q18" s="486">
        <v>14300</v>
      </c>
      <c r="R18" s="487"/>
      <c r="S18" s="224">
        <v>86100</v>
      </c>
      <c r="T18" s="226">
        <v>930741</v>
      </c>
      <c r="U18" s="245">
        <v>788802.99750000006</v>
      </c>
      <c r="V18" s="363">
        <f t="shared" ref="V18:V37" si="0">SUM(G18:R18)</f>
        <v>76600</v>
      </c>
      <c r="W18" s="343">
        <f t="shared" ref="W18:W37" si="1">F18*V18</f>
        <v>828046</v>
      </c>
      <c r="X18" s="343">
        <f t="shared" ref="X18:X37" si="2">W18*0.8475</f>
        <v>701768.98499999999</v>
      </c>
      <c r="Y18" s="475">
        <f t="shared" ref="Y18:Y37" si="3">V18-S18</f>
        <v>-9500</v>
      </c>
      <c r="Z18" s="522">
        <f t="shared" ref="Z18:Z37" si="4">SUM(G18:R18)</f>
        <v>76600</v>
      </c>
      <c r="AA18" s="523">
        <f t="shared" ref="AA18:AA37" si="5">SUM(F18*Z18)</f>
        <v>828046</v>
      </c>
      <c r="AB18" s="524">
        <f t="shared" ref="AB18:AB37" si="6">AA18*0.8475</f>
        <v>701768.98499999999</v>
      </c>
      <c r="AC18" s="45"/>
    </row>
    <row r="19" spans="1:29" s="2" customFormat="1" x14ac:dyDescent="0.2">
      <c r="A19" s="186" t="s">
        <v>41</v>
      </c>
      <c r="B19" s="186" t="s">
        <v>61</v>
      </c>
      <c r="C19" s="189" t="s">
        <v>66</v>
      </c>
      <c r="D19" s="244"/>
      <c r="E19" s="187" t="s">
        <v>222</v>
      </c>
      <c r="F19" s="188">
        <f>10.63*1.01</f>
        <v>10.736300000000002</v>
      </c>
      <c r="G19" s="555">
        <v>0</v>
      </c>
      <c r="H19" s="494">
        <v>7200</v>
      </c>
      <c r="I19" s="469">
        <v>8400</v>
      </c>
      <c r="J19" s="488"/>
      <c r="K19" s="488">
        <v>9500</v>
      </c>
      <c r="L19" s="489"/>
      <c r="M19" s="489">
        <v>10600</v>
      </c>
      <c r="N19" s="490"/>
      <c r="O19" s="491"/>
      <c r="P19" s="492">
        <v>10800</v>
      </c>
      <c r="Q19" s="489"/>
      <c r="R19" s="493"/>
      <c r="S19" s="224">
        <v>44100</v>
      </c>
      <c r="T19" s="226">
        <v>473470.83000000007</v>
      </c>
      <c r="U19" s="245">
        <v>401266.52842500008</v>
      </c>
      <c r="V19" s="363">
        <f t="shared" si="0"/>
        <v>46500</v>
      </c>
      <c r="W19" s="343">
        <f t="shared" si="1"/>
        <v>499237.95000000007</v>
      </c>
      <c r="X19" s="343">
        <f t="shared" si="2"/>
        <v>423104.16262500006</v>
      </c>
      <c r="Y19" s="475">
        <f t="shared" si="3"/>
        <v>2400</v>
      </c>
      <c r="Z19" s="522">
        <f t="shared" si="4"/>
        <v>46500</v>
      </c>
      <c r="AA19" s="523">
        <f t="shared" si="5"/>
        <v>499237.95000000007</v>
      </c>
      <c r="AB19" s="524">
        <f t="shared" si="6"/>
        <v>423104.16262500006</v>
      </c>
      <c r="AC19" s="45"/>
    </row>
    <row r="20" spans="1:29" s="2" customFormat="1" x14ac:dyDescent="0.2">
      <c r="A20" s="186" t="s">
        <v>41</v>
      </c>
      <c r="B20" s="186" t="s">
        <v>61</v>
      </c>
      <c r="C20" s="189" t="s">
        <v>66</v>
      </c>
      <c r="D20" s="244"/>
      <c r="E20" s="187" t="s">
        <v>67</v>
      </c>
      <c r="F20" s="188">
        <f>10.63*1.01</f>
        <v>10.736300000000002</v>
      </c>
      <c r="G20" s="554">
        <v>0</v>
      </c>
      <c r="H20" s="494">
        <v>3600</v>
      </c>
      <c r="I20" s="488">
        <v>0</v>
      </c>
      <c r="J20" s="488"/>
      <c r="K20" s="488">
        <v>3600</v>
      </c>
      <c r="L20" s="489"/>
      <c r="M20" s="489">
        <v>3960</v>
      </c>
      <c r="N20" s="489"/>
      <c r="O20" s="489">
        <v>3960</v>
      </c>
      <c r="P20" s="489"/>
      <c r="Q20" s="489"/>
      <c r="R20" s="493">
        <v>3960</v>
      </c>
      <c r="S20" s="224">
        <v>22680</v>
      </c>
      <c r="T20" s="226">
        <v>243499.28400000004</v>
      </c>
      <c r="U20" s="245">
        <v>206365.64319000003</v>
      </c>
      <c r="V20" s="363">
        <f t="shared" si="0"/>
        <v>19080</v>
      </c>
      <c r="W20" s="343">
        <f t="shared" si="1"/>
        <v>204848.60400000002</v>
      </c>
      <c r="X20" s="343">
        <f t="shared" si="2"/>
        <v>173609.19189000002</v>
      </c>
      <c r="Y20" s="475">
        <f t="shared" si="3"/>
        <v>-3600</v>
      </c>
      <c r="Z20" s="522">
        <f t="shared" si="4"/>
        <v>19080</v>
      </c>
      <c r="AA20" s="523">
        <f t="shared" si="5"/>
        <v>204848.60400000002</v>
      </c>
      <c r="AB20" s="524">
        <f t="shared" si="6"/>
        <v>173609.19189000002</v>
      </c>
      <c r="AC20" s="45"/>
    </row>
    <row r="21" spans="1:29" s="2" customFormat="1" x14ac:dyDescent="0.2">
      <c r="A21" s="186" t="s">
        <v>41</v>
      </c>
      <c r="B21" s="186" t="s">
        <v>70</v>
      </c>
      <c r="C21" s="189" t="s">
        <v>66</v>
      </c>
      <c r="D21" s="244"/>
      <c r="E21" s="187" t="s">
        <v>72</v>
      </c>
      <c r="F21" s="188">
        <f>21.66*1.01</f>
        <v>21.8766</v>
      </c>
      <c r="G21" s="540">
        <v>8000</v>
      </c>
      <c r="H21" s="565">
        <v>10000</v>
      </c>
      <c r="I21" s="217">
        <v>0</v>
      </c>
      <c r="J21" s="494"/>
      <c r="K21" s="494">
        <v>10000</v>
      </c>
      <c r="L21" s="495"/>
      <c r="M21" s="496">
        <v>0</v>
      </c>
      <c r="N21" s="496">
        <v>11000</v>
      </c>
      <c r="O21" s="489"/>
      <c r="P21" s="489"/>
      <c r="Q21" s="489">
        <v>12100</v>
      </c>
      <c r="R21" s="493"/>
      <c r="S21" s="224">
        <v>51100</v>
      </c>
      <c r="T21" s="226">
        <v>1117894.26</v>
      </c>
      <c r="U21" s="245">
        <v>947415.38535</v>
      </c>
      <c r="V21" s="363">
        <f t="shared" si="0"/>
        <v>51100</v>
      </c>
      <c r="W21" s="343">
        <f t="shared" si="1"/>
        <v>1117894.26</v>
      </c>
      <c r="X21" s="343">
        <f t="shared" si="2"/>
        <v>947415.38535</v>
      </c>
      <c r="Y21" s="475">
        <f t="shared" si="3"/>
        <v>0</v>
      </c>
      <c r="Z21" s="522">
        <f t="shared" si="4"/>
        <v>51100</v>
      </c>
      <c r="AA21" s="523">
        <f t="shared" si="5"/>
        <v>1117894.26</v>
      </c>
      <c r="AB21" s="524">
        <f t="shared" si="6"/>
        <v>947415.38535</v>
      </c>
      <c r="AC21" s="45"/>
    </row>
    <row r="22" spans="1:29" s="2" customFormat="1" x14ac:dyDescent="0.2">
      <c r="A22" s="186" t="s">
        <v>41</v>
      </c>
      <c r="B22" s="186" t="s">
        <v>70</v>
      </c>
      <c r="C22" s="189" t="s">
        <v>66</v>
      </c>
      <c r="D22" s="244"/>
      <c r="E22" s="187" t="s">
        <v>71</v>
      </c>
      <c r="F22" s="188">
        <f>21.66*1.01</f>
        <v>21.8766</v>
      </c>
      <c r="G22" s="556"/>
      <c r="H22" s="494"/>
      <c r="I22" s="494">
        <v>0</v>
      </c>
      <c r="J22" s="494"/>
      <c r="K22" s="494"/>
      <c r="L22" s="496">
        <v>5250</v>
      </c>
      <c r="M22" s="496"/>
      <c r="N22" s="497">
        <v>6300</v>
      </c>
      <c r="O22" s="489">
        <v>0</v>
      </c>
      <c r="P22" s="489">
        <v>0</v>
      </c>
      <c r="Q22" s="489">
        <v>6100</v>
      </c>
      <c r="R22" s="493"/>
      <c r="S22" s="224">
        <v>23050</v>
      </c>
      <c r="T22" s="226">
        <v>504255.63</v>
      </c>
      <c r="U22" s="245">
        <v>427356.64642500004</v>
      </c>
      <c r="V22" s="363">
        <f t="shared" si="0"/>
        <v>17650</v>
      </c>
      <c r="W22" s="343">
        <f t="shared" si="1"/>
        <v>386121.99</v>
      </c>
      <c r="X22" s="343">
        <f t="shared" si="2"/>
        <v>327238.38652499998</v>
      </c>
      <c r="Y22" s="475">
        <f t="shared" si="3"/>
        <v>-5400</v>
      </c>
      <c r="Z22" s="522">
        <f t="shared" si="4"/>
        <v>17650</v>
      </c>
      <c r="AA22" s="523">
        <f t="shared" si="5"/>
        <v>386121.99</v>
      </c>
      <c r="AB22" s="524">
        <f t="shared" si="6"/>
        <v>327238.38652499998</v>
      </c>
      <c r="AC22" s="45"/>
    </row>
    <row r="23" spans="1:29" s="2" customFormat="1" x14ac:dyDescent="0.2">
      <c r="A23" s="190" t="s">
        <v>41</v>
      </c>
      <c r="B23" s="190" t="s">
        <v>42</v>
      </c>
      <c r="C23" s="190" t="s">
        <v>43</v>
      </c>
      <c r="D23" s="192"/>
      <c r="E23" s="192" t="s">
        <v>160</v>
      </c>
      <c r="F23" s="191">
        <v>19.559999999999999</v>
      </c>
      <c r="G23" s="541">
        <v>2200</v>
      </c>
      <c r="H23" s="498">
        <v>2200</v>
      </c>
      <c r="I23" s="216">
        <v>3300</v>
      </c>
      <c r="J23" s="216">
        <v>3300</v>
      </c>
      <c r="K23" s="498">
        <v>2400</v>
      </c>
      <c r="L23" s="488">
        <v>3500</v>
      </c>
      <c r="M23" s="498">
        <v>3500</v>
      </c>
      <c r="N23" s="498">
        <v>2400</v>
      </c>
      <c r="O23" s="498">
        <v>3500</v>
      </c>
      <c r="P23" s="498">
        <v>3500</v>
      </c>
      <c r="Q23" s="498">
        <v>2400</v>
      </c>
      <c r="R23" s="499">
        <v>3500</v>
      </c>
      <c r="S23" s="224">
        <v>37000</v>
      </c>
      <c r="T23" s="226">
        <v>723720</v>
      </c>
      <c r="U23" s="245">
        <v>613352.70000000007</v>
      </c>
      <c r="V23" s="363">
        <f t="shared" si="0"/>
        <v>35700</v>
      </c>
      <c r="W23" s="343">
        <f t="shared" si="1"/>
        <v>698292</v>
      </c>
      <c r="X23" s="343">
        <f t="shared" si="2"/>
        <v>591802.47</v>
      </c>
      <c r="Y23" s="475">
        <f t="shared" si="3"/>
        <v>-1300</v>
      </c>
      <c r="Z23" s="522">
        <f t="shared" si="4"/>
        <v>35700</v>
      </c>
      <c r="AA23" s="523">
        <f t="shared" si="5"/>
        <v>698292</v>
      </c>
      <c r="AB23" s="524">
        <f t="shared" si="6"/>
        <v>591802.47</v>
      </c>
      <c r="AC23" s="45"/>
    </row>
    <row r="24" spans="1:29" s="2" customFormat="1" x14ac:dyDescent="0.2">
      <c r="A24" s="190" t="s">
        <v>41</v>
      </c>
      <c r="B24" s="190" t="s">
        <v>42</v>
      </c>
      <c r="C24" s="190" t="s">
        <v>43</v>
      </c>
      <c r="D24" s="192"/>
      <c r="E24" s="192" t="s">
        <v>159</v>
      </c>
      <c r="F24" s="191">
        <v>19.559999999999999</v>
      </c>
      <c r="G24" s="557">
        <v>0</v>
      </c>
      <c r="H24" s="498">
        <v>0</v>
      </c>
      <c r="I24" s="216">
        <v>1450</v>
      </c>
      <c r="J24" s="216">
        <v>1450</v>
      </c>
      <c r="K24" s="498">
        <v>1500</v>
      </c>
      <c r="L24" s="498">
        <v>1600</v>
      </c>
      <c r="M24" s="498">
        <v>1600</v>
      </c>
      <c r="N24" s="498">
        <v>1600</v>
      </c>
      <c r="O24" s="498">
        <v>1600</v>
      </c>
      <c r="P24" s="498">
        <v>1600</v>
      </c>
      <c r="Q24" s="498">
        <v>1500</v>
      </c>
      <c r="R24" s="499">
        <v>1475</v>
      </c>
      <c r="S24" s="224">
        <v>18275</v>
      </c>
      <c r="T24" s="226">
        <v>357459</v>
      </c>
      <c r="U24" s="245">
        <v>302946.5025</v>
      </c>
      <c r="V24" s="363">
        <f t="shared" si="0"/>
        <v>15375</v>
      </c>
      <c r="W24" s="343">
        <f t="shared" si="1"/>
        <v>300735</v>
      </c>
      <c r="X24" s="343">
        <f t="shared" si="2"/>
        <v>254872.91250000001</v>
      </c>
      <c r="Y24" s="475">
        <f t="shared" si="3"/>
        <v>-2900</v>
      </c>
      <c r="Z24" s="522">
        <f t="shared" si="4"/>
        <v>15375</v>
      </c>
      <c r="AA24" s="523">
        <f t="shared" si="5"/>
        <v>300735</v>
      </c>
      <c r="AB24" s="524">
        <f t="shared" si="6"/>
        <v>254872.91250000001</v>
      </c>
      <c r="AC24" s="45"/>
    </row>
    <row r="25" spans="1:29" s="2" customFormat="1" ht="15" customHeight="1" x14ac:dyDescent="0.2">
      <c r="A25" s="190" t="s">
        <v>41</v>
      </c>
      <c r="B25" s="190" t="s">
        <v>42</v>
      </c>
      <c r="C25" s="190" t="s">
        <v>43</v>
      </c>
      <c r="D25" s="192"/>
      <c r="E25" s="464" t="s">
        <v>220</v>
      </c>
      <c r="F25" s="191">
        <v>9.9499999999999993</v>
      </c>
      <c r="G25" s="555">
        <v>0</v>
      </c>
      <c r="H25" s="494">
        <v>0</v>
      </c>
      <c r="I25" s="494">
        <v>0</v>
      </c>
      <c r="J25" s="494"/>
      <c r="K25" s="494"/>
      <c r="L25" s="498"/>
      <c r="M25" s="498"/>
      <c r="N25" s="498"/>
      <c r="O25" s="498"/>
      <c r="P25" s="498"/>
      <c r="Q25" s="498"/>
      <c r="R25" s="499"/>
      <c r="S25" s="224">
        <v>0</v>
      </c>
      <c r="T25" s="226">
        <v>0</v>
      </c>
      <c r="U25" s="245">
        <v>0</v>
      </c>
      <c r="V25" s="363">
        <f t="shared" si="0"/>
        <v>0</v>
      </c>
      <c r="W25" s="343">
        <f t="shared" si="1"/>
        <v>0</v>
      </c>
      <c r="X25" s="343">
        <f t="shared" si="2"/>
        <v>0</v>
      </c>
      <c r="Y25" s="475">
        <f t="shared" si="3"/>
        <v>0</v>
      </c>
      <c r="Z25" s="522">
        <f t="shared" si="4"/>
        <v>0</v>
      </c>
      <c r="AA25" s="523">
        <f t="shared" si="5"/>
        <v>0</v>
      </c>
      <c r="AB25" s="524">
        <f t="shared" si="6"/>
        <v>0</v>
      </c>
      <c r="AC25" s="45"/>
    </row>
    <row r="26" spans="1:29" s="2" customFormat="1" x14ac:dyDescent="0.2">
      <c r="A26" s="190" t="s">
        <v>41</v>
      </c>
      <c r="B26" s="190" t="s">
        <v>42</v>
      </c>
      <c r="C26" s="190" t="s">
        <v>43</v>
      </c>
      <c r="D26" s="192"/>
      <c r="E26" s="466" t="s">
        <v>219</v>
      </c>
      <c r="F26" s="191">
        <v>9.9499999999999993</v>
      </c>
      <c r="G26" s="216">
        <v>0</v>
      </c>
      <c r="H26" s="216">
        <v>0</v>
      </c>
      <c r="I26" s="216">
        <v>0</v>
      </c>
      <c r="J26" s="216">
        <v>0</v>
      </c>
      <c r="K26" s="216">
        <v>0</v>
      </c>
      <c r="L26" s="216">
        <v>0</v>
      </c>
      <c r="M26" s="216">
        <v>0</v>
      </c>
      <c r="N26" s="216">
        <v>0</v>
      </c>
      <c r="O26" s="216">
        <v>0</v>
      </c>
      <c r="P26" s="216">
        <v>0</v>
      </c>
      <c r="Q26" s="216">
        <v>0</v>
      </c>
      <c r="R26" s="465">
        <v>0</v>
      </c>
      <c r="S26" s="120"/>
      <c r="T26" s="120"/>
      <c r="U26" s="120"/>
      <c r="V26" s="363">
        <f t="shared" si="0"/>
        <v>0</v>
      </c>
      <c r="W26" s="343">
        <f t="shared" si="1"/>
        <v>0</v>
      </c>
      <c r="X26" s="343">
        <f t="shared" si="2"/>
        <v>0</v>
      </c>
      <c r="Y26" s="475">
        <f>V26-S45</f>
        <v>-9000</v>
      </c>
      <c r="Z26" s="522">
        <f t="shared" si="4"/>
        <v>0</v>
      </c>
      <c r="AA26" s="523">
        <f t="shared" si="5"/>
        <v>0</v>
      </c>
      <c r="AB26" s="524">
        <f t="shared" si="6"/>
        <v>0</v>
      </c>
      <c r="AC26" s="45"/>
    </row>
    <row r="27" spans="1:29" s="2" customFormat="1" x14ac:dyDescent="0.2">
      <c r="A27" s="190" t="s">
        <v>41</v>
      </c>
      <c r="B27" s="190" t="s">
        <v>42</v>
      </c>
      <c r="C27" s="190" t="s">
        <v>43</v>
      </c>
      <c r="D27" s="192"/>
      <c r="E27" s="192" t="s">
        <v>147</v>
      </c>
      <c r="F27" s="191">
        <v>13.27</v>
      </c>
      <c r="G27" s="541">
        <v>5400</v>
      </c>
      <c r="H27" s="494">
        <v>1800</v>
      </c>
      <c r="I27" s="217">
        <v>3600</v>
      </c>
      <c r="J27" s="217">
        <v>0</v>
      </c>
      <c r="K27" s="494">
        <v>2000</v>
      </c>
      <c r="L27" s="498">
        <v>2000</v>
      </c>
      <c r="M27" s="498">
        <v>1800</v>
      </c>
      <c r="N27" s="498"/>
      <c r="O27" s="498"/>
      <c r="P27" s="498"/>
      <c r="Q27" s="498"/>
      <c r="R27" s="499"/>
      <c r="S27" s="224">
        <v>13200</v>
      </c>
      <c r="T27" s="226">
        <v>175164</v>
      </c>
      <c r="U27" s="245">
        <v>148451.49000000002</v>
      </c>
      <c r="V27" s="363">
        <f t="shared" si="0"/>
        <v>16600</v>
      </c>
      <c r="W27" s="343">
        <f t="shared" si="1"/>
        <v>220282</v>
      </c>
      <c r="X27" s="343">
        <f t="shared" si="2"/>
        <v>186688.995</v>
      </c>
      <c r="Y27" s="475">
        <f t="shared" si="3"/>
        <v>3400</v>
      </c>
      <c r="Z27" s="522">
        <f t="shared" si="4"/>
        <v>16600</v>
      </c>
      <c r="AA27" s="523">
        <f t="shared" si="5"/>
        <v>220282</v>
      </c>
      <c r="AB27" s="524">
        <f t="shared" si="6"/>
        <v>186688.995</v>
      </c>
      <c r="AC27" s="45"/>
    </row>
    <row r="28" spans="1:29" s="2" customFormat="1" x14ac:dyDescent="0.2">
      <c r="A28" s="131" t="s">
        <v>158</v>
      </c>
      <c r="B28" s="131" t="s">
        <v>78</v>
      </c>
      <c r="C28" s="131" t="s">
        <v>43</v>
      </c>
      <c r="D28" s="127"/>
      <c r="E28" s="127" t="s">
        <v>79</v>
      </c>
      <c r="F28" s="67">
        <v>31.1</v>
      </c>
      <c r="G28" s="541">
        <v>5000</v>
      </c>
      <c r="H28" s="217">
        <v>1000</v>
      </c>
      <c r="I28" s="294">
        <v>0</v>
      </c>
      <c r="J28" s="294">
        <v>3000</v>
      </c>
      <c r="K28" s="285"/>
      <c r="L28" s="285">
        <v>2000</v>
      </c>
      <c r="M28" s="285">
        <v>2000</v>
      </c>
      <c r="N28" s="285"/>
      <c r="O28" s="285">
        <v>3000</v>
      </c>
      <c r="P28" s="285">
        <v>2000</v>
      </c>
      <c r="Q28" s="285"/>
      <c r="R28" s="500">
        <v>2000</v>
      </c>
      <c r="S28" s="224">
        <v>18000</v>
      </c>
      <c r="T28" s="226">
        <v>559800</v>
      </c>
      <c r="U28" s="245">
        <v>474430.5</v>
      </c>
      <c r="V28" s="363">
        <f t="shared" si="0"/>
        <v>20000</v>
      </c>
      <c r="W28" s="343">
        <f t="shared" si="1"/>
        <v>622000</v>
      </c>
      <c r="X28" s="343">
        <f t="shared" si="2"/>
        <v>527145</v>
      </c>
      <c r="Y28" s="475">
        <f t="shared" si="3"/>
        <v>2000</v>
      </c>
      <c r="Z28" s="355">
        <f t="shared" si="4"/>
        <v>20000</v>
      </c>
      <c r="AA28" s="523">
        <f t="shared" si="5"/>
        <v>622000</v>
      </c>
      <c r="AB28" s="524">
        <f t="shared" si="6"/>
        <v>527145</v>
      </c>
      <c r="AC28" s="45"/>
    </row>
    <row r="29" spans="1:29" s="2" customFormat="1" x14ac:dyDescent="0.2">
      <c r="A29" s="190" t="s">
        <v>41</v>
      </c>
      <c r="B29" s="190" t="s">
        <v>42</v>
      </c>
      <c r="C29" s="190" t="s">
        <v>43</v>
      </c>
      <c r="D29" s="192"/>
      <c r="E29" s="192" t="s">
        <v>151</v>
      </c>
      <c r="F29" s="191">
        <v>59.48</v>
      </c>
      <c r="G29" s="541">
        <v>700</v>
      </c>
      <c r="H29" s="494">
        <v>500</v>
      </c>
      <c r="I29" s="468">
        <v>1000</v>
      </c>
      <c r="J29" s="468">
        <v>0</v>
      </c>
      <c r="K29" s="501">
        <v>500</v>
      </c>
      <c r="L29" s="498">
        <v>550</v>
      </c>
      <c r="M29" s="498">
        <v>600</v>
      </c>
      <c r="N29" s="498">
        <v>550</v>
      </c>
      <c r="O29" s="498">
        <v>600</v>
      </c>
      <c r="P29" s="498">
        <v>550</v>
      </c>
      <c r="Q29" s="498">
        <v>600</v>
      </c>
      <c r="R29" s="499">
        <v>550</v>
      </c>
      <c r="S29" s="224">
        <v>6500</v>
      </c>
      <c r="T29" s="226">
        <v>386620</v>
      </c>
      <c r="U29" s="245">
        <v>327660.45</v>
      </c>
      <c r="V29" s="363">
        <f t="shared" si="0"/>
        <v>6700</v>
      </c>
      <c r="W29" s="343">
        <f t="shared" si="1"/>
        <v>398516</v>
      </c>
      <c r="X29" s="343">
        <f t="shared" si="2"/>
        <v>337742.31</v>
      </c>
      <c r="Y29" s="475">
        <f t="shared" si="3"/>
        <v>200</v>
      </c>
      <c r="Z29" s="355">
        <f t="shared" si="4"/>
        <v>6700</v>
      </c>
      <c r="AA29" s="523">
        <f t="shared" si="5"/>
        <v>398516</v>
      </c>
      <c r="AB29" s="524">
        <f t="shared" si="6"/>
        <v>337742.31</v>
      </c>
      <c r="AC29" s="45"/>
    </row>
    <row r="30" spans="1:29" s="2" customFormat="1" x14ac:dyDescent="0.2">
      <c r="A30" s="190" t="s">
        <v>41</v>
      </c>
      <c r="B30" s="190" t="s">
        <v>42</v>
      </c>
      <c r="C30" s="190" t="s">
        <v>43</v>
      </c>
      <c r="D30" s="192"/>
      <c r="E30" s="192" t="s">
        <v>165</v>
      </c>
      <c r="F30" s="191">
        <v>10</v>
      </c>
      <c r="G30" s="555">
        <v>0</v>
      </c>
      <c r="H30" s="217">
        <v>0</v>
      </c>
      <c r="I30" s="494">
        <v>0</v>
      </c>
      <c r="J30" s="494"/>
      <c r="K30" s="494">
        <v>2400</v>
      </c>
      <c r="L30" s="498"/>
      <c r="M30" s="498"/>
      <c r="N30" s="498">
        <v>2400</v>
      </c>
      <c r="O30" s="498"/>
      <c r="P30" s="498"/>
      <c r="Q30" s="498"/>
      <c r="R30" s="499">
        <v>1620</v>
      </c>
      <c r="S30" s="224">
        <v>8820</v>
      </c>
      <c r="T30" s="226">
        <v>88200</v>
      </c>
      <c r="U30" s="245">
        <v>74749.5</v>
      </c>
      <c r="V30" s="363">
        <f t="shared" si="0"/>
        <v>6420</v>
      </c>
      <c r="W30" s="343">
        <f t="shared" si="1"/>
        <v>64200</v>
      </c>
      <c r="X30" s="343">
        <f t="shared" si="2"/>
        <v>54409.5</v>
      </c>
      <c r="Y30" s="475">
        <f t="shared" si="3"/>
        <v>-2400</v>
      </c>
      <c r="Z30" s="355">
        <f t="shared" si="4"/>
        <v>6420</v>
      </c>
      <c r="AA30" s="523">
        <f t="shared" si="5"/>
        <v>64200</v>
      </c>
      <c r="AB30" s="524">
        <f t="shared" si="6"/>
        <v>54409.5</v>
      </c>
      <c r="AC30" s="45"/>
    </row>
    <row r="31" spans="1:29" s="2" customFormat="1" x14ac:dyDescent="0.2">
      <c r="A31" s="190" t="s">
        <v>41</v>
      </c>
      <c r="B31" s="190" t="s">
        <v>42</v>
      </c>
      <c r="C31" s="190" t="s">
        <v>43</v>
      </c>
      <c r="D31" s="192"/>
      <c r="E31" s="192" t="s">
        <v>163</v>
      </c>
      <c r="F31" s="191">
        <v>10</v>
      </c>
      <c r="G31" s="557">
        <v>0</v>
      </c>
      <c r="H31" s="494">
        <v>0</v>
      </c>
      <c r="I31" s="494">
        <v>0</v>
      </c>
      <c r="J31" s="217">
        <v>0</v>
      </c>
      <c r="K31" s="494">
        <v>400</v>
      </c>
      <c r="L31" s="498">
        <v>400</v>
      </c>
      <c r="M31" s="498">
        <v>400</v>
      </c>
      <c r="N31" s="498">
        <v>400</v>
      </c>
      <c r="O31" s="498">
        <v>400</v>
      </c>
      <c r="P31" s="498">
        <v>400</v>
      </c>
      <c r="Q31" s="498">
        <v>400</v>
      </c>
      <c r="R31" s="499">
        <v>425</v>
      </c>
      <c r="S31" s="224">
        <v>4725</v>
      </c>
      <c r="T31" s="226">
        <v>47250</v>
      </c>
      <c r="U31" s="245">
        <v>40044.375</v>
      </c>
      <c r="V31" s="363">
        <f t="shared" si="0"/>
        <v>3225</v>
      </c>
      <c r="W31" s="343">
        <f t="shared" si="1"/>
        <v>32250</v>
      </c>
      <c r="X31" s="343">
        <f t="shared" si="2"/>
        <v>27331.875</v>
      </c>
      <c r="Y31" s="475">
        <f t="shared" si="3"/>
        <v>-1500</v>
      </c>
      <c r="Z31" s="355">
        <f t="shared" si="4"/>
        <v>3225</v>
      </c>
      <c r="AA31" s="523">
        <f t="shared" si="5"/>
        <v>32250</v>
      </c>
      <c r="AB31" s="524">
        <f t="shared" si="6"/>
        <v>27331.875</v>
      </c>
      <c r="AC31" s="45"/>
    </row>
    <row r="32" spans="1:29" s="2" customFormat="1" x14ac:dyDescent="0.2">
      <c r="A32" s="190" t="s">
        <v>41</v>
      </c>
      <c r="B32" s="190" t="s">
        <v>42</v>
      </c>
      <c r="C32" s="190" t="s">
        <v>43</v>
      </c>
      <c r="D32" s="192"/>
      <c r="E32" s="192" t="s">
        <v>164</v>
      </c>
      <c r="F32" s="191">
        <v>10.88</v>
      </c>
      <c r="G32" s="558">
        <v>0</v>
      </c>
      <c r="H32" s="494">
        <v>0</v>
      </c>
      <c r="I32" s="501">
        <v>0</v>
      </c>
      <c r="J32" s="501"/>
      <c r="K32" s="501">
        <v>2600</v>
      </c>
      <c r="L32" s="498"/>
      <c r="M32" s="498"/>
      <c r="N32" s="498">
        <v>2400</v>
      </c>
      <c r="O32" s="498"/>
      <c r="P32" s="498"/>
      <c r="Q32" s="498">
        <v>1420</v>
      </c>
      <c r="R32" s="499"/>
      <c r="S32" s="224">
        <v>8820</v>
      </c>
      <c r="T32" s="226">
        <v>95961.600000000006</v>
      </c>
      <c r="U32" s="245">
        <v>81327.456000000006</v>
      </c>
      <c r="V32" s="363">
        <f t="shared" si="0"/>
        <v>6420</v>
      </c>
      <c r="W32" s="343">
        <f t="shared" si="1"/>
        <v>69849.600000000006</v>
      </c>
      <c r="X32" s="343">
        <f t="shared" si="2"/>
        <v>59197.536000000007</v>
      </c>
      <c r="Y32" s="475">
        <f t="shared" si="3"/>
        <v>-2400</v>
      </c>
      <c r="Z32" s="355">
        <f t="shared" si="4"/>
        <v>6420</v>
      </c>
      <c r="AA32" s="523">
        <f t="shared" si="5"/>
        <v>69849.600000000006</v>
      </c>
      <c r="AB32" s="524">
        <f t="shared" si="6"/>
        <v>59197.536000000007</v>
      </c>
      <c r="AC32" s="45"/>
    </row>
    <row r="33" spans="1:29" s="2" customFormat="1" x14ac:dyDescent="0.2">
      <c r="A33" s="190" t="s">
        <v>41</v>
      </c>
      <c r="B33" s="190" t="s">
        <v>42</v>
      </c>
      <c r="C33" s="190" t="s">
        <v>43</v>
      </c>
      <c r="D33" s="192"/>
      <c r="E33" s="192" t="s">
        <v>72</v>
      </c>
      <c r="F33" s="191">
        <v>21</v>
      </c>
      <c r="G33" s="542">
        <v>0</v>
      </c>
      <c r="H33" s="494"/>
      <c r="I33" s="494"/>
      <c r="J33" s="494"/>
      <c r="K33" s="494"/>
      <c r="L33" s="498"/>
      <c r="M33" s="502"/>
      <c r="N33" s="502"/>
      <c r="O33" s="503"/>
      <c r="P33" s="498"/>
      <c r="Q33" s="498"/>
      <c r="R33" s="499"/>
      <c r="S33" s="224">
        <v>0</v>
      </c>
      <c r="T33" s="226">
        <v>0</v>
      </c>
      <c r="U33" s="245">
        <v>0</v>
      </c>
      <c r="V33" s="363">
        <f t="shared" si="0"/>
        <v>0</v>
      </c>
      <c r="W33" s="343">
        <f t="shared" si="1"/>
        <v>0</v>
      </c>
      <c r="X33" s="343">
        <f t="shared" si="2"/>
        <v>0</v>
      </c>
      <c r="Y33" s="475">
        <f t="shared" si="3"/>
        <v>0</v>
      </c>
      <c r="Z33" s="355">
        <f t="shared" si="4"/>
        <v>0</v>
      </c>
      <c r="AA33" s="523">
        <f t="shared" si="5"/>
        <v>0</v>
      </c>
      <c r="AB33" s="524">
        <f t="shared" si="6"/>
        <v>0</v>
      </c>
      <c r="AC33" s="45"/>
    </row>
    <row r="34" spans="1:29" s="2" customFormat="1" x14ac:dyDescent="0.2">
      <c r="A34" s="190" t="s">
        <v>41</v>
      </c>
      <c r="B34" s="190" t="s">
        <v>61</v>
      </c>
      <c r="C34" s="190" t="s">
        <v>43</v>
      </c>
      <c r="D34" s="192"/>
      <c r="E34" s="192" t="s">
        <v>71</v>
      </c>
      <c r="F34" s="191">
        <v>21</v>
      </c>
      <c r="G34" s="555">
        <v>0</v>
      </c>
      <c r="H34" s="494">
        <v>0</v>
      </c>
      <c r="I34" s="494">
        <v>0</v>
      </c>
      <c r="J34" s="494"/>
      <c r="K34" s="494"/>
      <c r="L34" s="504"/>
      <c r="M34" s="502"/>
      <c r="N34" s="502"/>
      <c r="O34" s="498"/>
      <c r="P34" s="498"/>
      <c r="Q34" s="498"/>
      <c r="R34" s="499"/>
      <c r="S34" s="224">
        <v>0</v>
      </c>
      <c r="T34" s="226">
        <v>0</v>
      </c>
      <c r="U34" s="245">
        <v>0</v>
      </c>
      <c r="V34" s="363">
        <f t="shared" si="0"/>
        <v>0</v>
      </c>
      <c r="W34" s="343">
        <f t="shared" si="1"/>
        <v>0</v>
      </c>
      <c r="X34" s="343">
        <f t="shared" si="2"/>
        <v>0</v>
      </c>
      <c r="Y34" s="475">
        <f t="shared" si="3"/>
        <v>0</v>
      </c>
      <c r="Z34" s="355">
        <f t="shared" si="4"/>
        <v>0</v>
      </c>
      <c r="AA34" s="523">
        <f t="shared" si="5"/>
        <v>0</v>
      </c>
      <c r="AB34" s="524">
        <f t="shared" si="6"/>
        <v>0</v>
      </c>
      <c r="AC34" s="45"/>
    </row>
    <row r="35" spans="1:29" s="2" customFormat="1" x14ac:dyDescent="0.2">
      <c r="A35" s="190" t="s">
        <v>41</v>
      </c>
      <c r="B35" s="190" t="s">
        <v>42</v>
      </c>
      <c r="C35" s="190" t="s">
        <v>43</v>
      </c>
      <c r="D35" s="192"/>
      <c r="E35" s="192" t="s">
        <v>132</v>
      </c>
      <c r="F35" s="191">
        <v>21</v>
      </c>
      <c r="G35" s="559">
        <v>0</v>
      </c>
      <c r="H35" s="505">
        <v>0</v>
      </c>
      <c r="I35" s="561">
        <v>0</v>
      </c>
      <c r="J35" s="505"/>
      <c r="K35" s="505"/>
      <c r="L35" s="506"/>
      <c r="M35" s="506"/>
      <c r="N35" s="506"/>
      <c r="O35" s="505"/>
      <c r="P35" s="505"/>
      <c r="Q35" s="505"/>
      <c r="R35" s="507"/>
      <c r="S35" s="224">
        <v>0</v>
      </c>
      <c r="T35" s="226">
        <v>0</v>
      </c>
      <c r="U35" s="245">
        <v>0</v>
      </c>
      <c r="V35" s="363">
        <f t="shared" si="0"/>
        <v>0</v>
      </c>
      <c r="W35" s="343">
        <f t="shared" si="1"/>
        <v>0</v>
      </c>
      <c r="X35" s="343">
        <f t="shared" si="2"/>
        <v>0</v>
      </c>
      <c r="Y35" s="475">
        <f t="shared" si="3"/>
        <v>0</v>
      </c>
      <c r="Z35" s="355">
        <f t="shared" si="4"/>
        <v>0</v>
      </c>
      <c r="AA35" s="523">
        <f t="shared" si="5"/>
        <v>0</v>
      </c>
      <c r="AB35" s="524">
        <f t="shared" si="6"/>
        <v>0</v>
      </c>
      <c r="AC35" s="45"/>
    </row>
    <row r="36" spans="1:29" s="2" customFormat="1" ht="14.75" customHeight="1" x14ac:dyDescent="0.2">
      <c r="A36" s="190" t="s">
        <v>41</v>
      </c>
      <c r="B36" s="190" t="s">
        <v>42</v>
      </c>
      <c r="C36" s="190" t="s">
        <v>43</v>
      </c>
      <c r="D36" s="190"/>
      <c r="E36" s="190" t="s">
        <v>145</v>
      </c>
      <c r="F36" s="191">
        <v>23</v>
      </c>
      <c r="G36" s="541">
        <v>2000</v>
      </c>
      <c r="H36" s="217">
        <v>1000</v>
      </c>
      <c r="I36" s="494"/>
      <c r="J36" s="494">
        <v>2000</v>
      </c>
      <c r="K36" s="494"/>
      <c r="L36" s="498">
        <v>3000</v>
      </c>
      <c r="M36" s="505"/>
      <c r="N36" s="498">
        <v>3000</v>
      </c>
      <c r="O36" s="498"/>
      <c r="P36" s="498">
        <v>3000</v>
      </c>
      <c r="Q36" s="498"/>
      <c r="R36" s="499">
        <v>2000</v>
      </c>
      <c r="S36" s="224">
        <v>16000</v>
      </c>
      <c r="T36" s="226">
        <v>368000</v>
      </c>
      <c r="U36" s="245">
        <v>311880</v>
      </c>
      <c r="V36" s="363">
        <f t="shared" si="0"/>
        <v>16000</v>
      </c>
      <c r="W36" s="343">
        <f t="shared" si="1"/>
        <v>368000</v>
      </c>
      <c r="X36" s="343">
        <f t="shared" si="2"/>
        <v>311880</v>
      </c>
      <c r="Y36" s="475">
        <f t="shared" si="3"/>
        <v>0</v>
      </c>
      <c r="Z36" s="355">
        <f t="shared" si="4"/>
        <v>16000</v>
      </c>
      <c r="AA36" s="523">
        <f t="shared" si="5"/>
        <v>368000</v>
      </c>
      <c r="AB36" s="524">
        <f t="shared" si="6"/>
        <v>311880</v>
      </c>
      <c r="AC36" s="45"/>
    </row>
    <row r="37" spans="1:29" s="2" customFormat="1" x14ac:dyDescent="0.2">
      <c r="A37" s="190" t="s">
        <v>41</v>
      </c>
      <c r="B37" s="190" t="s">
        <v>42</v>
      </c>
      <c r="C37" s="190" t="s">
        <v>43</v>
      </c>
      <c r="D37" s="190"/>
      <c r="E37" s="190" t="s">
        <v>146</v>
      </c>
      <c r="F37" s="191">
        <v>23</v>
      </c>
      <c r="G37" s="560">
        <v>0</v>
      </c>
      <c r="H37" s="561">
        <v>1125</v>
      </c>
      <c r="I37" s="561">
        <v>0</v>
      </c>
      <c r="J37" s="494">
        <v>1125</v>
      </c>
      <c r="K37" s="494">
        <v>1300</v>
      </c>
      <c r="L37" s="498">
        <v>1200</v>
      </c>
      <c r="M37" s="498">
        <v>1200</v>
      </c>
      <c r="N37" s="498">
        <v>1200</v>
      </c>
      <c r="O37" s="498">
        <v>1200</v>
      </c>
      <c r="P37" s="498">
        <v>1300</v>
      </c>
      <c r="Q37" s="498">
        <v>1300</v>
      </c>
      <c r="R37" s="499">
        <v>1300</v>
      </c>
      <c r="S37" s="224">
        <v>14500</v>
      </c>
      <c r="T37" s="226">
        <v>333500</v>
      </c>
      <c r="U37" s="245">
        <v>282641.25</v>
      </c>
      <c r="V37" s="363">
        <f t="shared" si="0"/>
        <v>12250</v>
      </c>
      <c r="W37" s="343">
        <f t="shared" si="1"/>
        <v>281750</v>
      </c>
      <c r="X37" s="343">
        <f t="shared" si="2"/>
        <v>238783.125</v>
      </c>
      <c r="Y37" s="475">
        <f t="shared" si="3"/>
        <v>-2250</v>
      </c>
      <c r="Z37" s="355">
        <f t="shared" si="4"/>
        <v>12250</v>
      </c>
      <c r="AA37" s="523">
        <f t="shared" si="5"/>
        <v>281750</v>
      </c>
      <c r="AB37" s="524">
        <f t="shared" si="6"/>
        <v>238783.125</v>
      </c>
      <c r="AC37" s="45"/>
    </row>
    <row r="38" spans="1:29" s="2" customFormat="1" x14ac:dyDescent="0.2">
      <c r="A38" s="14"/>
      <c r="F38" s="97" t="s">
        <v>190</v>
      </c>
      <c r="G38" s="311">
        <f>SUM(G17:G37)</f>
        <v>23300</v>
      </c>
      <c r="H38" s="311">
        <f t="shared" ref="H38:R38" si="7">SUM(H17:H37)</f>
        <v>38325</v>
      </c>
      <c r="I38" s="311">
        <f t="shared" si="7"/>
        <v>34250</v>
      </c>
      <c r="J38" s="311">
        <f t="shared" si="7"/>
        <v>10875</v>
      </c>
      <c r="K38" s="310">
        <f t="shared" si="7"/>
        <v>51600</v>
      </c>
      <c r="L38" s="310">
        <f t="shared" si="7"/>
        <v>19500</v>
      </c>
      <c r="M38" s="310">
        <f t="shared" si="7"/>
        <v>41060</v>
      </c>
      <c r="N38" s="310">
        <f t="shared" si="7"/>
        <v>31250</v>
      </c>
      <c r="O38" s="310">
        <f t="shared" si="7"/>
        <v>29260</v>
      </c>
      <c r="P38" s="310">
        <f t="shared" si="7"/>
        <v>23150</v>
      </c>
      <c r="Q38" s="310">
        <f t="shared" si="7"/>
        <v>40120</v>
      </c>
      <c r="R38" s="310">
        <f t="shared" si="7"/>
        <v>16830</v>
      </c>
      <c r="S38" s="368">
        <v>372870</v>
      </c>
      <c r="T38" s="369">
        <v>6495085.6040000003</v>
      </c>
      <c r="U38" s="370">
        <v>5504585.0493900012</v>
      </c>
      <c r="V38" s="367">
        <f>SUM(V17:V37)</f>
        <v>359520</v>
      </c>
      <c r="W38" s="317">
        <f>SUM(W17:W37)</f>
        <v>6199042.4040000001</v>
      </c>
      <c r="X38" s="317">
        <f>W38*0.8475</f>
        <v>5253688.4373900006</v>
      </c>
      <c r="Y38" s="317">
        <f>SUM(Y17:Y37)</f>
        <v>-22350</v>
      </c>
      <c r="Z38" s="535">
        <f>SUM(Z17:Z37)</f>
        <v>359520</v>
      </c>
      <c r="AA38" s="536">
        <f>SUM(AA17:AA37)</f>
        <v>6199042.4040000001</v>
      </c>
      <c r="AB38" s="537">
        <f>SUM(AB17:AB37)</f>
        <v>5253688.4373900006</v>
      </c>
    </row>
    <row r="39" spans="1:29" s="2" customFormat="1" ht="16" thickBot="1" x14ac:dyDescent="0.25">
      <c r="A39" s="566" t="s">
        <v>236</v>
      </c>
      <c r="F39" s="97" t="s">
        <v>39</v>
      </c>
      <c r="G39" s="543">
        <f>G88</f>
        <v>532838.80000000005</v>
      </c>
      <c r="H39" s="543">
        <f t="shared" ref="H39:R39" si="8">H88</f>
        <v>618370.04</v>
      </c>
      <c r="I39" s="543">
        <f t="shared" si="8"/>
        <v>468711.92000000004</v>
      </c>
      <c r="J39" s="293">
        <f t="shared" si="8"/>
        <v>258085</v>
      </c>
      <c r="K39" s="293">
        <f t="shared" si="8"/>
        <v>744637.53</v>
      </c>
      <c r="L39" s="293">
        <f t="shared" si="8"/>
        <v>436662.15</v>
      </c>
      <c r="M39" s="293">
        <f t="shared" si="8"/>
        <v>575924.52800000005</v>
      </c>
      <c r="N39" s="293">
        <f t="shared" si="8"/>
        <v>640131.18000000005</v>
      </c>
      <c r="O39" s="293">
        <f t="shared" si="8"/>
        <v>465009.74800000002</v>
      </c>
      <c r="P39" s="293">
        <f t="shared" si="8"/>
        <v>413522.04000000004</v>
      </c>
      <c r="Q39" s="293">
        <f t="shared" si="8"/>
        <v>714058.72</v>
      </c>
      <c r="R39" s="293">
        <f t="shared" si="8"/>
        <v>331090.74800000002</v>
      </c>
      <c r="S39" s="319">
        <f>SUM(G38:R38)</f>
        <v>359520</v>
      </c>
      <c r="T39" s="314">
        <f>SUM(G39:R39)</f>
        <v>6199042.4039999992</v>
      </c>
      <c r="U39" s="330">
        <f>T39*0.8475</f>
        <v>5253688.4373899996</v>
      </c>
      <c r="V39" s="318"/>
      <c r="W39" s="319">
        <f>W38*0.8475</f>
        <v>5253688.4373900006</v>
      </c>
      <c r="X39" s="319">
        <f>W39*0.8475</f>
        <v>4452500.9506880259</v>
      </c>
      <c r="Y39" s="319"/>
    </row>
    <row r="40" spans="1:29" s="2" customFormat="1" ht="16" x14ac:dyDescent="0.2">
      <c r="A40" s="567" t="s">
        <v>237</v>
      </c>
      <c r="B40" s="568"/>
      <c r="F40" s="14"/>
      <c r="G40" s="11"/>
      <c r="R40" s="2" t="s">
        <v>191</v>
      </c>
      <c r="S40" s="332"/>
      <c r="T40" s="296" t="s">
        <v>227</v>
      </c>
      <c r="U40" s="514">
        <v>5232965.87</v>
      </c>
    </row>
    <row r="41" spans="1:29" s="2" customFormat="1" ht="16" thickBot="1" x14ac:dyDescent="0.25">
      <c r="A41" s="569" t="s">
        <v>238</v>
      </c>
      <c r="F41" s="14"/>
      <c r="G41" s="11"/>
      <c r="S41" s="11"/>
      <c r="T41" s="277"/>
    </row>
    <row r="42" spans="1:29" s="2" customFormat="1" ht="33" thickBot="1" x14ac:dyDescent="0.25">
      <c r="A42" s="14"/>
      <c r="E42" s="584" t="s">
        <v>204</v>
      </c>
      <c r="F42" s="14"/>
      <c r="G42" s="353" t="s">
        <v>133</v>
      </c>
      <c r="H42" s="353" t="s">
        <v>134</v>
      </c>
      <c r="I42" s="353" t="s">
        <v>135</v>
      </c>
      <c r="J42" s="353" t="s">
        <v>136</v>
      </c>
      <c r="K42" s="351" t="s">
        <v>137</v>
      </c>
      <c r="L42" s="351" t="s">
        <v>138</v>
      </c>
      <c r="M42" s="351" t="s">
        <v>139</v>
      </c>
      <c r="N42" s="351" t="s">
        <v>140</v>
      </c>
      <c r="O42" s="351" t="s">
        <v>141</v>
      </c>
      <c r="P42" s="351" t="s">
        <v>142</v>
      </c>
      <c r="Q42" s="351" t="s">
        <v>143</v>
      </c>
      <c r="R42" s="352" t="s">
        <v>144</v>
      </c>
      <c r="S42" s="274" t="s">
        <v>198</v>
      </c>
      <c r="T42" s="274" t="s">
        <v>199</v>
      </c>
      <c r="U42" s="274" t="s">
        <v>200</v>
      </c>
      <c r="V42" s="215" t="s">
        <v>167</v>
      </c>
      <c r="W42" s="325" t="s">
        <v>196</v>
      </c>
      <c r="X42" s="329" t="s">
        <v>197</v>
      </c>
      <c r="Y42" s="306" t="s">
        <v>169</v>
      </c>
      <c r="Z42" s="534" t="s">
        <v>224</v>
      </c>
      <c r="AA42" s="534" t="s">
        <v>225</v>
      </c>
      <c r="AB42" s="534" t="s">
        <v>226</v>
      </c>
      <c r="AC42" s="45" t="s">
        <v>229</v>
      </c>
    </row>
    <row r="43" spans="1:29" s="2" customFormat="1" x14ac:dyDescent="0.2">
      <c r="A43" s="64" t="s">
        <v>74</v>
      </c>
      <c r="B43" s="45" t="s">
        <v>70</v>
      </c>
      <c r="C43" s="45" t="s">
        <v>89</v>
      </c>
      <c r="D43" s="45"/>
      <c r="E43" s="45" t="s">
        <v>81</v>
      </c>
      <c r="F43" s="182">
        <v>9.9499999999999993</v>
      </c>
      <c r="G43" s="285">
        <v>0</v>
      </c>
      <c r="H43" s="285">
        <v>0</v>
      </c>
      <c r="I43" s="285">
        <v>0</v>
      </c>
      <c r="J43" s="45"/>
      <c r="K43" s="45"/>
      <c r="L43" s="45"/>
      <c r="M43" s="45"/>
      <c r="N43" s="45"/>
      <c r="O43" s="45"/>
      <c r="P43" s="45"/>
      <c r="Q43" s="45"/>
      <c r="R43" s="45"/>
      <c r="S43" s="516">
        <v>0</v>
      </c>
      <c r="T43" s="516">
        <v>0</v>
      </c>
      <c r="U43" s="519">
        <v>0</v>
      </c>
      <c r="V43" s="336">
        <f>SUM(G43:R43)</f>
        <v>0</v>
      </c>
      <c r="W43" s="337">
        <f>F43*V43</f>
        <v>0</v>
      </c>
      <c r="X43" s="338">
        <f>W43*0.8475</f>
        <v>0</v>
      </c>
      <c r="Y43" s="532">
        <f>V43-S43</f>
        <v>0</v>
      </c>
      <c r="Z43" s="527">
        <f>SUM(G43:R43)</f>
        <v>0</v>
      </c>
      <c r="AA43" s="525">
        <f>F43*Z43</f>
        <v>0</v>
      </c>
      <c r="AB43" s="526">
        <f>F43*Z43</f>
        <v>0</v>
      </c>
      <c r="AC43" s="45"/>
    </row>
    <row r="44" spans="1:29" s="2" customFormat="1" x14ac:dyDescent="0.2">
      <c r="A44" s="64" t="s">
        <v>74</v>
      </c>
      <c r="B44" s="45" t="s">
        <v>61</v>
      </c>
      <c r="C44" s="45" t="s">
        <v>80</v>
      </c>
      <c r="D44" s="45"/>
      <c r="E44" s="45" t="s">
        <v>81</v>
      </c>
      <c r="F44" s="182">
        <v>9.9499999999999993</v>
      </c>
      <c r="G44" s="285">
        <v>0</v>
      </c>
      <c r="H44" s="285">
        <v>0</v>
      </c>
      <c r="I44" s="285">
        <v>0</v>
      </c>
      <c r="J44" s="45"/>
      <c r="K44" s="45"/>
      <c r="L44" s="45"/>
      <c r="M44" s="183"/>
      <c r="N44" s="45"/>
      <c r="O44" s="45"/>
      <c r="P44" s="45"/>
      <c r="Q44" s="45"/>
      <c r="R44" s="193"/>
      <c r="S44" s="515">
        <v>0</v>
      </c>
      <c r="T44" s="515">
        <v>0</v>
      </c>
      <c r="U44" s="520">
        <v>0</v>
      </c>
      <c r="V44" s="342">
        <f t="shared" ref="V44:V51" si="9">SUM(G44:R44)</f>
        <v>0</v>
      </c>
      <c r="W44" s="343">
        <f t="shared" ref="W44:W51" si="10">F44*V44</f>
        <v>0</v>
      </c>
      <c r="X44" s="344">
        <f t="shared" ref="X44:X51" si="11">W44*0.8475</f>
        <v>0</v>
      </c>
      <c r="Y44" s="532">
        <f t="shared" ref="Y44:Y51" si="12">V44-S44</f>
        <v>0</v>
      </c>
      <c r="Z44" s="527">
        <f t="shared" ref="Z44:Z51" si="13">SUM(G44:R44)</f>
        <v>0</v>
      </c>
      <c r="AA44" s="525">
        <f t="shared" ref="AA44:AA51" si="14">F44*Z44</f>
        <v>0</v>
      </c>
      <c r="AB44" s="526">
        <f t="shared" ref="AB44:AB51" si="15">F44*Z44</f>
        <v>0</v>
      </c>
      <c r="AC44" s="45"/>
    </row>
    <row r="45" spans="1:29" s="2" customFormat="1" ht="14" customHeight="1" x14ac:dyDescent="0.2">
      <c r="A45" s="64" t="s">
        <v>74</v>
      </c>
      <c r="B45" s="45" t="s">
        <v>61</v>
      </c>
      <c r="C45" s="467" t="s">
        <v>83</v>
      </c>
      <c r="D45" s="45"/>
      <c r="E45" s="467" t="s">
        <v>81</v>
      </c>
      <c r="F45" s="182">
        <v>9.9499999999999993</v>
      </c>
      <c r="G45" s="539">
        <v>1800</v>
      </c>
      <c r="H45" s="294">
        <v>1800</v>
      </c>
      <c r="I45" s="294">
        <v>0</v>
      </c>
      <c r="J45" s="216">
        <v>1800</v>
      </c>
      <c r="K45" s="216">
        <v>600</v>
      </c>
      <c r="L45" s="216">
        <v>600</v>
      </c>
      <c r="M45" s="216">
        <v>600</v>
      </c>
      <c r="N45" s="216">
        <v>600</v>
      </c>
      <c r="O45" s="216">
        <v>600</v>
      </c>
      <c r="P45" s="216">
        <v>600</v>
      </c>
      <c r="Q45" s="216">
        <v>600</v>
      </c>
      <c r="R45" s="465">
        <v>600</v>
      </c>
      <c r="S45" s="224">
        <v>9000</v>
      </c>
      <c r="T45" s="226">
        <v>89550</v>
      </c>
      <c r="U45" s="245">
        <v>75893.625</v>
      </c>
      <c r="V45" s="342">
        <f t="shared" si="9"/>
        <v>10200</v>
      </c>
      <c r="W45" s="343">
        <f t="shared" si="10"/>
        <v>101490</v>
      </c>
      <c r="X45" s="344">
        <f t="shared" si="11"/>
        <v>86012.775000000009</v>
      </c>
      <c r="Y45" s="532">
        <f t="shared" si="12"/>
        <v>1200</v>
      </c>
      <c r="Z45" s="527">
        <f t="shared" si="13"/>
        <v>10200</v>
      </c>
      <c r="AA45" s="525">
        <f t="shared" si="14"/>
        <v>101490</v>
      </c>
      <c r="AB45" s="526">
        <f t="shared" si="15"/>
        <v>101490</v>
      </c>
      <c r="AC45" s="45"/>
    </row>
    <row r="46" spans="1:29" s="2" customFormat="1" x14ac:dyDescent="0.2">
      <c r="A46" s="64" t="s">
        <v>74</v>
      </c>
      <c r="B46" s="45" t="s">
        <v>70</v>
      </c>
      <c r="C46" s="45" t="s">
        <v>87</v>
      </c>
      <c r="D46" s="45"/>
      <c r="E46" s="45" t="s">
        <v>88</v>
      </c>
      <c r="F46" s="182">
        <v>13.27</v>
      </c>
      <c r="G46" s="285">
        <v>0</v>
      </c>
      <c r="H46" s="285">
        <v>0</v>
      </c>
      <c r="I46" s="285">
        <v>0</v>
      </c>
      <c r="J46" s="45"/>
      <c r="K46" s="45"/>
      <c r="L46" s="45"/>
      <c r="M46" s="45"/>
      <c r="N46" s="184"/>
      <c r="O46" s="45"/>
      <c r="P46" s="45"/>
      <c r="Q46" s="45"/>
      <c r="R46" s="193"/>
      <c r="S46" s="515">
        <v>0</v>
      </c>
      <c r="T46" s="515">
        <v>0</v>
      </c>
      <c r="U46" s="520">
        <v>0</v>
      </c>
      <c r="V46" s="342">
        <f t="shared" si="9"/>
        <v>0</v>
      </c>
      <c r="W46" s="343">
        <f t="shared" si="10"/>
        <v>0</v>
      </c>
      <c r="X46" s="344">
        <f t="shared" si="11"/>
        <v>0</v>
      </c>
      <c r="Y46" s="532">
        <f t="shared" si="12"/>
        <v>0</v>
      </c>
      <c r="Z46" s="527">
        <f t="shared" si="13"/>
        <v>0</v>
      </c>
      <c r="AA46" s="525">
        <f t="shared" si="14"/>
        <v>0</v>
      </c>
      <c r="AB46" s="526">
        <f t="shared" si="15"/>
        <v>0</v>
      </c>
      <c r="AC46" s="45"/>
    </row>
    <row r="47" spans="1:29" s="2" customFormat="1" x14ac:dyDescent="0.2">
      <c r="A47" s="64" t="s">
        <v>74</v>
      </c>
      <c r="B47" s="45" t="s">
        <v>70</v>
      </c>
      <c r="C47" s="45" t="s">
        <v>87</v>
      </c>
      <c r="D47" s="45"/>
      <c r="E47" s="45" t="s">
        <v>148</v>
      </c>
      <c r="F47" s="182">
        <v>59.48</v>
      </c>
      <c r="G47" s="285"/>
      <c r="H47" s="285"/>
      <c r="I47" s="285"/>
      <c r="J47" s="45"/>
      <c r="K47" s="45"/>
      <c r="L47" s="45"/>
      <c r="M47" s="45"/>
      <c r="N47" s="45"/>
      <c r="O47" s="45"/>
      <c r="P47" s="45"/>
      <c r="Q47" s="45"/>
      <c r="R47" s="193"/>
      <c r="S47" s="515">
        <v>0</v>
      </c>
      <c r="T47" s="515">
        <v>0</v>
      </c>
      <c r="U47" s="520">
        <v>0</v>
      </c>
      <c r="V47" s="342">
        <f t="shared" si="9"/>
        <v>0</v>
      </c>
      <c r="W47" s="343">
        <f t="shared" si="10"/>
        <v>0</v>
      </c>
      <c r="X47" s="344">
        <f t="shared" si="11"/>
        <v>0</v>
      </c>
      <c r="Y47" s="532">
        <f t="shared" si="12"/>
        <v>0</v>
      </c>
      <c r="Z47" s="527">
        <f t="shared" si="13"/>
        <v>0</v>
      </c>
      <c r="AA47" s="525">
        <f t="shared" si="14"/>
        <v>0</v>
      </c>
      <c r="AB47" s="526">
        <f t="shared" si="15"/>
        <v>0</v>
      </c>
      <c r="AC47" s="45"/>
    </row>
    <row r="48" spans="1:29" s="2" customFormat="1" x14ac:dyDescent="0.2">
      <c r="A48" s="64" t="s">
        <v>74</v>
      </c>
      <c r="B48" s="45" t="s">
        <v>70</v>
      </c>
      <c r="C48" s="45" t="s">
        <v>80</v>
      </c>
      <c r="D48" s="45"/>
      <c r="E48" s="45" t="s">
        <v>149</v>
      </c>
      <c r="F48" s="182">
        <v>59.48</v>
      </c>
      <c r="G48" s="539">
        <v>80</v>
      </c>
      <c r="H48" s="294">
        <v>80</v>
      </c>
      <c r="I48" s="294">
        <v>80</v>
      </c>
      <c r="J48" s="294">
        <v>80</v>
      </c>
      <c r="K48" s="45"/>
      <c r="L48" s="45"/>
      <c r="M48" s="45"/>
      <c r="N48" s="45"/>
      <c r="O48" s="45"/>
      <c r="P48" s="45"/>
      <c r="Q48" s="45"/>
      <c r="R48" s="193"/>
      <c r="S48" s="515">
        <v>0</v>
      </c>
      <c r="T48" s="515">
        <v>0</v>
      </c>
      <c r="U48" s="520">
        <v>0</v>
      </c>
      <c r="V48" s="342">
        <f t="shared" si="9"/>
        <v>320</v>
      </c>
      <c r="W48" s="343">
        <f t="shared" si="10"/>
        <v>19033.599999999999</v>
      </c>
      <c r="X48" s="344">
        <f t="shared" si="11"/>
        <v>16130.975999999999</v>
      </c>
      <c r="Y48" s="532">
        <f t="shared" si="12"/>
        <v>320</v>
      </c>
      <c r="Z48" s="527">
        <f t="shared" si="13"/>
        <v>320</v>
      </c>
      <c r="AA48" s="525">
        <f t="shared" si="14"/>
        <v>19033.599999999999</v>
      </c>
      <c r="AB48" s="526">
        <f t="shared" si="15"/>
        <v>19033.599999999999</v>
      </c>
      <c r="AC48" s="45"/>
    </row>
    <row r="49" spans="1:29" s="2" customFormat="1" ht="14.75" customHeight="1" x14ac:dyDescent="0.2">
      <c r="A49" s="64" t="s">
        <v>74</v>
      </c>
      <c r="B49" s="45" t="s">
        <v>70</v>
      </c>
      <c r="C49" s="45" t="s">
        <v>75</v>
      </c>
      <c r="D49" s="45"/>
      <c r="E49" s="45" t="s">
        <v>149</v>
      </c>
      <c r="F49" s="182">
        <v>59.48</v>
      </c>
      <c r="G49" s="285"/>
      <c r="H49" s="285"/>
      <c r="I49" s="285"/>
      <c r="J49" s="45"/>
      <c r="K49" s="45"/>
      <c r="L49" s="45"/>
      <c r="M49" s="45"/>
      <c r="N49" s="45"/>
      <c r="O49" s="45"/>
      <c r="P49" s="45"/>
      <c r="Q49" s="45"/>
      <c r="R49" s="193"/>
      <c r="S49" s="515">
        <v>0</v>
      </c>
      <c r="T49" s="515">
        <v>0</v>
      </c>
      <c r="U49" s="520">
        <v>0</v>
      </c>
      <c r="V49" s="342">
        <f t="shared" si="9"/>
        <v>0</v>
      </c>
      <c r="W49" s="343">
        <f t="shared" si="10"/>
        <v>0</v>
      </c>
      <c r="X49" s="344">
        <f t="shared" si="11"/>
        <v>0</v>
      </c>
      <c r="Y49" s="532">
        <f t="shared" si="12"/>
        <v>0</v>
      </c>
      <c r="Z49" s="527">
        <f t="shared" si="13"/>
        <v>0</v>
      </c>
      <c r="AA49" s="525">
        <f t="shared" si="14"/>
        <v>0</v>
      </c>
      <c r="AB49" s="526">
        <f t="shared" si="15"/>
        <v>0</v>
      </c>
      <c r="AC49" s="45"/>
    </row>
    <row r="50" spans="1:29" s="2" customFormat="1" x14ac:dyDescent="0.2">
      <c r="A50" s="64" t="s">
        <v>74</v>
      </c>
      <c r="B50" s="45" t="s">
        <v>70</v>
      </c>
      <c r="C50" s="45" t="s">
        <v>77</v>
      </c>
      <c r="D50" s="45"/>
      <c r="E50" s="45" t="s">
        <v>150</v>
      </c>
      <c r="F50" s="182">
        <f>21.66*1.01</f>
        <v>21.8766</v>
      </c>
      <c r="G50" s="285">
        <v>0</v>
      </c>
      <c r="H50" s="285">
        <v>0</v>
      </c>
      <c r="I50" s="285">
        <v>0</v>
      </c>
      <c r="J50" s="45"/>
      <c r="K50" s="45"/>
      <c r="L50" s="45"/>
      <c r="M50" s="45"/>
      <c r="N50" s="45"/>
      <c r="O50" s="45"/>
      <c r="P50" s="45"/>
      <c r="Q50" s="45"/>
      <c r="R50" s="193"/>
      <c r="S50" s="515">
        <v>0</v>
      </c>
      <c r="T50" s="515">
        <v>0</v>
      </c>
      <c r="U50" s="520">
        <v>0</v>
      </c>
      <c r="V50" s="342">
        <f t="shared" si="9"/>
        <v>0</v>
      </c>
      <c r="W50" s="343">
        <f t="shared" si="10"/>
        <v>0</v>
      </c>
      <c r="X50" s="344">
        <f t="shared" si="11"/>
        <v>0</v>
      </c>
      <c r="Y50" s="532">
        <f t="shared" si="12"/>
        <v>0</v>
      </c>
      <c r="Z50" s="527">
        <f t="shared" si="13"/>
        <v>0</v>
      </c>
      <c r="AA50" s="525">
        <f t="shared" si="14"/>
        <v>0</v>
      </c>
      <c r="AB50" s="526">
        <f t="shared" si="15"/>
        <v>0</v>
      </c>
      <c r="AC50" s="45"/>
    </row>
    <row r="51" spans="1:29" s="2" customFormat="1" x14ac:dyDescent="0.2">
      <c r="A51" s="64" t="s">
        <v>74</v>
      </c>
      <c r="B51" s="45" t="s">
        <v>70</v>
      </c>
      <c r="C51" s="45" t="s">
        <v>89</v>
      </c>
      <c r="D51" s="45"/>
      <c r="E51" s="45" t="s">
        <v>150</v>
      </c>
      <c r="F51" s="182">
        <f>21.66*1.01</f>
        <v>21.8766</v>
      </c>
      <c r="G51" s="285"/>
      <c r="H51" s="285"/>
      <c r="I51" s="285"/>
      <c r="J51" s="45"/>
      <c r="K51" s="45"/>
      <c r="L51" s="45"/>
      <c r="M51" s="45"/>
      <c r="N51" s="45"/>
      <c r="O51" s="45"/>
      <c r="P51" s="45"/>
      <c r="Q51" s="45"/>
      <c r="R51" s="193"/>
      <c r="S51" s="515">
        <v>0</v>
      </c>
      <c r="T51" s="515">
        <v>0</v>
      </c>
      <c r="U51" s="520">
        <v>0</v>
      </c>
      <c r="V51" s="342">
        <f t="shared" si="9"/>
        <v>0</v>
      </c>
      <c r="W51" s="343">
        <f t="shared" si="10"/>
        <v>0</v>
      </c>
      <c r="X51" s="344">
        <f t="shared" si="11"/>
        <v>0</v>
      </c>
      <c r="Y51" s="532">
        <f t="shared" si="12"/>
        <v>0</v>
      </c>
      <c r="Z51" s="527">
        <f t="shared" si="13"/>
        <v>0</v>
      </c>
      <c r="AA51" s="525">
        <f t="shared" si="14"/>
        <v>0</v>
      </c>
      <c r="AB51" s="526">
        <f t="shared" si="15"/>
        <v>0</v>
      </c>
      <c r="AC51" s="45"/>
    </row>
    <row r="52" spans="1:29" s="2" customFormat="1" ht="15.5" customHeight="1" x14ac:dyDescent="0.2">
      <c r="G52" s="545">
        <f>SUM(G43:G51)</f>
        <v>1880</v>
      </c>
      <c r="H52" s="545">
        <f t="shared" ref="H52:R52" si="16">SUM(H43:H51)</f>
        <v>1880</v>
      </c>
      <c r="I52" s="545">
        <f t="shared" si="16"/>
        <v>80</v>
      </c>
      <c r="J52" s="544">
        <f t="shared" si="16"/>
        <v>1880</v>
      </c>
      <c r="K52" s="544">
        <f t="shared" si="16"/>
        <v>600</v>
      </c>
      <c r="L52" s="544">
        <f t="shared" si="16"/>
        <v>600</v>
      </c>
      <c r="M52" s="544">
        <f t="shared" si="16"/>
        <v>600</v>
      </c>
      <c r="N52" s="544">
        <f t="shared" si="16"/>
        <v>600</v>
      </c>
      <c r="O52" s="544">
        <f t="shared" si="16"/>
        <v>600</v>
      </c>
      <c r="P52" s="544">
        <f t="shared" si="16"/>
        <v>600</v>
      </c>
      <c r="Q52" s="544">
        <f t="shared" si="16"/>
        <v>600</v>
      </c>
      <c r="R52" s="544">
        <f t="shared" si="16"/>
        <v>600</v>
      </c>
      <c r="S52" s="521">
        <v>9000</v>
      </c>
      <c r="T52" s="369">
        <v>89550</v>
      </c>
      <c r="U52" s="370">
        <v>75893.625</v>
      </c>
      <c r="V52" s="316">
        <f>SUM(S52:U52)</f>
        <v>174443.625</v>
      </c>
      <c r="W52" s="317">
        <f>SUM(W43:W51)</f>
        <v>120523.6</v>
      </c>
      <c r="X52" s="317">
        <f>W52*0.8475</f>
        <v>102143.751</v>
      </c>
      <c r="Y52" s="317">
        <f>SUM(Y43:Y51)</f>
        <v>1520</v>
      </c>
      <c r="Z52" s="528">
        <f>SUM(Z43:Z51)</f>
        <v>10520</v>
      </c>
      <c r="AA52" s="529">
        <f>SUM(AA43:AA51)</f>
        <v>120523.6</v>
      </c>
      <c r="AB52" s="530">
        <f>SUM(AB43:AB51)</f>
        <v>120523.6</v>
      </c>
    </row>
    <row r="53" spans="1:29" s="2" customFormat="1" ht="16" thickBot="1" x14ac:dyDescent="0.25">
      <c r="A53" s="14"/>
      <c r="G53" s="543">
        <f>G102</f>
        <v>22668.400000000001</v>
      </c>
      <c r="H53" s="543">
        <f t="shared" ref="H53:R53" si="17">H102</f>
        <v>22668.400000000001</v>
      </c>
      <c r="I53" s="543">
        <f t="shared" si="17"/>
        <v>4758.3999999999996</v>
      </c>
      <c r="J53" s="293">
        <f t="shared" si="17"/>
        <v>22668.400000000001</v>
      </c>
      <c r="K53" s="293">
        <f t="shared" si="17"/>
        <v>5970</v>
      </c>
      <c r="L53" s="293">
        <f t="shared" si="17"/>
        <v>5970</v>
      </c>
      <c r="M53" s="293">
        <f t="shared" si="17"/>
        <v>5970</v>
      </c>
      <c r="N53" s="293">
        <f t="shared" si="17"/>
        <v>5970</v>
      </c>
      <c r="O53" s="293">
        <f t="shared" si="17"/>
        <v>5970</v>
      </c>
      <c r="P53" s="293">
        <f t="shared" si="17"/>
        <v>5970</v>
      </c>
      <c r="Q53" s="293">
        <f t="shared" si="17"/>
        <v>5970</v>
      </c>
      <c r="R53" s="293">
        <f t="shared" si="17"/>
        <v>5970</v>
      </c>
      <c r="S53" s="319">
        <f>SUM(S43:S51)</f>
        <v>9000</v>
      </c>
      <c r="T53" s="314">
        <f>SUM(T43:T51)</f>
        <v>89550</v>
      </c>
      <c r="U53" s="330">
        <f>SUM(U43:U52)</f>
        <v>151787.25</v>
      </c>
      <c r="V53" s="318"/>
      <c r="W53" s="319"/>
      <c r="X53" s="319"/>
      <c r="Y53" s="319"/>
      <c r="Z53" s="470">
        <f>SUM(Z38+Z52)</f>
        <v>370040</v>
      </c>
      <c r="AA53" s="470">
        <f t="shared" ref="AA53:AB53" si="18">SUM(AA38+AA52)</f>
        <v>6319566.0039999997</v>
      </c>
      <c r="AB53" s="470">
        <f t="shared" si="18"/>
        <v>5374212.0373900002</v>
      </c>
    </row>
    <row r="54" spans="1:29" s="152" customFormat="1" ht="20" thickBot="1" x14ac:dyDescent="0.25">
      <c r="A54" s="14"/>
      <c r="F54" s="546" t="s">
        <v>235</v>
      </c>
      <c r="G54" s="549">
        <f>G38+G52</f>
        <v>25180</v>
      </c>
      <c r="H54" s="550"/>
      <c r="I54" s="548"/>
      <c r="J54" s="548"/>
      <c r="K54" s="41"/>
      <c r="L54" s="41"/>
      <c r="M54" s="111"/>
      <c r="P54" s="2"/>
      <c r="Q54" s="531"/>
      <c r="R54" s="533" t="s">
        <v>192</v>
      </c>
      <c r="S54" s="196">
        <f>S38+S52</f>
        <v>381870</v>
      </c>
      <c r="T54" s="197">
        <f>T38+T52</f>
        <v>6584635.6040000003</v>
      </c>
      <c r="U54" s="198">
        <f>U38+U52</f>
        <v>5580478.6743900012</v>
      </c>
      <c r="V54" s="152" t="s">
        <v>157</v>
      </c>
    </row>
    <row r="55" spans="1:29" s="152" customFormat="1" ht="19" x14ac:dyDescent="0.2">
      <c r="A55" s="14"/>
      <c r="F55" s="546" t="s">
        <v>233</v>
      </c>
      <c r="G55" s="551">
        <f>G39+G53</f>
        <v>555507.20000000007</v>
      </c>
      <c r="H55" s="41"/>
      <c r="I55" s="41"/>
      <c r="J55" s="41"/>
      <c r="K55" s="41"/>
      <c r="L55" s="41"/>
      <c r="M55" s="111"/>
      <c r="P55" s="2"/>
      <c r="Q55" s="2"/>
      <c r="R55" s="2"/>
      <c r="S55" s="414"/>
      <c r="T55" s="415"/>
      <c r="U55" s="158"/>
    </row>
    <row r="56" spans="1:29" s="152" customFormat="1" ht="19" x14ac:dyDescent="0.2">
      <c r="A56" s="14"/>
      <c r="F56" s="546" t="s">
        <v>234</v>
      </c>
      <c r="G56" s="552">
        <f>G55*0.8475</f>
        <v>470792.35200000007</v>
      </c>
      <c r="H56" s="41"/>
      <c r="I56" s="41"/>
      <c r="J56" s="41"/>
      <c r="K56" s="41"/>
      <c r="L56" s="41"/>
      <c r="M56" s="111"/>
      <c r="P56" s="2"/>
      <c r="Q56" s="2"/>
      <c r="R56" s="2"/>
      <c r="S56" s="414"/>
      <c r="T56" s="415"/>
      <c r="U56" s="158"/>
      <c r="Z56" s="570">
        <f>Z38+Z52</f>
        <v>370040</v>
      </c>
      <c r="AA56" s="571">
        <f>SUM(AA38+AA52)</f>
        <v>6319566.0039999997</v>
      </c>
      <c r="AB56" s="572">
        <f>AB38+AB52</f>
        <v>5374212.0373900002</v>
      </c>
    </row>
    <row r="57" spans="1:29" s="152" customFormat="1" ht="19" x14ac:dyDescent="0.2">
      <c r="A57" s="14"/>
      <c r="F57" s="546"/>
      <c r="G57" s="573"/>
      <c r="H57" s="41"/>
      <c r="I57" s="41"/>
      <c r="J57" s="41"/>
      <c r="K57" s="41"/>
      <c r="L57" s="41"/>
      <c r="M57" s="111"/>
      <c r="P57" s="2"/>
      <c r="Q57" s="2"/>
      <c r="R57" s="2"/>
      <c r="S57" s="414"/>
      <c r="T57" s="415"/>
      <c r="U57" s="158"/>
      <c r="Z57" s="570" t="s">
        <v>240</v>
      </c>
      <c r="AA57" s="571" t="s">
        <v>225</v>
      </c>
      <c r="AB57" s="572" t="s">
        <v>241</v>
      </c>
    </row>
    <row r="58" spans="1:29" s="152" customFormat="1" ht="19" x14ac:dyDescent="0.2">
      <c r="A58" s="14"/>
      <c r="F58" s="546"/>
      <c r="G58" s="573"/>
      <c r="H58" s="41"/>
      <c r="I58" s="41"/>
      <c r="J58" s="41"/>
      <c r="K58" s="41"/>
      <c r="L58" s="41"/>
      <c r="M58" s="111"/>
      <c r="P58" s="2"/>
      <c r="Q58" s="2"/>
      <c r="R58" s="2"/>
      <c r="S58" s="414"/>
      <c r="T58" s="415"/>
      <c r="U58" s="158"/>
      <c r="Z58" s="570"/>
      <c r="AA58" s="571"/>
      <c r="AB58" s="572"/>
    </row>
    <row r="59" spans="1:29" s="152" customFormat="1" ht="19" x14ac:dyDescent="0.2">
      <c r="A59" s="14"/>
      <c r="F59" s="546"/>
      <c r="G59" s="547"/>
      <c r="H59" s="41"/>
      <c r="I59" s="41"/>
      <c r="J59" s="41"/>
      <c r="K59" s="41"/>
      <c r="L59" s="41"/>
      <c r="M59" s="111"/>
      <c r="P59" s="2"/>
      <c r="Q59" s="2"/>
      <c r="R59" s="2"/>
      <c r="S59" s="414"/>
      <c r="T59" s="415"/>
      <c r="U59" s="158"/>
    </row>
    <row r="60" spans="1:29" s="152" customFormat="1" ht="19" x14ac:dyDescent="0.2">
      <c r="A60" s="140"/>
      <c r="F60" s="154"/>
      <c r="H60" s="2"/>
      <c r="I60" s="2"/>
      <c r="J60" s="144"/>
      <c r="K60" s="2"/>
      <c r="L60" s="2"/>
      <c r="M60" s="2"/>
      <c r="P60" s="2"/>
      <c r="Q60" s="2"/>
      <c r="R60" s="2"/>
      <c r="S60" s="2"/>
      <c r="V60" s="2"/>
      <c r="W60" s="322"/>
      <c r="X60" s="323"/>
    </row>
    <row r="61" spans="1:29" s="152" customFormat="1" ht="21" customHeight="1" x14ac:dyDescent="0.2">
      <c r="A61" t="str">
        <f>A2</f>
        <v>23.01.26</v>
      </c>
      <c r="C61" s="608" t="s">
        <v>206</v>
      </c>
      <c r="D61" s="609"/>
      <c r="E61" s="609"/>
      <c r="F61" s="609"/>
      <c r="G61" s="609"/>
      <c r="H61" s="223"/>
      <c r="I61" s="223"/>
      <c r="J61" s="223"/>
      <c r="K61" s="223"/>
      <c r="L61" s="223"/>
      <c r="M61" s="2"/>
      <c r="O61" s="2"/>
      <c r="P61" s="2"/>
      <c r="Q61" s="2"/>
      <c r="R61" s="2"/>
    </row>
    <row r="62" spans="1:29" s="2" customFormat="1" ht="24" x14ac:dyDescent="0.2">
      <c r="A62"/>
      <c r="D62" s="14" t="s">
        <v>2</v>
      </c>
      <c r="F62" s="1"/>
      <c r="G62" s="223"/>
      <c r="H62" s="223"/>
      <c r="I62" s="223"/>
      <c r="J62" s="223"/>
      <c r="K62" s="223"/>
      <c r="L62" s="223"/>
      <c r="V62" s="326" t="str">
        <f>C3</f>
        <v xml:space="preserve"> DP Period: February-  April 2026</v>
      </c>
    </row>
    <row r="63" spans="1:29" s="2" customFormat="1" x14ac:dyDescent="0.2">
      <c r="D63" s="14"/>
    </row>
    <row r="64" spans="1:29" s="2" customFormat="1" ht="3.5" customHeight="1" thickBot="1" x14ac:dyDescent="0.25">
      <c r="A64" s="14"/>
      <c r="T64" s="19"/>
    </row>
    <row r="65" spans="1:29" s="2" customFormat="1" ht="43.5" customHeight="1" thickBot="1" x14ac:dyDescent="0.25">
      <c r="A65" s="14"/>
      <c r="E65" s="350" t="s">
        <v>203</v>
      </c>
      <c r="G65" s="256">
        <v>2026</v>
      </c>
      <c r="H65" s="256">
        <v>2026</v>
      </c>
      <c r="I65" s="256">
        <v>2026</v>
      </c>
      <c r="J65" s="256">
        <v>2026</v>
      </c>
      <c r="K65" s="256">
        <v>2026</v>
      </c>
      <c r="L65" s="256">
        <v>2026</v>
      </c>
      <c r="M65" s="256">
        <v>2026</v>
      </c>
      <c r="N65" s="256">
        <v>2026</v>
      </c>
      <c r="O65" s="256">
        <v>2026</v>
      </c>
      <c r="P65" s="256">
        <v>2026</v>
      </c>
      <c r="Q65" s="256">
        <v>2026</v>
      </c>
      <c r="R65" s="257">
        <v>2026</v>
      </c>
      <c r="S65" s="258" t="s">
        <v>155</v>
      </c>
      <c r="T65" s="259">
        <f>U65/0.8475</f>
        <v>6486686.3716814155</v>
      </c>
      <c r="U65" s="260">
        <v>5497466.7000000002</v>
      </c>
    </row>
    <row r="66" spans="1:29" s="2" customFormat="1" ht="26" customHeight="1" thickBot="1" x14ac:dyDescent="0.25">
      <c r="A66" s="270"/>
      <c r="B66" s="271" t="s">
        <v>12</v>
      </c>
      <c r="C66" s="271"/>
      <c r="D66" s="279"/>
      <c r="E66" s="272" t="s">
        <v>13</v>
      </c>
      <c r="F66" s="273" t="s">
        <v>14</v>
      </c>
      <c r="G66" s="353" t="s">
        <v>175</v>
      </c>
      <c r="H66" s="579" t="s">
        <v>176</v>
      </c>
      <c r="I66" s="579" t="s">
        <v>177</v>
      </c>
      <c r="J66" s="579" t="s">
        <v>178</v>
      </c>
      <c r="K66" s="351" t="s">
        <v>179</v>
      </c>
      <c r="L66" s="351" t="s">
        <v>180</v>
      </c>
      <c r="M66" s="351" t="s">
        <v>181</v>
      </c>
      <c r="N66" s="351" t="s">
        <v>182</v>
      </c>
      <c r="O66" s="351" t="s">
        <v>183</v>
      </c>
      <c r="P66" s="351" t="s">
        <v>205</v>
      </c>
      <c r="Q66" s="351" t="s">
        <v>184</v>
      </c>
      <c r="R66" s="352" t="s">
        <v>185</v>
      </c>
      <c r="S66" s="423" t="s">
        <v>152</v>
      </c>
      <c r="T66" s="424" t="s">
        <v>153</v>
      </c>
      <c r="U66" s="448" t="s">
        <v>154</v>
      </c>
      <c r="V66" s="306" t="s">
        <v>170</v>
      </c>
      <c r="W66" s="354" t="s">
        <v>188</v>
      </c>
      <c r="X66" s="305" t="s">
        <v>186</v>
      </c>
      <c r="Y66" s="354" t="s">
        <v>187</v>
      </c>
      <c r="Z66" s="534" t="s">
        <v>224</v>
      </c>
      <c r="AA66" s="534" t="s">
        <v>225</v>
      </c>
      <c r="AB66" s="534" t="s">
        <v>226</v>
      </c>
      <c r="AC66" s="45" t="s">
        <v>229</v>
      </c>
    </row>
    <row r="67" spans="1:29" s="2" customFormat="1" x14ac:dyDescent="0.2">
      <c r="A67" s="261" t="s">
        <v>41</v>
      </c>
      <c r="B67" s="261" t="s">
        <v>61</v>
      </c>
      <c r="C67" s="262" t="s">
        <v>66</v>
      </c>
      <c r="D67" s="243"/>
      <c r="E67" s="228" t="s">
        <v>73</v>
      </c>
      <c r="F67" s="229">
        <v>10.81</v>
      </c>
      <c r="G67" s="574">
        <f t="shared" ref="G67:G87" si="19">$F17*G17</f>
        <v>0</v>
      </c>
      <c r="H67" s="563">
        <f t="shared" ref="H67:R82" si="20">$F17*H17</f>
        <v>107019</v>
      </c>
      <c r="I67" s="476">
        <f t="shared" si="20"/>
        <v>0</v>
      </c>
      <c r="J67" s="564">
        <f t="shared" si="20"/>
        <v>0</v>
      </c>
      <c r="K67" s="538">
        <f t="shared" si="20"/>
        <v>0</v>
      </c>
      <c r="L67" s="538">
        <f t="shared" si="20"/>
        <v>0</v>
      </c>
      <c r="M67" s="538">
        <f t="shared" si="20"/>
        <v>0</v>
      </c>
      <c r="N67" s="538">
        <f t="shared" si="20"/>
        <v>0</v>
      </c>
      <c r="O67" s="538">
        <f t="shared" si="20"/>
        <v>0</v>
      </c>
      <c r="P67" s="538">
        <f t="shared" si="20"/>
        <v>0</v>
      </c>
      <c r="Q67" s="538">
        <f t="shared" si="20"/>
        <v>0</v>
      </c>
      <c r="R67" s="538">
        <f t="shared" si="20"/>
        <v>0</v>
      </c>
      <c r="S67" s="225">
        <v>0</v>
      </c>
      <c r="T67" s="226">
        <v>0</v>
      </c>
      <c r="U67" s="227">
        <v>0</v>
      </c>
      <c r="V67" s="363">
        <f>SUM(G67:R67)</f>
        <v>107019</v>
      </c>
      <c r="W67" s="356">
        <f>V67-T67</f>
        <v>107019</v>
      </c>
      <c r="X67" s="355">
        <f>V67*0.8475</f>
        <v>90698.602500000008</v>
      </c>
      <c r="Y67" s="343">
        <f>X67-U67</f>
        <v>90698.602500000008</v>
      </c>
      <c r="Z67" s="45"/>
      <c r="AA67" s="45"/>
      <c r="AB67" s="45"/>
      <c r="AC67" s="45"/>
    </row>
    <row r="68" spans="1:29" s="2" customFormat="1" x14ac:dyDescent="0.2">
      <c r="A68" s="186" t="s">
        <v>41</v>
      </c>
      <c r="B68" s="186" t="s">
        <v>61</v>
      </c>
      <c r="C68" s="189" t="s">
        <v>66</v>
      </c>
      <c r="D68" s="243"/>
      <c r="E68" s="228" t="s">
        <v>73</v>
      </c>
      <c r="F68" s="229">
        <v>10.81</v>
      </c>
      <c r="G68" s="575">
        <f t="shared" si="19"/>
        <v>0</v>
      </c>
      <c r="H68" s="562">
        <f t="shared" si="20"/>
        <v>0</v>
      </c>
      <c r="I68" s="482">
        <f t="shared" si="20"/>
        <v>178365</v>
      </c>
      <c r="J68" s="562">
        <f t="shared" si="20"/>
        <v>0</v>
      </c>
      <c r="K68" s="538">
        <f t="shared" si="20"/>
        <v>166474</v>
      </c>
      <c r="L68" s="538">
        <f t="shared" si="20"/>
        <v>0</v>
      </c>
      <c r="M68" s="538">
        <f t="shared" si="20"/>
        <v>166474</v>
      </c>
      <c r="N68" s="538">
        <f t="shared" si="20"/>
        <v>0</v>
      </c>
      <c r="O68" s="538">
        <f t="shared" si="20"/>
        <v>162150</v>
      </c>
      <c r="P68" s="538">
        <f t="shared" si="20"/>
        <v>0</v>
      </c>
      <c r="Q68" s="538">
        <f t="shared" si="20"/>
        <v>154583</v>
      </c>
      <c r="R68" s="538">
        <f t="shared" si="20"/>
        <v>0</v>
      </c>
      <c r="S68" s="225">
        <v>86100</v>
      </c>
      <c r="T68" s="226">
        <v>930741</v>
      </c>
      <c r="U68" s="227">
        <v>788802.99750000006</v>
      </c>
      <c r="V68" s="363">
        <f t="shared" ref="V68:V87" si="21">SUM(G68:R68)</f>
        <v>828046</v>
      </c>
      <c r="W68" s="356">
        <f t="shared" ref="W68:W87" si="22">V68-T68</f>
        <v>-102695</v>
      </c>
      <c r="X68" s="355">
        <f t="shared" ref="X68:X87" si="23">V68*0.8475</f>
        <v>701768.98499999999</v>
      </c>
      <c r="Y68" s="343">
        <f t="shared" ref="Y68:Y87" si="24">X68-U68</f>
        <v>-87034.01250000007</v>
      </c>
      <c r="Z68" s="45"/>
      <c r="AA68" s="45"/>
      <c r="AB68" s="45"/>
      <c r="AC68" s="45"/>
    </row>
    <row r="69" spans="1:29" s="2" customFormat="1" x14ac:dyDescent="0.2">
      <c r="A69" s="186" t="s">
        <v>41</v>
      </c>
      <c r="B69" s="186" t="s">
        <v>61</v>
      </c>
      <c r="C69" s="189" t="s">
        <v>66</v>
      </c>
      <c r="D69" s="244"/>
      <c r="E69" s="187" t="s">
        <v>69</v>
      </c>
      <c r="F69" s="188">
        <f>10.63*1.01</f>
        <v>10.736300000000002</v>
      </c>
      <c r="G69" s="542">
        <f t="shared" si="19"/>
        <v>0</v>
      </c>
      <c r="H69" s="494">
        <f t="shared" si="20"/>
        <v>77301.360000000015</v>
      </c>
      <c r="I69" s="469">
        <f t="shared" si="20"/>
        <v>90184.920000000013</v>
      </c>
      <c r="J69" s="488">
        <f t="shared" si="20"/>
        <v>0</v>
      </c>
      <c r="K69" s="538">
        <f t="shared" si="20"/>
        <v>101994.85000000002</v>
      </c>
      <c r="L69" s="538">
        <f t="shared" si="20"/>
        <v>0</v>
      </c>
      <c r="M69" s="538">
        <f t="shared" si="20"/>
        <v>113804.78000000001</v>
      </c>
      <c r="N69" s="538">
        <f t="shared" si="20"/>
        <v>0</v>
      </c>
      <c r="O69" s="538">
        <f t="shared" si="20"/>
        <v>0</v>
      </c>
      <c r="P69" s="538">
        <f t="shared" si="20"/>
        <v>115952.04000000002</v>
      </c>
      <c r="Q69" s="538">
        <f t="shared" si="20"/>
        <v>0</v>
      </c>
      <c r="R69" s="538">
        <f t="shared" si="20"/>
        <v>0</v>
      </c>
      <c r="S69" s="225">
        <v>44100</v>
      </c>
      <c r="T69" s="226">
        <v>473470.83000000007</v>
      </c>
      <c r="U69" s="227">
        <v>401266.52842500008</v>
      </c>
      <c r="V69" s="363">
        <f t="shared" si="21"/>
        <v>499237.95000000013</v>
      </c>
      <c r="W69" s="356">
        <f t="shared" si="22"/>
        <v>25767.120000000054</v>
      </c>
      <c r="X69" s="355">
        <f t="shared" si="23"/>
        <v>423104.16262500011</v>
      </c>
      <c r="Y69" s="343">
        <f t="shared" si="24"/>
        <v>21837.63420000003</v>
      </c>
      <c r="Z69" s="45"/>
      <c r="AA69" s="45"/>
      <c r="AB69" s="45"/>
      <c r="AC69" s="45"/>
    </row>
    <row r="70" spans="1:29" s="2" customFormat="1" x14ac:dyDescent="0.2">
      <c r="A70" s="186" t="s">
        <v>41</v>
      </c>
      <c r="B70" s="186" t="s">
        <v>61</v>
      </c>
      <c r="C70" s="189" t="s">
        <v>66</v>
      </c>
      <c r="D70" s="244"/>
      <c r="E70" s="187" t="s">
        <v>67</v>
      </c>
      <c r="F70" s="188">
        <f>10.63*1.01</f>
        <v>10.736300000000002</v>
      </c>
      <c r="G70" s="575">
        <f t="shared" si="19"/>
        <v>0</v>
      </c>
      <c r="H70" s="494">
        <f t="shared" si="20"/>
        <v>38650.680000000008</v>
      </c>
      <c r="I70" s="488">
        <f t="shared" si="20"/>
        <v>0</v>
      </c>
      <c r="J70" s="488">
        <f t="shared" si="20"/>
        <v>0</v>
      </c>
      <c r="K70" s="538">
        <f t="shared" si="20"/>
        <v>38650.680000000008</v>
      </c>
      <c r="L70" s="538">
        <f t="shared" si="20"/>
        <v>0</v>
      </c>
      <c r="M70" s="538">
        <f t="shared" si="20"/>
        <v>42515.748000000007</v>
      </c>
      <c r="N70" s="538">
        <f t="shared" si="20"/>
        <v>0</v>
      </c>
      <c r="O70" s="538">
        <f t="shared" si="20"/>
        <v>42515.748000000007</v>
      </c>
      <c r="P70" s="538">
        <f t="shared" si="20"/>
        <v>0</v>
      </c>
      <c r="Q70" s="538">
        <f t="shared" si="20"/>
        <v>0</v>
      </c>
      <c r="R70" s="538">
        <f t="shared" si="20"/>
        <v>42515.748000000007</v>
      </c>
      <c r="S70" s="225">
        <v>22680</v>
      </c>
      <c r="T70" s="226">
        <v>243499.28400000004</v>
      </c>
      <c r="U70" s="227">
        <v>206365.64319000003</v>
      </c>
      <c r="V70" s="363">
        <f t="shared" si="21"/>
        <v>204848.60400000005</v>
      </c>
      <c r="W70" s="356">
        <f t="shared" si="22"/>
        <v>-38650.679999999993</v>
      </c>
      <c r="X70" s="355">
        <f t="shared" si="23"/>
        <v>173609.19189000005</v>
      </c>
      <c r="Y70" s="343">
        <f t="shared" si="24"/>
        <v>-32756.451299999986</v>
      </c>
      <c r="Z70" s="45"/>
      <c r="AA70" s="45"/>
      <c r="AB70" s="45"/>
      <c r="AC70" s="45"/>
    </row>
    <row r="71" spans="1:29" s="2" customFormat="1" x14ac:dyDescent="0.2">
      <c r="A71" s="186" t="s">
        <v>41</v>
      </c>
      <c r="B71" s="186" t="s">
        <v>70</v>
      </c>
      <c r="C71" s="189" t="s">
        <v>66</v>
      </c>
      <c r="D71" s="244"/>
      <c r="E71" s="187" t="s">
        <v>72</v>
      </c>
      <c r="F71" s="188">
        <f>21.66*1.01</f>
        <v>21.8766</v>
      </c>
      <c r="G71" s="540">
        <f t="shared" si="19"/>
        <v>175012.8</v>
      </c>
      <c r="H71" s="565">
        <f t="shared" si="20"/>
        <v>218766</v>
      </c>
      <c r="I71" s="217">
        <f t="shared" si="20"/>
        <v>0</v>
      </c>
      <c r="J71" s="494">
        <f t="shared" si="20"/>
        <v>0</v>
      </c>
      <c r="K71" s="538">
        <f t="shared" si="20"/>
        <v>218766</v>
      </c>
      <c r="L71" s="538">
        <f t="shared" si="20"/>
        <v>0</v>
      </c>
      <c r="M71" s="538">
        <f t="shared" si="20"/>
        <v>0</v>
      </c>
      <c r="N71" s="538">
        <f t="shared" si="20"/>
        <v>240642.6</v>
      </c>
      <c r="O71" s="538">
        <f t="shared" si="20"/>
        <v>0</v>
      </c>
      <c r="P71" s="538">
        <f t="shared" si="20"/>
        <v>0</v>
      </c>
      <c r="Q71" s="538">
        <f t="shared" si="20"/>
        <v>264706.86</v>
      </c>
      <c r="R71" s="538">
        <f t="shared" si="20"/>
        <v>0</v>
      </c>
      <c r="S71" s="225">
        <v>51100</v>
      </c>
      <c r="T71" s="226">
        <v>1117894.26</v>
      </c>
      <c r="U71" s="227">
        <v>947415.38535</v>
      </c>
      <c r="V71" s="363">
        <f t="shared" si="21"/>
        <v>1117894.26</v>
      </c>
      <c r="W71" s="356">
        <f t="shared" si="22"/>
        <v>0</v>
      </c>
      <c r="X71" s="355">
        <f t="shared" si="23"/>
        <v>947415.38535</v>
      </c>
      <c r="Y71" s="343">
        <f t="shared" si="24"/>
        <v>0</v>
      </c>
      <c r="Z71" s="45"/>
      <c r="AA71" s="45"/>
      <c r="AB71" s="45"/>
      <c r="AC71" s="45"/>
    </row>
    <row r="72" spans="1:29" s="2" customFormat="1" x14ac:dyDescent="0.2">
      <c r="A72" s="186" t="s">
        <v>41</v>
      </c>
      <c r="B72" s="186" t="s">
        <v>70</v>
      </c>
      <c r="C72" s="189" t="s">
        <v>66</v>
      </c>
      <c r="D72" s="244"/>
      <c r="E72" s="187" t="s">
        <v>71</v>
      </c>
      <c r="F72" s="188">
        <f>21.66*1.01</f>
        <v>21.8766</v>
      </c>
      <c r="G72" s="540">
        <f t="shared" si="19"/>
        <v>0</v>
      </c>
      <c r="H72" s="494">
        <f t="shared" si="20"/>
        <v>0</v>
      </c>
      <c r="I72" s="494">
        <f t="shared" si="20"/>
        <v>0</v>
      </c>
      <c r="J72" s="494">
        <f t="shared" si="20"/>
        <v>0</v>
      </c>
      <c r="K72" s="538">
        <f t="shared" si="20"/>
        <v>0</v>
      </c>
      <c r="L72" s="538">
        <f t="shared" si="20"/>
        <v>114852.15</v>
      </c>
      <c r="M72" s="538">
        <f t="shared" si="20"/>
        <v>0</v>
      </c>
      <c r="N72" s="538">
        <f t="shared" si="20"/>
        <v>137822.57999999999</v>
      </c>
      <c r="O72" s="538">
        <f t="shared" si="20"/>
        <v>0</v>
      </c>
      <c r="P72" s="538">
        <f t="shared" si="20"/>
        <v>0</v>
      </c>
      <c r="Q72" s="538">
        <f t="shared" si="20"/>
        <v>133447.26</v>
      </c>
      <c r="R72" s="538">
        <f t="shared" si="20"/>
        <v>0</v>
      </c>
      <c r="S72" s="225">
        <v>23050</v>
      </c>
      <c r="T72" s="226">
        <v>504255.63</v>
      </c>
      <c r="U72" s="227">
        <v>427356.64642500004</v>
      </c>
      <c r="V72" s="363">
        <f t="shared" si="21"/>
        <v>386121.99</v>
      </c>
      <c r="W72" s="356">
        <f t="shared" si="22"/>
        <v>-118133.64000000001</v>
      </c>
      <c r="X72" s="355">
        <f t="shared" si="23"/>
        <v>327238.38652499998</v>
      </c>
      <c r="Y72" s="343">
        <f t="shared" si="24"/>
        <v>-100118.25990000006</v>
      </c>
      <c r="Z72" s="45"/>
      <c r="AA72" s="45"/>
      <c r="AB72" s="45"/>
      <c r="AC72" s="45"/>
    </row>
    <row r="73" spans="1:29" s="2" customFormat="1" x14ac:dyDescent="0.2">
      <c r="A73" s="190" t="s">
        <v>41</v>
      </c>
      <c r="B73" s="190" t="s">
        <v>42</v>
      </c>
      <c r="C73" s="190" t="s">
        <v>43</v>
      </c>
      <c r="D73" s="192"/>
      <c r="E73" s="192" t="s">
        <v>160</v>
      </c>
      <c r="F73" s="191">
        <v>19.559999999999999</v>
      </c>
      <c r="G73" s="541">
        <f t="shared" si="19"/>
        <v>43032</v>
      </c>
      <c r="H73" s="498">
        <f t="shared" si="20"/>
        <v>43032</v>
      </c>
      <c r="I73" s="216">
        <f t="shared" si="20"/>
        <v>64547.999999999993</v>
      </c>
      <c r="J73" s="216">
        <f t="shared" si="20"/>
        <v>64547.999999999993</v>
      </c>
      <c r="K73" s="538">
        <f t="shared" si="20"/>
        <v>46944</v>
      </c>
      <c r="L73" s="538">
        <f t="shared" si="20"/>
        <v>68460</v>
      </c>
      <c r="M73" s="538">
        <f t="shared" si="20"/>
        <v>68460</v>
      </c>
      <c r="N73" s="538">
        <f t="shared" si="20"/>
        <v>46944</v>
      </c>
      <c r="O73" s="538">
        <f t="shared" si="20"/>
        <v>68460</v>
      </c>
      <c r="P73" s="538">
        <f t="shared" si="20"/>
        <v>68460</v>
      </c>
      <c r="Q73" s="538">
        <f t="shared" si="20"/>
        <v>46944</v>
      </c>
      <c r="R73" s="538">
        <f t="shared" si="20"/>
        <v>68460</v>
      </c>
      <c r="S73" s="225">
        <v>37000</v>
      </c>
      <c r="T73" s="226">
        <v>723720</v>
      </c>
      <c r="U73" s="227">
        <v>613352.70000000007</v>
      </c>
      <c r="V73" s="363">
        <f t="shared" si="21"/>
        <v>698292</v>
      </c>
      <c r="W73" s="356">
        <f t="shared" si="22"/>
        <v>-25428</v>
      </c>
      <c r="X73" s="355">
        <f t="shared" si="23"/>
        <v>591802.47</v>
      </c>
      <c r="Y73" s="343">
        <f t="shared" si="24"/>
        <v>-21550.230000000098</v>
      </c>
      <c r="Z73" s="45"/>
      <c r="AA73" s="45"/>
      <c r="AB73" s="45"/>
      <c r="AC73" s="45"/>
    </row>
    <row r="74" spans="1:29" s="2" customFormat="1" x14ac:dyDescent="0.2">
      <c r="A74" s="190" t="s">
        <v>41</v>
      </c>
      <c r="B74" s="190" t="s">
        <v>42</v>
      </c>
      <c r="C74" s="190" t="s">
        <v>43</v>
      </c>
      <c r="D74" s="192"/>
      <c r="E74" s="192" t="s">
        <v>159</v>
      </c>
      <c r="F74" s="191">
        <v>19.559999999999999</v>
      </c>
      <c r="G74" s="541">
        <f t="shared" si="19"/>
        <v>0</v>
      </c>
      <c r="H74" s="498">
        <f t="shared" si="20"/>
        <v>0</v>
      </c>
      <c r="I74" s="216">
        <f t="shared" si="20"/>
        <v>28361.999999999996</v>
      </c>
      <c r="J74" s="216">
        <f t="shared" si="20"/>
        <v>28361.999999999996</v>
      </c>
      <c r="K74" s="538">
        <f t="shared" si="20"/>
        <v>29339.999999999996</v>
      </c>
      <c r="L74" s="538">
        <f t="shared" si="20"/>
        <v>31295.999999999996</v>
      </c>
      <c r="M74" s="538">
        <f t="shared" si="20"/>
        <v>31295.999999999996</v>
      </c>
      <c r="N74" s="538">
        <f t="shared" si="20"/>
        <v>31295.999999999996</v>
      </c>
      <c r="O74" s="538">
        <f t="shared" si="20"/>
        <v>31295.999999999996</v>
      </c>
      <c r="P74" s="538">
        <f t="shared" si="20"/>
        <v>31295.999999999996</v>
      </c>
      <c r="Q74" s="538">
        <f t="shared" si="20"/>
        <v>29339.999999999996</v>
      </c>
      <c r="R74" s="538">
        <f t="shared" si="20"/>
        <v>28850.999999999996</v>
      </c>
      <c r="S74" s="225">
        <v>18275</v>
      </c>
      <c r="T74" s="226">
        <v>357459</v>
      </c>
      <c r="U74" s="227">
        <v>302946.5025</v>
      </c>
      <c r="V74" s="363">
        <f t="shared" si="21"/>
        <v>300734.99999999994</v>
      </c>
      <c r="W74" s="356">
        <f t="shared" si="22"/>
        <v>-56724.000000000058</v>
      </c>
      <c r="X74" s="355">
        <f t="shared" si="23"/>
        <v>254872.91249999995</v>
      </c>
      <c r="Y74" s="343">
        <f t="shared" si="24"/>
        <v>-48073.590000000055</v>
      </c>
      <c r="Z74" s="45"/>
      <c r="AA74" s="45"/>
      <c r="AB74" s="45"/>
      <c r="AC74" s="45"/>
    </row>
    <row r="75" spans="1:29" s="2" customFormat="1" ht="15" customHeight="1" x14ac:dyDescent="0.2">
      <c r="A75" s="190" t="s">
        <v>41</v>
      </c>
      <c r="B75" s="190" t="s">
        <v>42</v>
      </c>
      <c r="C75" s="190" t="s">
        <v>43</v>
      </c>
      <c r="D75" s="192"/>
      <c r="E75" s="192" t="s">
        <v>161</v>
      </c>
      <c r="F75" s="191">
        <v>9.9499999999999993</v>
      </c>
      <c r="G75" s="542">
        <f t="shared" si="19"/>
        <v>0</v>
      </c>
      <c r="H75" s="494">
        <f t="shared" si="20"/>
        <v>0</v>
      </c>
      <c r="I75" s="494">
        <f t="shared" si="20"/>
        <v>0</v>
      </c>
      <c r="J75" s="494">
        <f t="shared" si="20"/>
        <v>0</v>
      </c>
      <c r="K75" s="538">
        <f t="shared" si="20"/>
        <v>0</v>
      </c>
      <c r="L75" s="538">
        <f t="shared" si="20"/>
        <v>0</v>
      </c>
      <c r="M75" s="538">
        <f t="shared" si="20"/>
        <v>0</v>
      </c>
      <c r="N75" s="538">
        <f t="shared" si="20"/>
        <v>0</v>
      </c>
      <c r="O75" s="538">
        <f t="shared" si="20"/>
        <v>0</v>
      </c>
      <c r="P75" s="538">
        <f t="shared" si="20"/>
        <v>0</v>
      </c>
      <c r="Q75" s="538">
        <f t="shared" si="20"/>
        <v>0</v>
      </c>
      <c r="R75" s="538">
        <f t="shared" si="20"/>
        <v>0</v>
      </c>
      <c r="S75" s="225">
        <v>0</v>
      </c>
      <c r="T75" s="226">
        <v>0</v>
      </c>
      <c r="U75" s="227">
        <v>0</v>
      </c>
      <c r="V75" s="363">
        <f t="shared" si="21"/>
        <v>0</v>
      </c>
      <c r="W75" s="356">
        <f t="shared" si="22"/>
        <v>0</v>
      </c>
      <c r="X75" s="355">
        <f t="shared" si="23"/>
        <v>0</v>
      </c>
      <c r="Y75" s="343">
        <f t="shared" si="24"/>
        <v>0</v>
      </c>
      <c r="Z75" s="45"/>
      <c r="AA75" s="45"/>
      <c r="AB75" s="45"/>
      <c r="AC75" s="45"/>
    </row>
    <row r="76" spans="1:29" s="2" customFormat="1" x14ac:dyDescent="0.2">
      <c r="A76" s="190" t="s">
        <v>41</v>
      </c>
      <c r="B76" s="190" t="s">
        <v>42</v>
      </c>
      <c r="C76" s="190" t="s">
        <v>43</v>
      </c>
      <c r="D76" s="192"/>
      <c r="E76" s="192" t="s">
        <v>162</v>
      </c>
      <c r="F76" s="191">
        <v>9.9499999999999993</v>
      </c>
      <c r="G76" s="541">
        <f t="shared" si="19"/>
        <v>0</v>
      </c>
      <c r="H76" s="216">
        <f t="shared" si="20"/>
        <v>0</v>
      </c>
      <c r="I76" s="216">
        <f t="shared" si="20"/>
        <v>0</v>
      </c>
      <c r="J76" s="216">
        <f t="shared" si="20"/>
        <v>0</v>
      </c>
      <c r="K76" s="538">
        <f t="shared" si="20"/>
        <v>0</v>
      </c>
      <c r="L76" s="538">
        <f t="shared" si="20"/>
        <v>0</v>
      </c>
      <c r="M76" s="538">
        <f t="shared" si="20"/>
        <v>0</v>
      </c>
      <c r="N76" s="538">
        <f t="shared" si="20"/>
        <v>0</v>
      </c>
      <c r="O76" s="538">
        <f t="shared" si="20"/>
        <v>0</v>
      </c>
      <c r="P76" s="538">
        <f t="shared" si="20"/>
        <v>0</v>
      </c>
      <c r="Q76" s="538">
        <f t="shared" si="20"/>
        <v>0</v>
      </c>
      <c r="R76" s="538">
        <f t="shared" si="20"/>
        <v>0</v>
      </c>
      <c r="S76" s="225"/>
      <c r="T76" s="226"/>
      <c r="U76" s="227"/>
      <c r="V76" s="363">
        <f t="shared" si="21"/>
        <v>0</v>
      </c>
      <c r="W76" s="356">
        <f t="shared" si="22"/>
        <v>0</v>
      </c>
      <c r="X76" s="355">
        <f t="shared" si="23"/>
        <v>0</v>
      </c>
      <c r="Y76" s="343">
        <f t="shared" si="24"/>
        <v>0</v>
      </c>
      <c r="Z76" s="45"/>
      <c r="AA76" s="45"/>
      <c r="AB76" s="45"/>
      <c r="AC76" s="45"/>
    </row>
    <row r="77" spans="1:29" s="2" customFormat="1" x14ac:dyDescent="0.2">
      <c r="A77" s="190" t="s">
        <v>41</v>
      </c>
      <c r="B77" s="190" t="s">
        <v>42</v>
      </c>
      <c r="C77" s="190" t="s">
        <v>43</v>
      </c>
      <c r="D77" s="192"/>
      <c r="E77" s="192" t="s">
        <v>147</v>
      </c>
      <c r="F77" s="191">
        <v>13.27</v>
      </c>
      <c r="G77" s="541">
        <f t="shared" si="19"/>
        <v>71658</v>
      </c>
      <c r="H77" s="494">
        <f t="shared" si="20"/>
        <v>23886</v>
      </c>
      <c r="I77" s="217">
        <f t="shared" si="20"/>
        <v>47772</v>
      </c>
      <c r="J77" s="217">
        <f t="shared" si="20"/>
        <v>0</v>
      </c>
      <c r="K77" s="538">
        <f t="shared" si="20"/>
        <v>26540</v>
      </c>
      <c r="L77" s="538">
        <f t="shared" si="20"/>
        <v>26540</v>
      </c>
      <c r="M77" s="538">
        <f t="shared" si="20"/>
        <v>23886</v>
      </c>
      <c r="N77" s="538">
        <f t="shared" si="20"/>
        <v>0</v>
      </c>
      <c r="O77" s="538">
        <f t="shared" si="20"/>
        <v>0</v>
      </c>
      <c r="P77" s="538">
        <f t="shared" si="20"/>
        <v>0</v>
      </c>
      <c r="Q77" s="538">
        <f t="shared" si="20"/>
        <v>0</v>
      </c>
      <c r="R77" s="538">
        <f t="shared" si="20"/>
        <v>0</v>
      </c>
      <c r="S77" s="225">
        <v>13200</v>
      </c>
      <c r="T77" s="226">
        <v>175164</v>
      </c>
      <c r="U77" s="227">
        <v>148451.49000000002</v>
      </c>
      <c r="V77" s="363">
        <f t="shared" si="21"/>
        <v>220282</v>
      </c>
      <c r="W77" s="356">
        <f t="shared" si="22"/>
        <v>45118</v>
      </c>
      <c r="X77" s="355">
        <f t="shared" si="23"/>
        <v>186688.995</v>
      </c>
      <c r="Y77" s="343">
        <f t="shared" si="24"/>
        <v>38237.504999999976</v>
      </c>
      <c r="Z77" s="45"/>
      <c r="AA77" s="45"/>
      <c r="AB77" s="45"/>
      <c r="AC77" s="45"/>
    </row>
    <row r="78" spans="1:29" s="2" customFormat="1" x14ac:dyDescent="0.2">
      <c r="A78" s="131" t="s">
        <v>158</v>
      </c>
      <c r="B78" s="131" t="s">
        <v>78</v>
      </c>
      <c r="C78" s="131" t="s">
        <v>43</v>
      </c>
      <c r="D78" s="127"/>
      <c r="E78" s="127" t="s">
        <v>79</v>
      </c>
      <c r="F78" s="67">
        <v>31.1</v>
      </c>
      <c r="G78" s="539">
        <f t="shared" si="19"/>
        <v>155500</v>
      </c>
      <c r="H78" s="217">
        <f t="shared" si="20"/>
        <v>31100</v>
      </c>
      <c r="I78" s="294">
        <f t="shared" si="20"/>
        <v>0</v>
      </c>
      <c r="J78" s="294">
        <f t="shared" si="20"/>
        <v>93300</v>
      </c>
      <c r="K78" s="538">
        <f t="shared" si="20"/>
        <v>0</v>
      </c>
      <c r="L78" s="538">
        <f t="shared" si="20"/>
        <v>62200</v>
      </c>
      <c r="M78" s="538">
        <f t="shared" si="20"/>
        <v>62200</v>
      </c>
      <c r="N78" s="538">
        <f t="shared" si="20"/>
        <v>0</v>
      </c>
      <c r="O78" s="538">
        <f t="shared" si="20"/>
        <v>93300</v>
      </c>
      <c r="P78" s="538">
        <f t="shared" si="20"/>
        <v>62200</v>
      </c>
      <c r="Q78" s="538">
        <f t="shared" si="20"/>
        <v>0</v>
      </c>
      <c r="R78" s="538">
        <f t="shared" si="20"/>
        <v>62200</v>
      </c>
      <c r="S78" s="225">
        <v>18000</v>
      </c>
      <c r="T78" s="226">
        <v>559800</v>
      </c>
      <c r="U78" s="227">
        <v>474430.5</v>
      </c>
      <c r="V78" s="363">
        <f t="shared" si="21"/>
        <v>622000</v>
      </c>
      <c r="W78" s="356">
        <f t="shared" si="22"/>
        <v>62200</v>
      </c>
      <c r="X78" s="355">
        <f t="shared" si="23"/>
        <v>527145</v>
      </c>
      <c r="Y78" s="343">
        <f t="shared" si="24"/>
        <v>52714.5</v>
      </c>
      <c r="Z78" s="45"/>
      <c r="AA78" s="45"/>
      <c r="AB78" s="45"/>
      <c r="AC78" s="45"/>
    </row>
    <row r="79" spans="1:29" s="2" customFormat="1" x14ac:dyDescent="0.2">
      <c r="A79" s="190" t="s">
        <v>41</v>
      </c>
      <c r="B79" s="190" t="s">
        <v>42</v>
      </c>
      <c r="C79" s="190" t="s">
        <v>43</v>
      </c>
      <c r="D79" s="192"/>
      <c r="E79" s="192" t="s">
        <v>151</v>
      </c>
      <c r="F79" s="191">
        <v>59.48</v>
      </c>
      <c r="G79" s="576">
        <f t="shared" si="19"/>
        <v>41636</v>
      </c>
      <c r="H79" s="494">
        <f t="shared" si="20"/>
        <v>29740</v>
      </c>
      <c r="I79" s="468">
        <f t="shared" si="20"/>
        <v>59480</v>
      </c>
      <c r="J79" s="468">
        <f t="shared" si="20"/>
        <v>0</v>
      </c>
      <c r="K79" s="538">
        <f t="shared" si="20"/>
        <v>29740</v>
      </c>
      <c r="L79" s="538">
        <f t="shared" si="20"/>
        <v>32714</v>
      </c>
      <c r="M79" s="538">
        <f t="shared" si="20"/>
        <v>35688</v>
      </c>
      <c r="N79" s="538">
        <f t="shared" si="20"/>
        <v>32714</v>
      </c>
      <c r="O79" s="538">
        <f t="shared" si="20"/>
        <v>35688</v>
      </c>
      <c r="P79" s="538">
        <f t="shared" si="20"/>
        <v>32714</v>
      </c>
      <c r="Q79" s="538">
        <f t="shared" si="20"/>
        <v>35688</v>
      </c>
      <c r="R79" s="538">
        <f t="shared" si="20"/>
        <v>32714</v>
      </c>
      <c r="S79" s="225">
        <v>6500</v>
      </c>
      <c r="T79" s="226">
        <v>386620</v>
      </c>
      <c r="U79" s="227">
        <v>327660.45</v>
      </c>
      <c r="V79" s="363">
        <f t="shared" si="21"/>
        <v>398516</v>
      </c>
      <c r="W79" s="356">
        <f t="shared" si="22"/>
        <v>11896</v>
      </c>
      <c r="X79" s="355">
        <f t="shared" si="23"/>
        <v>337742.31</v>
      </c>
      <c r="Y79" s="343">
        <f t="shared" si="24"/>
        <v>10081.859999999986</v>
      </c>
      <c r="Z79" s="45"/>
      <c r="AA79" s="45"/>
      <c r="AB79" s="45"/>
      <c r="AC79" s="45"/>
    </row>
    <row r="80" spans="1:29" s="2" customFormat="1" x14ac:dyDescent="0.2">
      <c r="A80" s="190" t="s">
        <v>41</v>
      </c>
      <c r="B80" s="190" t="s">
        <v>42</v>
      </c>
      <c r="C80" s="190" t="s">
        <v>43</v>
      </c>
      <c r="D80" s="192"/>
      <c r="E80" s="192" t="s">
        <v>165</v>
      </c>
      <c r="F80" s="191">
        <v>10</v>
      </c>
      <c r="G80" s="542">
        <f t="shared" si="19"/>
        <v>0</v>
      </c>
      <c r="H80" s="217">
        <f t="shared" si="20"/>
        <v>0</v>
      </c>
      <c r="I80" s="494">
        <f t="shared" si="20"/>
        <v>0</v>
      </c>
      <c r="J80" s="494">
        <f t="shared" si="20"/>
        <v>0</v>
      </c>
      <c r="K80" s="538">
        <f t="shared" si="20"/>
        <v>24000</v>
      </c>
      <c r="L80" s="538">
        <f t="shared" si="20"/>
        <v>0</v>
      </c>
      <c r="M80" s="538">
        <f t="shared" si="20"/>
        <v>0</v>
      </c>
      <c r="N80" s="538">
        <f t="shared" si="20"/>
        <v>24000</v>
      </c>
      <c r="O80" s="538">
        <f t="shared" si="20"/>
        <v>0</v>
      </c>
      <c r="P80" s="538">
        <f t="shared" si="20"/>
        <v>0</v>
      </c>
      <c r="Q80" s="538">
        <f t="shared" si="20"/>
        <v>0</v>
      </c>
      <c r="R80" s="538">
        <f t="shared" si="20"/>
        <v>16200</v>
      </c>
      <c r="S80" s="225">
        <v>8820</v>
      </c>
      <c r="T80" s="226">
        <v>88200</v>
      </c>
      <c r="U80" s="227">
        <v>74749.5</v>
      </c>
      <c r="V80" s="363">
        <f t="shared" si="21"/>
        <v>64200</v>
      </c>
      <c r="W80" s="356">
        <f t="shared" si="22"/>
        <v>-24000</v>
      </c>
      <c r="X80" s="355">
        <f t="shared" si="23"/>
        <v>54409.5</v>
      </c>
      <c r="Y80" s="343">
        <f t="shared" si="24"/>
        <v>-20340</v>
      </c>
      <c r="Z80" s="45"/>
      <c r="AA80" s="45"/>
      <c r="AB80" s="45"/>
      <c r="AC80" s="45"/>
    </row>
    <row r="81" spans="1:29" s="2" customFormat="1" x14ac:dyDescent="0.2">
      <c r="A81" s="190" t="s">
        <v>41</v>
      </c>
      <c r="B81" s="190" t="s">
        <v>42</v>
      </c>
      <c r="C81" s="190" t="s">
        <v>43</v>
      </c>
      <c r="D81" s="192"/>
      <c r="E81" s="192" t="s">
        <v>163</v>
      </c>
      <c r="F81" s="191">
        <v>10</v>
      </c>
      <c r="G81" s="541">
        <f t="shared" si="19"/>
        <v>0</v>
      </c>
      <c r="H81" s="494">
        <f t="shared" si="20"/>
        <v>0</v>
      </c>
      <c r="I81" s="494">
        <f t="shared" si="20"/>
        <v>0</v>
      </c>
      <c r="J81" s="217">
        <f t="shared" si="20"/>
        <v>0</v>
      </c>
      <c r="K81" s="538">
        <f t="shared" si="20"/>
        <v>4000</v>
      </c>
      <c r="L81" s="538">
        <f t="shared" si="20"/>
        <v>4000</v>
      </c>
      <c r="M81" s="538">
        <f t="shared" si="20"/>
        <v>4000</v>
      </c>
      <c r="N81" s="538">
        <f t="shared" si="20"/>
        <v>4000</v>
      </c>
      <c r="O81" s="538">
        <f t="shared" si="20"/>
        <v>4000</v>
      </c>
      <c r="P81" s="538">
        <f t="shared" si="20"/>
        <v>4000</v>
      </c>
      <c r="Q81" s="538">
        <f t="shared" si="20"/>
        <v>4000</v>
      </c>
      <c r="R81" s="538">
        <f t="shared" si="20"/>
        <v>4250</v>
      </c>
      <c r="S81" s="225">
        <v>4725</v>
      </c>
      <c r="T81" s="226">
        <v>47250</v>
      </c>
      <c r="U81" s="227">
        <v>40044.375</v>
      </c>
      <c r="V81" s="363">
        <f t="shared" si="21"/>
        <v>32250</v>
      </c>
      <c r="W81" s="356">
        <f t="shared" si="22"/>
        <v>-15000</v>
      </c>
      <c r="X81" s="355">
        <f t="shared" si="23"/>
        <v>27331.875</v>
      </c>
      <c r="Y81" s="343">
        <f t="shared" si="24"/>
        <v>-12712.5</v>
      </c>
      <c r="Z81" s="45"/>
      <c r="AA81" s="45"/>
      <c r="AB81" s="45"/>
      <c r="AC81" s="45"/>
    </row>
    <row r="82" spans="1:29" s="2" customFormat="1" x14ac:dyDescent="0.2">
      <c r="A82" s="190" t="s">
        <v>41</v>
      </c>
      <c r="B82" s="190" t="s">
        <v>42</v>
      </c>
      <c r="C82" s="190" t="s">
        <v>43</v>
      </c>
      <c r="D82" s="192"/>
      <c r="E82" s="192" t="s">
        <v>164</v>
      </c>
      <c r="F82" s="191">
        <v>10.88</v>
      </c>
      <c r="G82" s="576">
        <f t="shared" si="19"/>
        <v>0</v>
      </c>
      <c r="H82" s="494">
        <f t="shared" si="20"/>
        <v>0</v>
      </c>
      <c r="I82" s="501">
        <f t="shared" si="20"/>
        <v>0</v>
      </c>
      <c r="J82" s="501">
        <f t="shared" si="20"/>
        <v>0</v>
      </c>
      <c r="K82" s="538">
        <f t="shared" si="20"/>
        <v>28288.000000000004</v>
      </c>
      <c r="L82" s="538">
        <f t="shared" si="20"/>
        <v>0</v>
      </c>
      <c r="M82" s="538">
        <f t="shared" si="20"/>
        <v>0</v>
      </c>
      <c r="N82" s="538">
        <f t="shared" si="20"/>
        <v>26112.000000000004</v>
      </c>
      <c r="O82" s="538">
        <f t="shared" si="20"/>
        <v>0</v>
      </c>
      <c r="P82" s="538">
        <f t="shared" si="20"/>
        <v>0</v>
      </c>
      <c r="Q82" s="538">
        <f t="shared" si="20"/>
        <v>15449.6</v>
      </c>
      <c r="R82" s="538">
        <f t="shared" si="20"/>
        <v>0</v>
      </c>
      <c r="S82" s="225">
        <v>8820</v>
      </c>
      <c r="T82" s="226">
        <v>95961.600000000006</v>
      </c>
      <c r="U82" s="227">
        <v>81327.456000000006</v>
      </c>
      <c r="V82" s="363">
        <f t="shared" si="21"/>
        <v>69849.600000000006</v>
      </c>
      <c r="W82" s="356">
        <f t="shared" si="22"/>
        <v>-26112</v>
      </c>
      <c r="X82" s="355">
        <f t="shared" si="23"/>
        <v>59197.536000000007</v>
      </c>
      <c r="Y82" s="343">
        <f t="shared" si="24"/>
        <v>-22129.919999999998</v>
      </c>
      <c r="Z82" s="45"/>
      <c r="AA82" s="45"/>
      <c r="AB82" s="45"/>
      <c r="AC82" s="45"/>
    </row>
    <row r="83" spans="1:29" s="2" customFormat="1" x14ac:dyDescent="0.2">
      <c r="A83" s="190" t="s">
        <v>41</v>
      </c>
      <c r="B83" s="190" t="s">
        <v>42</v>
      </c>
      <c r="C83" s="190" t="s">
        <v>43</v>
      </c>
      <c r="D83" s="192"/>
      <c r="E83" s="192" t="s">
        <v>72</v>
      </c>
      <c r="F83" s="191">
        <v>21</v>
      </c>
      <c r="G83" s="542">
        <f t="shared" si="19"/>
        <v>0</v>
      </c>
      <c r="H83" s="494">
        <f t="shared" ref="H83:R87" si="25">$F33*H33</f>
        <v>0</v>
      </c>
      <c r="I83" s="494">
        <f t="shared" si="25"/>
        <v>0</v>
      </c>
      <c r="J83" s="494">
        <f t="shared" si="25"/>
        <v>0</v>
      </c>
      <c r="K83" s="538">
        <f t="shared" si="25"/>
        <v>0</v>
      </c>
      <c r="L83" s="538">
        <f t="shared" si="25"/>
        <v>0</v>
      </c>
      <c r="M83" s="538">
        <f t="shared" si="25"/>
        <v>0</v>
      </c>
      <c r="N83" s="538">
        <f t="shared" si="25"/>
        <v>0</v>
      </c>
      <c r="O83" s="538">
        <f t="shared" si="25"/>
        <v>0</v>
      </c>
      <c r="P83" s="538">
        <f t="shared" si="25"/>
        <v>0</v>
      </c>
      <c r="Q83" s="538">
        <f t="shared" si="25"/>
        <v>0</v>
      </c>
      <c r="R83" s="538">
        <f t="shared" si="25"/>
        <v>0</v>
      </c>
      <c r="S83" s="225">
        <v>0</v>
      </c>
      <c r="T83" s="226">
        <v>0</v>
      </c>
      <c r="U83" s="227">
        <v>0</v>
      </c>
      <c r="V83" s="363">
        <f t="shared" si="21"/>
        <v>0</v>
      </c>
      <c r="W83" s="356">
        <f t="shared" si="22"/>
        <v>0</v>
      </c>
      <c r="X83" s="355">
        <f t="shared" si="23"/>
        <v>0</v>
      </c>
      <c r="Y83" s="343">
        <f t="shared" si="24"/>
        <v>0</v>
      </c>
      <c r="Z83" s="45"/>
      <c r="AA83" s="45"/>
      <c r="AB83" s="45"/>
      <c r="AC83" s="45"/>
    </row>
    <row r="84" spans="1:29" s="2" customFormat="1" x14ac:dyDescent="0.2">
      <c r="A84" s="190" t="s">
        <v>41</v>
      </c>
      <c r="B84" s="190" t="s">
        <v>61</v>
      </c>
      <c r="C84" s="190" t="s">
        <v>43</v>
      </c>
      <c r="D84" s="192"/>
      <c r="E84" s="192" t="s">
        <v>71</v>
      </c>
      <c r="F84" s="191">
        <v>21</v>
      </c>
      <c r="G84" s="542">
        <f t="shared" si="19"/>
        <v>0</v>
      </c>
      <c r="H84" s="494">
        <f t="shared" si="25"/>
        <v>0</v>
      </c>
      <c r="I84" s="494">
        <f t="shared" si="25"/>
        <v>0</v>
      </c>
      <c r="J84" s="494">
        <f t="shared" si="25"/>
        <v>0</v>
      </c>
      <c r="K84" s="538">
        <f t="shared" si="25"/>
        <v>0</v>
      </c>
      <c r="L84" s="538">
        <f t="shared" si="25"/>
        <v>0</v>
      </c>
      <c r="M84" s="538">
        <f t="shared" si="25"/>
        <v>0</v>
      </c>
      <c r="N84" s="538">
        <f t="shared" si="25"/>
        <v>0</v>
      </c>
      <c r="O84" s="538">
        <f t="shared" si="25"/>
        <v>0</v>
      </c>
      <c r="P84" s="538">
        <f t="shared" si="25"/>
        <v>0</v>
      </c>
      <c r="Q84" s="538">
        <f t="shared" si="25"/>
        <v>0</v>
      </c>
      <c r="R84" s="538">
        <f t="shared" si="25"/>
        <v>0</v>
      </c>
      <c r="S84" s="225">
        <v>0</v>
      </c>
      <c r="T84" s="226">
        <v>0</v>
      </c>
      <c r="U84" s="227">
        <v>0</v>
      </c>
      <c r="V84" s="363">
        <f t="shared" si="21"/>
        <v>0</v>
      </c>
      <c r="W84" s="356">
        <f t="shared" si="22"/>
        <v>0</v>
      </c>
      <c r="X84" s="355">
        <f t="shared" si="23"/>
        <v>0</v>
      </c>
      <c r="Y84" s="343">
        <f t="shared" si="24"/>
        <v>0</v>
      </c>
      <c r="Z84" s="45"/>
      <c r="AA84" s="45"/>
      <c r="AB84" s="45"/>
      <c r="AC84" s="45"/>
    </row>
    <row r="85" spans="1:29" s="2" customFormat="1" x14ac:dyDescent="0.2">
      <c r="A85" s="190" t="s">
        <v>41</v>
      </c>
      <c r="B85" s="190" t="s">
        <v>42</v>
      </c>
      <c r="C85" s="190" t="s">
        <v>43</v>
      </c>
      <c r="D85" s="192"/>
      <c r="E85" s="192" t="s">
        <v>132</v>
      </c>
      <c r="F85" s="191">
        <v>21</v>
      </c>
      <c r="G85" s="577">
        <f t="shared" si="19"/>
        <v>0</v>
      </c>
      <c r="H85" s="505">
        <f t="shared" si="25"/>
        <v>0</v>
      </c>
      <c r="I85" s="561">
        <f t="shared" si="25"/>
        <v>0</v>
      </c>
      <c r="J85" s="505">
        <f t="shared" si="25"/>
        <v>0</v>
      </c>
      <c r="K85" s="538">
        <f t="shared" si="25"/>
        <v>0</v>
      </c>
      <c r="L85" s="538">
        <f t="shared" si="25"/>
        <v>0</v>
      </c>
      <c r="M85" s="538">
        <f t="shared" si="25"/>
        <v>0</v>
      </c>
      <c r="N85" s="538">
        <f t="shared" si="25"/>
        <v>0</v>
      </c>
      <c r="O85" s="538">
        <f t="shared" si="25"/>
        <v>0</v>
      </c>
      <c r="P85" s="538">
        <f t="shared" si="25"/>
        <v>0</v>
      </c>
      <c r="Q85" s="538">
        <f t="shared" si="25"/>
        <v>0</v>
      </c>
      <c r="R85" s="538">
        <f t="shared" si="25"/>
        <v>0</v>
      </c>
      <c r="S85" s="225">
        <v>0</v>
      </c>
      <c r="T85" s="226">
        <v>0</v>
      </c>
      <c r="U85" s="227">
        <v>0</v>
      </c>
      <c r="V85" s="363">
        <f t="shared" si="21"/>
        <v>0</v>
      </c>
      <c r="W85" s="356">
        <f t="shared" si="22"/>
        <v>0</v>
      </c>
      <c r="X85" s="355">
        <f t="shared" si="23"/>
        <v>0</v>
      </c>
      <c r="Y85" s="343">
        <f t="shared" si="24"/>
        <v>0</v>
      </c>
      <c r="Z85" s="45"/>
      <c r="AA85" s="45"/>
      <c r="AB85" s="45"/>
      <c r="AC85" s="45"/>
    </row>
    <row r="86" spans="1:29" s="2" customFormat="1" ht="14.75" customHeight="1" x14ac:dyDescent="0.2">
      <c r="A86" s="190" t="s">
        <v>41</v>
      </c>
      <c r="B86" s="190" t="s">
        <v>42</v>
      </c>
      <c r="C86" s="190" t="s">
        <v>43</v>
      </c>
      <c r="D86" s="190"/>
      <c r="E86" s="190" t="s">
        <v>145</v>
      </c>
      <c r="F86" s="191">
        <v>23</v>
      </c>
      <c r="G86" s="541">
        <f t="shared" si="19"/>
        <v>46000</v>
      </c>
      <c r="H86" s="217">
        <f t="shared" si="25"/>
        <v>23000</v>
      </c>
      <c r="I86" s="494">
        <f t="shared" si="25"/>
        <v>0</v>
      </c>
      <c r="J86" s="494">
        <f t="shared" si="25"/>
        <v>46000</v>
      </c>
      <c r="K86" s="538">
        <f t="shared" si="25"/>
        <v>0</v>
      </c>
      <c r="L86" s="538">
        <f t="shared" si="25"/>
        <v>69000</v>
      </c>
      <c r="M86" s="538">
        <f t="shared" si="25"/>
        <v>0</v>
      </c>
      <c r="N86" s="538">
        <f t="shared" si="25"/>
        <v>69000</v>
      </c>
      <c r="O86" s="538">
        <f t="shared" si="25"/>
        <v>0</v>
      </c>
      <c r="P86" s="538">
        <f t="shared" si="25"/>
        <v>69000</v>
      </c>
      <c r="Q86" s="538">
        <f t="shared" si="25"/>
        <v>0</v>
      </c>
      <c r="R86" s="538">
        <f t="shared" si="25"/>
        <v>46000</v>
      </c>
      <c r="S86" s="225">
        <v>16000</v>
      </c>
      <c r="T86" s="226">
        <v>368000</v>
      </c>
      <c r="U86" s="227">
        <v>311880</v>
      </c>
      <c r="V86" s="363">
        <f t="shared" si="21"/>
        <v>368000</v>
      </c>
      <c r="W86" s="356">
        <f t="shared" si="22"/>
        <v>0</v>
      </c>
      <c r="X86" s="355">
        <f t="shared" si="23"/>
        <v>311880</v>
      </c>
      <c r="Y86" s="343">
        <f t="shared" si="24"/>
        <v>0</v>
      </c>
      <c r="Z86" s="45"/>
      <c r="AA86" s="45"/>
      <c r="AB86" s="45"/>
      <c r="AC86" s="45"/>
    </row>
    <row r="87" spans="1:29" s="2" customFormat="1" x14ac:dyDescent="0.2">
      <c r="A87" s="190" t="s">
        <v>41</v>
      </c>
      <c r="B87" s="190" t="s">
        <v>42</v>
      </c>
      <c r="C87" s="190" t="s">
        <v>43</v>
      </c>
      <c r="D87" s="190"/>
      <c r="E87" s="190" t="s">
        <v>146</v>
      </c>
      <c r="F87" s="191">
        <v>23</v>
      </c>
      <c r="G87" s="578">
        <f t="shared" si="19"/>
        <v>0</v>
      </c>
      <c r="H87" s="561">
        <f t="shared" si="25"/>
        <v>25875</v>
      </c>
      <c r="I87" s="561">
        <f t="shared" si="25"/>
        <v>0</v>
      </c>
      <c r="J87" s="494">
        <f t="shared" si="25"/>
        <v>25875</v>
      </c>
      <c r="K87" s="538">
        <f t="shared" si="25"/>
        <v>29900</v>
      </c>
      <c r="L87" s="538">
        <f t="shared" si="25"/>
        <v>27600</v>
      </c>
      <c r="M87" s="538">
        <f t="shared" si="25"/>
        <v>27600</v>
      </c>
      <c r="N87" s="538">
        <f t="shared" si="25"/>
        <v>27600</v>
      </c>
      <c r="O87" s="538">
        <f t="shared" si="25"/>
        <v>27600</v>
      </c>
      <c r="P87" s="538">
        <f t="shared" si="25"/>
        <v>29900</v>
      </c>
      <c r="Q87" s="538">
        <f t="shared" si="25"/>
        <v>29900</v>
      </c>
      <c r="R87" s="538">
        <f t="shared" si="25"/>
        <v>29900</v>
      </c>
      <c r="S87" s="373">
        <v>14500</v>
      </c>
      <c r="T87" s="361">
        <v>333500</v>
      </c>
      <c r="U87" s="374">
        <v>282641.25</v>
      </c>
      <c r="V87" s="363">
        <f t="shared" si="21"/>
        <v>281750</v>
      </c>
      <c r="W87" s="356">
        <f t="shared" si="22"/>
        <v>-51750</v>
      </c>
      <c r="X87" s="355">
        <f t="shared" si="23"/>
        <v>238783.125</v>
      </c>
      <c r="Y87" s="343">
        <f t="shared" si="24"/>
        <v>-43858.125</v>
      </c>
      <c r="Z87" s="45"/>
      <c r="AA87" s="45"/>
      <c r="AB87" s="45"/>
      <c r="AC87" s="45"/>
    </row>
    <row r="88" spans="1:29" s="2" customFormat="1" x14ac:dyDescent="0.2">
      <c r="A88" s="14"/>
      <c r="F88" s="97" t="s">
        <v>39</v>
      </c>
      <c r="G88" s="311">
        <f>SUM(G67:G87)</f>
        <v>532838.80000000005</v>
      </c>
      <c r="H88" s="311">
        <f t="shared" ref="H88:R88" si="26">SUM(H67:H87)</f>
        <v>618370.04</v>
      </c>
      <c r="I88" s="311">
        <f t="shared" si="26"/>
        <v>468711.92000000004</v>
      </c>
      <c r="J88" s="349">
        <f t="shared" si="26"/>
        <v>258085</v>
      </c>
      <c r="K88" s="349">
        <f t="shared" si="26"/>
        <v>744637.53</v>
      </c>
      <c r="L88" s="349">
        <f t="shared" si="26"/>
        <v>436662.15</v>
      </c>
      <c r="M88" s="349">
        <f t="shared" si="26"/>
        <v>575924.52800000005</v>
      </c>
      <c r="N88" s="349">
        <f t="shared" si="26"/>
        <v>640131.18000000005</v>
      </c>
      <c r="O88" s="349">
        <f t="shared" si="26"/>
        <v>465009.74800000002</v>
      </c>
      <c r="P88" s="349">
        <f t="shared" si="26"/>
        <v>413522.04000000004</v>
      </c>
      <c r="Q88" s="349">
        <f t="shared" si="26"/>
        <v>714058.72</v>
      </c>
      <c r="R88" s="371">
        <f t="shared" si="26"/>
        <v>331090.74800000002</v>
      </c>
      <c r="S88" s="359">
        <f>SUM(S67:S87)</f>
        <v>372870</v>
      </c>
      <c r="T88" s="360">
        <f>SUM(T67:T87)</f>
        <v>6405535.6039999994</v>
      </c>
      <c r="U88" s="375">
        <f>SUM(U67:U87)</f>
        <v>5428691.4243900003</v>
      </c>
      <c r="V88" s="367">
        <f>SUM(V67:V87)</f>
        <v>6199042.4040000001</v>
      </c>
      <c r="W88" s="317">
        <f>SUM(W68:W87)</f>
        <v>-313512.2</v>
      </c>
      <c r="X88" s="317">
        <f>SUM(X67:X87)</f>
        <v>5253688.4373900006</v>
      </c>
      <c r="Y88" s="317">
        <f>SUM(Y68:Y87)</f>
        <v>-265701.58950000029</v>
      </c>
    </row>
    <row r="89" spans="1:29" s="2" customFormat="1" ht="16" thickBot="1" x14ac:dyDescent="0.25">
      <c r="A89" s="14"/>
      <c r="F89" s="97"/>
      <c r="G89" s="289"/>
      <c r="H89" s="289"/>
      <c r="I89" s="289"/>
      <c r="J89" s="289"/>
      <c r="K89" s="289"/>
      <c r="L89" s="289"/>
      <c r="M89" s="289"/>
      <c r="N89" s="289"/>
      <c r="O89" s="289"/>
      <c r="P89" s="289"/>
      <c r="Q89" s="289"/>
      <c r="R89" s="289"/>
      <c r="S89" s="313">
        <v>6064131.4839999992</v>
      </c>
      <c r="T89" s="314" t="s">
        <v>156</v>
      </c>
      <c r="U89" s="315" t="s">
        <v>156</v>
      </c>
      <c r="V89" s="372"/>
      <c r="W89" s="319"/>
      <c r="X89" s="319"/>
      <c r="Y89" s="319"/>
    </row>
    <row r="90" spans="1:29" s="2" customFormat="1" x14ac:dyDescent="0.2">
      <c r="A90" s="14"/>
      <c r="F90" s="97"/>
      <c r="G90" s="289"/>
      <c r="H90" s="289"/>
      <c r="I90" s="289"/>
      <c r="J90" s="289"/>
      <c r="K90" s="289"/>
      <c r="L90" s="289"/>
      <c r="M90" s="289"/>
      <c r="N90" s="289"/>
      <c r="O90" s="289"/>
      <c r="P90" s="289"/>
      <c r="Q90" s="289"/>
      <c r="R90" s="289"/>
      <c r="S90" s="221"/>
      <c r="T90" s="253"/>
      <c r="U90" s="253"/>
      <c r="V90" s="331"/>
      <c r="W90" s="333"/>
      <c r="X90" s="333"/>
      <c r="Y90" s="331"/>
    </row>
    <row r="91" spans="1:29" s="2" customFormat="1" ht="16" thickBot="1" x14ac:dyDescent="0.25">
      <c r="A91" s="14"/>
      <c r="F91" s="14"/>
      <c r="G91" s="289"/>
      <c r="H91" s="289"/>
      <c r="I91" s="289"/>
      <c r="J91" s="289"/>
      <c r="K91" s="289"/>
      <c r="L91" s="289"/>
      <c r="M91" s="289"/>
      <c r="N91" s="289"/>
      <c r="O91" s="289"/>
      <c r="P91" s="289"/>
      <c r="Q91" s="289"/>
      <c r="R91" s="289"/>
      <c r="S91" s="302"/>
      <c r="T91" s="296"/>
      <c r="U91" s="20"/>
    </row>
    <row r="92" spans="1:29" s="2" customFormat="1" ht="33" thickBot="1" x14ac:dyDescent="0.25">
      <c r="A92" s="14"/>
      <c r="E92" s="350" t="s">
        <v>204</v>
      </c>
      <c r="F92" s="14"/>
      <c r="G92" s="353" t="s">
        <v>175</v>
      </c>
      <c r="H92" s="353" t="s">
        <v>176</v>
      </c>
      <c r="I92" s="353" t="s">
        <v>177</v>
      </c>
      <c r="J92" s="353" t="s">
        <v>178</v>
      </c>
      <c r="K92" s="351" t="s">
        <v>179</v>
      </c>
      <c r="L92" s="351" t="s">
        <v>180</v>
      </c>
      <c r="M92" s="351" t="s">
        <v>181</v>
      </c>
      <c r="N92" s="351" t="s">
        <v>182</v>
      </c>
      <c r="O92" s="351" t="s">
        <v>183</v>
      </c>
      <c r="P92" s="351" t="s">
        <v>205</v>
      </c>
      <c r="Q92" s="351" t="s">
        <v>184</v>
      </c>
      <c r="R92" s="352" t="s">
        <v>185</v>
      </c>
      <c r="S92" s="445" t="s">
        <v>152</v>
      </c>
      <c r="T92" s="446" t="s">
        <v>153</v>
      </c>
      <c r="U92" s="447" t="s">
        <v>154</v>
      </c>
      <c r="V92" s="215" t="s">
        <v>167</v>
      </c>
      <c r="W92" s="325" t="s">
        <v>196</v>
      </c>
      <c r="X92" s="329" t="s">
        <v>197</v>
      </c>
      <c r="Y92" s="306" t="s">
        <v>169</v>
      </c>
      <c r="Z92" s="45" t="s">
        <v>224</v>
      </c>
      <c r="AA92" s="45" t="s">
        <v>225</v>
      </c>
      <c r="AB92" s="45" t="s">
        <v>226</v>
      </c>
      <c r="AC92" s="45" t="s">
        <v>229</v>
      </c>
    </row>
    <row r="93" spans="1:29" s="2" customFormat="1" x14ac:dyDescent="0.2">
      <c r="A93" s="64" t="s">
        <v>74</v>
      </c>
      <c r="B93" s="45" t="s">
        <v>70</v>
      </c>
      <c r="C93" s="45" t="s">
        <v>89</v>
      </c>
      <c r="D93" s="45"/>
      <c r="E93" s="45" t="s">
        <v>81</v>
      </c>
      <c r="F93" s="182">
        <v>9.9499999999999993</v>
      </c>
      <c r="G93" s="320">
        <f t="shared" ref="G93:R101" si="27">$F43*G43</f>
        <v>0</v>
      </c>
      <c r="H93" s="285">
        <f t="shared" si="27"/>
        <v>0</v>
      </c>
      <c r="I93" s="285">
        <f t="shared" si="27"/>
        <v>0</v>
      </c>
      <c r="J93" s="45">
        <f t="shared" si="27"/>
        <v>0</v>
      </c>
      <c r="K93" s="292">
        <f t="shared" si="27"/>
        <v>0</v>
      </c>
      <c r="L93" s="292">
        <f t="shared" si="27"/>
        <v>0</v>
      </c>
      <c r="M93" s="292">
        <f t="shared" si="27"/>
        <v>0</v>
      </c>
      <c r="N93" s="292">
        <f t="shared" si="27"/>
        <v>0</v>
      </c>
      <c r="O93" s="292">
        <f t="shared" si="27"/>
        <v>0</v>
      </c>
      <c r="P93" s="292">
        <f t="shared" si="27"/>
        <v>0</v>
      </c>
      <c r="Q93" s="292">
        <f t="shared" si="27"/>
        <v>0</v>
      </c>
      <c r="R93" s="376">
        <f t="shared" si="27"/>
        <v>0</v>
      </c>
      <c r="S93" s="515">
        <v>0</v>
      </c>
      <c r="T93" s="516">
        <v>0</v>
      </c>
      <c r="U93" s="517">
        <v>0</v>
      </c>
      <c r="V93" s="336">
        <f>SUM(G93:R93)</f>
        <v>0</v>
      </c>
      <c r="W93" s="337">
        <f>F93*V93</f>
        <v>0</v>
      </c>
      <c r="X93" s="338">
        <f>W93*0.8475</f>
        <v>0</v>
      </c>
      <c r="Y93" s="339"/>
      <c r="Z93" s="45"/>
      <c r="AA93" s="45"/>
      <c r="AB93" s="45"/>
      <c r="AC93" s="45"/>
    </row>
    <row r="94" spans="1:29" s="2" customFormat="1" x14ac:dyDescent="0.2">
      <c r="A94" s="64" t="s">
        <v>74</v>
      </c>
      <c r="B94" s="45" t="s">
        <v>61</v>
      </c>
      <c r="C94" s="45" t="s">
        <v>80</v>
      </c>
      <c r="D94" s="45"/>
      <c r="E94" s="45" t="s">
        <v>81</v>
      </c>
      <c r="F94" s="182">
        <v>9.9499999999999993</v>
      </c>
      <c r="G94" s="320">
        <f t="shared" si="27"/>
        <v>0</v>
      </c>
      <c r="H94" s="285">
        <f t="shared" si="27"/>
        <v>0</v>
      </c>
      <c r="I94" s="285">
        <f t="shared" si="27"/>
        <v>0</v>
      </c>
      <c r="J94" s="45">
        <f t="shared" si="27"/>
        <v>0</v>
      </c>
      <c r="K94" s="292">
        <f t="shared" si="27"/>
        <v>0</v>
      </c>
      <c r="L94" s="292">
        <f t="shared" si="27"/>
        <v>0</v>
      </c>
      <c r="M94" s="292">
        <f t="shared" si="27"/>
        <v>0</v>
      </c>
      <c r="N94" s="292">
        <f t="shared" si="27"/>
        <v>0</v>
      </c>
      <c r="O94" s="292">
        <f t="shared" si="27"/>
        <v>0</v>
      </c>
      <c r="P94" s="292">
        <f t="shared" si="27"/>
        <v>0</v>
      </c>
      <c r="Q94" s="292">
        <f t="shared" si="27"/>
        <v>0</v>
      </c>
      <c r="R94" s="376">
        <f t="shared" si="27"/>
        <v>0</v>
      </c>
      <c r="S94" s="515">
        <v>0</v>
      </c>
      <c r="T94" s="515">
        <v>0</v>
      </c>
      <c r="U94" s="518">
        <v>0</v>
      </c>
      <c r="V94" s="336">
        <f t="shared" ref="V94:V101" si="28">SUM(G94:R94)</f>
        <v>0</v>
      </c>
      <c r="W94" s="343">
        <f t="shared" ref="W94:W101" si="29">F94*V94</f>
        <v>0</v>
      </c>
      <c r="X94" s="344">
        <f t="shared" ref="X94:X101" si="30">W94*0.8475</f>
        <v>0</v>
      </c>
      <c r="Y94" s="339"/>
      <c r="Z94" s="45"/>
      <c r="AA94" s="45"/>
      <c r="AB94" s="45"/>
      <c r="AC94" s="45"/>
    </row>
    <row r="95" spans="1:29" s="2" customFormat="1" ht="14" customHeight="1" x14ac:dyDescent="0.2">
      <c r="A95" s="64" t="s">
        <v>74</v>
      </c>
      <c r="B95" s="45" t="s">
        <v>61</v>
      </c>
      <c r="C95" s="45" t="s">
        <v>83</v>
      </c>
      <c r="D95" s="45"/>
      <c r="E95" s="45" t="s">
        <v>81</v>
      </c>
      <c r="F95" s="182">
        <v>9.9499999999999993</v>
      </c>
      <c r="G95" s="320">
        <f t="shared" si="27"/>
        <v>17910</v>
      </c>
      <c r="H95" s="294">
        <f t="shared" si="27"/>
        <v>17910</v>
      </c>
      <c r="I95" s="294">
        <f t="shared" si="27"/>
        <v>0</v>
      </c>
      <c r="J95" s="216">
        <f t="shared" si="27"/>
        <v>17910</v>
      </c>
      <c r="K95" s="292">
        <f t="shared" si="27"/>
        <v>5970</v>
      </c>
      <c r="L95" s="292">
        <f t="shared" si="27"/>
        <v>5970</v>
      </c>
      <c r="M95" s="292">
        <f t="shared" si="27"/>
        <v>5970</v>
      </c>
      <c r="N95" s="292">
        <f t="shared" si="27"/>
        <v>5970</v>
      </c>
      <c r="O95" s="292">
        <f t="shared" si="27"/>
        <v>5970</v>
      </c>
      <c r="P95" s="292">
        <f t="shared" si="27"/>
        <v>5970</v>
      </c>
      <c r="Q95" s="292">
        <f t="shared" si="27"/>
        <v>5970</v>
      </c>
      <c r="R95" s="376">
        <f t="shared" si="27"/>
        <v>5970</v>
      </c>
      <c r="S95" s="225">
        <v>9000</v>
      </c>
      <c r="T95" s="226">
        <v>89550</v>
      </c>
      <c r="U95" s="227">
        <v>75893.625</v>
      </c>
      <c r="V95" s="336">
        <f t="shared" si="28"/>
        <v>101490</v>
      </c>
      <c r="W95" s="343">
        <f t="shared" si="29"/>
        <v>1009825.4999999999</v>
      </c>
      <c r="X95" s="344">
        <f t="shared" si="30"/>
        <v>855827.11124999996</v>
      </c>
      <c r="Y95" s="339"/>
      <c r="Z95" s="45"/>
      <c r="AA95" s="45"/>
      <c r="AB95" s="45"/>
      <c r="AC95" s="45"/>
    </row>
    <row r="96" spans="1:29" s="2" customFormat="1" x14ac:dyDescent="0.2">
      <c r="A96" s="64" t="s">
        <v>74</v>
      </c>
      <c r="B96" s="45" t="s">
        <v>70</v>
      </c>
      <c r="C96" s="45" t="s">
        <v>87</v>
      </c>
      <c r="D96" s="45"/>
      <c r="E96" s="45" t="s">
        <v>88</v>
      </c>
      <c r="F96" s="182">
        <v>13.27</v>
      </c>
      <c r="G96" s="320">
        <f t="shared" si="27"/>
        <v>0</v>
      </c>
      <c r="H96" s="285">
        <f t="shared" si="27"/>
        <v>0</v>
      </c>
      <c r="I96" s="285">
        <f t="shared" si="27"/>
        <v>0</v>
      </c>
      <c r="J96" s="45">
        <f t="shared" si="27"/>
        <v>0</v>
      </c>
      <c r="K96" s="292">
        <f t="shared" si="27"/>
        <v>0</v>
      </c>
      <c r="L96" s="292">
        <f t="shared" si="27"/>
        <v>0</v>
      </c>
      <c r="M96" s="292">
        <f t="shared" si="27"/>
        <v>0</v>
      </c>
      <c r="N96" s="292">
        <f t="shared" si="27"/>
        <v>0</v>
      </c>
      <c r="O96" s="292">
        <f t="shared" si="27"/>
        <v>0</v>
      </c>
      <c r="P96" s="292">
        <f t="shared" si="27"/>
        <v>0</v>
      </c>
      <c r="Q96" s="292">
        <f t="shared" si="27"/>
        <v>0</v>
      </c>
      <c r="R96" s="376">
        <f t="shared" si="27"/>
        <v>0</v>
      </c>
      <c r="S96" s="515">
        <v>0</v>
      </c>
      <c r="T96" s="515">
        <v>0</v>
      </c>
      <c r="U96" s="518">
        <v>0</v>
      </c>
      <c r="V96" s="336">
        <f t="shared" si="28"/>
        <v>0</v>
      </c>
      <c r="W96" s="343">
        <f t="shared" si="29"/>
        <v>0</v>
      </c>
      <c r="X96" s="344">
        <f t="shared" si="30"/>
        <v>0</v>
      </c>
      <c r="Y96" s="339"/>
      <c r="Z96" s="45"/>
      <c r="AA96" s="45"/>
      <c r="AB96" s="45"/>
      <c r="AC96" s="45"/>
    </row>
    <row r="97" spans="1:29" s="2" customFormat="1" x14ac:dyDescent="0.2">
      <c r="A97" s="64" t="s">
        <v>74</v>
      </c>
      <c r="B97" s="45" t="s">
        <v>70</v>
      </c>
      <c r="C97" s="45" t="s">
        <v>87</v>
      </c>
      <c r="D97" s="45"/>
      <c r="E97" s="45" t="s">
        <v>148</v>
      </c>
      <c r="F97" s="182">
        <v>59.48</v>
      </c>
      <c r="G97" s="320">
        <f t="shared" si="27"/>
        <v>0</v>
      </c>
      <c r="H97" s="285">
        <f t="shared" si="27"/>
        <v>0</v>
      </c>
      <c r="I97" s="285">
        <f t="shared" si="27"/>
        <v>0</v>
      </c>
      <c r="J97" s="45">
        <f t="shared" si="27"/>
        <v>0</v>
      </c>
      <c r="K97" s="292">
        <f t="shared" si="27"/>
        <v>0</v>
      </c>
      <c r="L97" s="292">
        <f t="shared" si="27"/>
        <v>0</v>
      </c>
      <c r="M97" s="292">
        <f t="shared" si="27"/>
        <v>0</v>
      </c>
      <c r="N97" s="292">
        <f t="shared" si="27"/>
        <v>0</v>
      </c>
      <c r="O97" s="292">
        <f t="shared" si="27"/>
        <v>0</v>
      </c>
      <c r="P97" s="292">
        <f t="shared" si="27"/>
        <v>0</v>
      </c>
      <c r="Q97" s="292">
        <f t="shared" si="27"/>
        <v>0</v>
      </c>
      <c r="R97" s="376">
        <f t="shared" si="27"/>
        <v>0</v>
      </c>
      <c r="S97" s="515">
        <v>0</v>
      </c>
      <c r="T97" s="515">
        <v>0</v>
      </c>
      <c r="U97" s="518">
        <v>0</v>
      </c>
      <c r="V97" s="336">
        <f t="shared" si="28"/>
        <v>0</v>
      </c>
      <c r="W97" s="343">
        <f t="shared" si="29"/>
        <v>0</v>
      </c>
      <c r="X97" s="344">
        <f t="shared" si="30"/>
        <v>0</v>
      </c>
      <c r="Y97" s="339"/>
      <c r="Z97" s="45"/>
      <c r="AA97" s="45"/>
      <c r="AB97" s="45"/>
      <c r="AC97" s="45"/>
    </row>
    <row r="98" spans="1:29" s="2" customFormat="1" x14ac:dyDescent="0.2">
      <c r="A98" s="64" t="s">
        <v>74</v>
      </c>
      <c r="B98" s="45" t="s">
        <v>70</v>
      </c>
      <c r="C98" s="45" t="s">
        <v>80</v>
      </c>
      <c r="D98" s="45"/>
      <c r="E98" s="45" t="s">
        <v>149</v>
      </c>
      <c r="F98" s="182">
        <v>59.48</v>
      </c>
      <c r="G98" s="321">
        <f t="shared" si="27"/>
        <v>4758.3999999999996</v>
      </c>
      <c r="H98" s="294">
        <f t="shared" si="27"/>
        <v>4758.3999999999996</v>
      </c>
      <c r="I98" s="294">
        <f t="shared" si="27"/>
        <v>4758.3999999999996</v>
      </c>
      <c r="J98" s="294">
        <f t="shared" si="27"/>
        <v>4758.3999999999996</v>
      </c>
      <c r="K98" s="292">
        <f t="shared" si="27"/>
        <v>0</v>
      </c>
      <c r="L98" s="292">
        <f t="shared" si="27"/>
        <v>0</v>
      </c>
      <c r="M98" s="292">
        <f t="shared" si="27"/>
        <v>0</v>
      </c>
      <c r="N98" s="292">
        <f t="shared" si="27"/>
        <v>0</v>
      </c>
      <c r="O98" s="292">
        <f t="shared" si="27"/>
        <v>0</v>
      </c>
      <c r="P98" s="292">
        <f t="shared" si="27"/>
        <v>0</v>
      </c>
      <c r="Q98" s="292">
        <f t="shared" si="27"/>
        <v>0</v>
      </c>
      <c r="R98" s="376">
        <f t="shared" si="27"/>
        <v>0</v>
      </c>
      <c r="S98" s="515">
        <v>0</v>
      </c>
      <c r="T98" s="515">
        <v>0</v>
      </c>
      <c r="U98" s="518">
        <v>0</v>
      </c>
      <c r="V98" s="336">
        <f t="shared" si="28"/>
        <v>19033.599999999999</v>
      </c>
      <c r="W98" s="343">
        <f t="shared" si="29"/>
        <v>1132118.5279999999</v>
      </c>
      <c r="X98" s="344">
        <f t="shared" si="30"/>
        <v>959470.45247999998</v>
      </c>
      <c r="Y98" s="339"/>
      <c r="Z98" s="45"/>
      <c r="AA98" s="45"/>
      <c r="AB98" s="45"/>
      <c r="AC98" s="45"/>
    </row>
    <row r="99" spans="1:29" s="2" customFormat="1" ht="14.75" customHeight="1" x14ac:dyDescent="0.2">
      <c r="A99" s="64" t="s">
        <v>74</v>
      </c>
      <c r="B99" s="45" t="s">
        <v>70</v>
      </c>
      <c r="C99" s="45" t="s">
        <v>75</v>
      </c>
      <c r="D99" s="45"/>
      <c r="E99" s="45" t="s">
        <v>149</v>
      </c>
      <c r="F99" s="182">
        <v>59.48</v>
      </c>
      <c r="G99" s="320">
        <f t="shared" si="27"/>
        <v>0</v>
      </c>
      <c r="H99" s="285">
        <f t="shared" si="27"/>
        <v>0</v>
      </c>
      <c r="I99" s="285">
        <f t="shared" si="27"/>
        <v>0</v>
      </c>
      <c r="J99" s="45">
        <f t="shared" si="27"/>
        <v>0</v>
      </c>
      <c r="K99" s="292">
        <f t="shared" si="27"/>
        <v>0</v>
      </c>
      <c r="L99" s="292">
        <f t="shared" si="27"/>
        <v>0</v>
      </c>
      <c r="M99" s="292">
        <f t="shared" si="27"/>
        <v>0</v>
      </c>
      <c r="N99" s="292">
        <f t="shared" si="27"/>
        <v>0</v>
      </c>
      <c r="O99" s="292">
        <f t="shared" si="27"/>
        <v>0</v>
      </c>
      <c r="P99" s="292">
        <f t="shared" si="27"/>
        <v>0</v>
      </c>
      <c r="Q99" s="292">
        <f t="shared" si="27"/>
        <v>0</v>
      </c>
      <c r="R99" s="376">
        <f t="shared" si="27"/>
        <v>0</v>
      </c>
      <c r="S99" s="515">
        <v>0</v>
      </c>
      <c r="T99" s="515">
        <v>0</v>
      </c>
      <c r="U99" s="518">
        <v>0</v>
      </c>
      <c r="V99" s="336">
        <f t="shared" si="28"/>
        <v>0</v>
      </c>
      <c r="W99" s="343">
        <f t="shared" si="29"/>
        <v>0</v>
      </c>
      <c r="X99" s="344">
        <f t="shared" si="30"/>
        <v>0</v>
      </c>
      <c r="Y99" s="339"/>
      <c r="Z99" s="45"/>
      <c r="AA99" s="45"/>
      <c r="AB99" s="45"/>
      <c r="AC99" s="45"/>
    </row>
    <row r="100" spans="1:29" s="2" customFormat="1" x14ac:dyDescent="0.2">
      <c r="A100" s="64" t="s">
        <v>74</v>
      </c>
      <c r="B100" s="45" t="s">
        <v>70</v>
      </c>
      <c r="C100" s="45" t="s">
        <v>77</v>
      </c>
      <c r="D100" s="45"/>
      <c r="E100" s="45" t="s">
        <v>150</v>
      </c>
      <c r="F100" s="182">
        <f>21.66*1.01</f>
        <v>21.8766</v>
      </c>
      <c r="G100" s="320">
        <f t="shared" si="27"/>
        <v>0</v>
      </c>
      <c r="H100" s="285">
        <f t="shared" si="27"/>
        <v>0</v>
      </c>
      <c r="I100" s="285">
        <f t="shared" si="27"/>
        <v>0</v>
      </c>
      <c r="J100" s="45">
        <f t="shared" si="27"/>
        <v>0</v>
      </c>
      <c r="K100" s="292">
        <f t="shared" si="27"/>
        <v>0</v>
      </c>
      <c r="L100" s="292">
        <f t="shared" si="27"/>
        <v>0</v>
      </c>
      <c r="M100" s="292">
        <f t="shared" si="27"/>
        <v>0</v>
      </c>
      <c r="N100" s="292">
        <f t="shared" si="27"/>
        <v>0</v>
      </c>
      <c r="O100" s="292">
        <f t="shared" si="27"/>
        <v>0</v>
      </c>
      <c r="P100" s="292">
        <f t="shared" si="27"/>
        <v>0</v>
      </c>
      <c r="Q100" s="292">
        <f t="shared" si="27"/>
        <v>0</v>
      </c>
      <c r="R100" s="376">
        <f t="shared" si="27"/>
        <v>0</v>
      </c>
      <c r="S100" s="515">
        <v>0</v>
      </c>
      <c r="T100" s="515">
        <v>0</v>
      </c>
      <c r="U100" s="518">
        <v>0</v>
      </c>
      <c r="V100" s="336">
        <f t="shared" si="28"/>
        <v>0</v>
      </c>
      <c r="W100" s="343">
        <f t="shared" si="29"/>
        <v>0</v>
      </c>
      <c r="X100" s="344">
        <f t="shared" si="30"/>
        <v>0</v>
      </c>
      <c r="Y100" s="339"/>
      <c r="Z100" s="45"/>
      <c r="AA100" s="45"/>
      <c r="AB100" s="45"/>
      <c r="AC100" s="45"/>
    </row>
    <row r="101" spans="1:29" s="2" customFormat="1" x14ac:dyDescent="0.2">
      <c r="A101" s="64" t="s">
        <v>74</v>
      </c>
      <c r="B101" s="45" t="s">
        <v>70</v>
      </c>
      <c r="C101" s="45" t="s">
        <v>89</v>
      </c>
      <c r="D101" s="45"/>
      <c r="E101" s="45" t="s">
        <v>150</v>
      </c>
      <c r="F101" s="182">
        <f>21.66*1.01</f>
        <v>21.8766</v>
      </c>
      <c r="G101" s="320">
        <f t="shared" si="27"/>
        <v>0</v>
      </c>
      <c r="H101" s="285">
        <f t="shared" si="27"/>
        <v>0</v>
      </c>
      <c r="I101" s="285">
        <f t="shared" si="27"/>
        <v>0</v>
      </c>
      <c r="J101" s="45">
        <f t="shared" si="27"/>
        <v>0</v>
      </c>
      <c r="K101" s="292">
        <f t="shared" si="27"/>
        <v>0</v>
      </c>
      <c r="L101" s="292">
        <f t="shared" si="27"/>
        <v>0</v>
      </c>
      <c r="M101" s="292">
        <f t="shared" si="27"/>
        <v>0</v>
      </c>
      <c r="N101" s="292">
        <f t="shared" si="27"/>
        <v>0</v>
      </c>
      <c r="O101" s="292">
        <f t="shared" si="27"/>
        <v>0</v>
      </c>
      <c r="P101" s="292">
        <f t="shared" si="27"/>
        <v>0</v>
      </c>
      <c r="Q101" s="292">
        <f t="shared" si="27"/>
        <v>0</v>
      </c>
      <c r="R101" s="376">
        <f t="shared" si="27"/>
        <v>0</v>
      </c>
      <c r="S101" s="515">
        <v>0</v>
      </c>
      <c r="T101" s="515">
        <v>0</v>
      </c>
      <c r="U101" s="518">
        <v>0</v>
      </c>
      <c r="V101" s="336">
        <f t="shared" si="28"/>
        <v>0</v>
      </c>
      <c r="W101" s="343">
        <f t="shared" si="29"/>
        <v>0</v>
      </c>
      <c r="X101" s="344">
        <f t="shared" si="30"/>
        <v>0</v>
      </c>
      <c r="Y101" s="339"/>
      <c r="Z101" s="45"/>
      <c r="AA101" s="45"/>
      <c r="AB101" s="45"/>
      <c r="AC101" s="45"/>
    </row>
    <row r="102" spans="1:29" s="2" customFormat="1" ht="15.5" customHeight="1" x14ac:dyDescent="0.2">
      <c r="F102" s="2" t="s">
        <v>201</v>
      </c>
      <c r="G102" s="347">
        <f>SUM(G93:G101)</f>
        <v>22668.400000000001</v>
      </c>
      <c r="H102" s="347">
        <f t="shared" ref="H102:R102" si="31">SUM(H93:H101)</f>
        <v>22668.400000000001</v>
      </c>
      <c r="I102" s="347">
        <f t="shared" si="31"/>
        <v>4758.3999999999996</v>
      </c>
      <c r="J102" s="348">
        <f t="shared" si="31"/>
        <v>22668.400000000001</v>
      </c>
      <c r="K102" s="348">
        <f t="shared" si="31"/>
        <v>5970</v>
      </c>
      <c r="L102" s="348">
        <f t="shared" si="31"/>
        <v>5970</v>
      </c>
      <c r="M102" s="348">
        <f t="shared" si="31"/>
        <v>5970</v>
      </c>
      <c r="N102" s="348">
        <f t="shared" si="31"/>
        <v>5970</v>
      </c>
      <c r="O102" s="348">
        <f t="shared" si="31"/>
        <v>5970</v>
      </c>
      <c r="P102" s="348">
        <f t="shared" si="31"/>
        <v>5970</v>
      </c>
      <c r="Q102" s="348">
        <f t="shared" si="31"/>
        <v>5970</v>
      </c>
      <c r="R102" s="377">
        <f t="shared" si="31"/>
        <v>5970</v>
      </c>
      <c r="S102" s="380">
        <f>SUM(S93:S101)</f>
        <v>9000</v>
      </c>
      <c r="T102" s="380">
        <f t="shared" ref="T102:U102" si="32">SUM(T93:T101)</f>
        <v>89550</v>
      </c>
      <c r="U102" s="380">
        <f t="shared" si="32"/>
        <v>75893.625</v>
      </c>
      <c r="V102" s="316">
        <f>SUM(V93:V101)</f>
        <v>120523.6</v>
      </c>
      <c r="W102" s="317">
        <f>SUM(W80:W101)</f>
        <v>1711569.8279999997</v>
      </c>
      <c r="X102" s="317">
        <f>W102*0.8475</f>
        <v>1450555.4292299999</v>
      </c>
      <c r="Y102" s="317">
        <f>SUM(Y80:Y101)</f>
        <v>-364742.13450000028</v>
      </c>
    </row>
    <row r="103" spans="1:29" s="2" customFormat="1" ht="16" thickBot="1" x14ac:dyDescent="0.25">
      <c r="A103" s="14"/>
      <c r="G103" s="40"/>
      <c r="H103" s="40"/>
      <c r="I103" s="40"/>
      <c r="J103" s="40"/>
      <c r="K103" s="40"/>
      <c r="L103" s="40"/>
      <c r="M103" s="111"/>
      <c r="N103" s="112"/>
      <c r="S103" s="382">
        <f>SUM(T95)</f>
        <v>89550</v>
      </c>
      <c r="T103" s="383">
        <f>SUM(T93:T101)</f>
        <v>89550</v>
      </c>
      <c r="U103" s="384">
        <f>SUM(U93:U101)</f>
        <v>75893.625</v>
      </c>
      <c r="V103" s="318"/>
      <c r="W103" s="319"/>
      <c r="X103" s="319"/>
      <c r="Y103" s="319"/>
    </row>
    <row r="104" spans="1:29" s="152" customFormat="1" ht="20" thickBot="1" x14ac:dyDescent="0.25">
      <c r="A104" s="14"/>
      <c r="R104" s="580" t="s">
        <v>239</v>
      </c>
      <c r="S104" s="581">
        <f>S88+S102</f>
        <v>381870</v>
      </c>
      <c r="T104" s="582">
        <f>T88+T102</f>
        <v>6495085.6039999994</v>
      </c>
      <c r="U104" s="583">
        <f>U88+U102</f>
        <v>5504585.0493900003</v>
      </c>
      <c r="V104" s="513"/>
    </row>
    <row r="105" spans="1:29" s="152" customFormat="1" ht="19" x14ac:dyDescent="0.2">
      <c r="A105" s="14"/>
      <c r="G105" s="153"/>
      <c r="H105" s="41"/>
      <c r="I105" s="41"/>
      <c r="J105" s="41"/>
      <c r="K105" s="41"/>
      <c r="L105" s="41"/>
      <c r="M105" s="111"/>
      <c r="P105" s="2"/>
      <c r="Q105" s="2"/>
      <c r="R105" s="2"/>
      <c r="V105"/>
    </row>
    <row r="106" spans="1:29" x14ac:dyDescent="0.2">
      <c r="F106" t="s">
        <v>230</v>
      </c>
      <c r="G106" s="585">
        <f t="shared" ref="G106:R106" si="33">G88+G102</f>
        <v>555507.20000000007</v>
      </c>
      <c r="H106" s="511">
        <f t="shared" si="33"/>
        <v>641038.44000000006</v>
      </c>
      <c r="I106" s="511">
        <f t="shared" si="33"/>
        <v>473470.32000000007</v>
      </c>
      <c r="J106" s="511">
        <f t="shared" si="33"/>
        <v>280753.40000000002</v>
      </c>
      <c r="K106" s="511">
        <f t="shared" si="33"/>
        <v>750607.53</v>
      </c>
      <c r="L106" s="511">
        <f t="shared" si="33"/>
        <v>442632.15</v>
      </c>
      <c r="M106" s="511">
        <f t="shared" si="33"/>
        <v>581894.52800000005</v>
      </c>
      <c r="N106" s="511">
        <f t="shared" si="33"/>
        <v>646101.18000000005</v>
      </c>
      <c r="O106" s="511">
        <f t="shared" si="33"/>
        <v>470979.74800000002</v>
      </c>
      <c r="P106" s="511">
        <f t="shared" si="33"/>
        <v>419492.04000000004</v>
      </c>
      <c r="Q106" s="511">
        <f t="shared" si="33"/>
        <v>720028.72</v>
      </c>
      <c r="R106" s="511">
        <f t="shared" si="33"/>
        <v>337060.74800000002</v>
      </c>
      <c r="T106" s="510">
        <f>SUM(G106:R106)</f>
        <v>6319566.0039999997</v>
      </c>
    </row>
    <row r="107" spans="1:29" x14ac:dyDescent="0.2">
      <c r="F107" t="s">
        <v>231</v>
      </c>
      <c r="G107" s="586">
        <f>G106*0.8475</f>
        <v>470792.35200000007</v>
      </c>
      <c r="H107" s="509">
        <f t="shared" ref="H107:R107" si="34">H106*0.8475</f>
        <v>543280.07790000003</v>
      </c>
      <c r="I107" s="509">
        <f t="shared" si="34"/>
        <v>401266.09620000009</v>
      </c>
      <c r="J107" s="509">
        <f t="shared" si="34"/>
        <v>237938.50650000002</v>
      </c>
      <c r="K107" s="509">
        <f t="shared" si="34"/>
        <v>636139.88167500007</v>
      </c>
      <c r="L107" s="509">
        <f t="shared" si="34"/>
        <v>375130.74712500005</v>
      </c>
      <c r="M107" s="509">
        <f t="shared" si="34"/>
        <v>493155.61248000007</v>
      </c>
      <c r="N107" s="509">
        <f t="shared" si="34"/>
        <v>547570.75005000003</v>
      </c>
      <c r="O107" s="509">
        <f t="shared" si="34"/>
        <v>399155.33643000002</v>
      </c>
      <c r="P107" s="509">
        <f t="shared" si="34"/>
        <v>355519.50390000007</v>
      </c>
      <c r="Q107" s="509">
        <f t="shared" si="34"/>
        <v>610224.34019999998</v>
      </c>
      <c r="R107" s="509">
        <f t="shared" si="34"/>
        <v>285658.98393000005</v>
      </c>
      <c r="T107" s="512">
        <f>T106*0.8475</f>
        <v>5355832.1883899998</v>
      </c>
    </row>
    <row r="111" spans="1:29" x14ac:dyDescent="0.2">
      <c r="A111" s="508" t="s">
        <v>223</v>
      </c>
    </row>
    <row r="114" spans="1:1" x14ac:dyDescent="0.2">
      <c r="A114" t="s">
        <v>217</v>
      </c>
    </row>
    <row r="115" spans="1:1" x14ac:dyDescent="0.2">
      <c r="A115" t="s">
        <v>218</v>
      </c>
    </row>
    <row r="117" spans="1:1" x14ac:dyDescent="0.2">
      <c r="A117" t="s">
        <v>221</v>
      </c>
    </row>
  </sheetData>
  <sheetProtection algorithmName="SHA-512" hashValue="GXwOfERvdwgtuLJHvC7pQ8+e6eU+hGGtLkG4CytjDaivfEFeZHf+6tyk/vbrIVdQUNPNfodVwgSBk5d5zsepdA==" saltValue="VZBv5wLpPc7+hF+ZovygFw==" spinCount="100000" sheet="1" objects="1" scenarios="1"/>
  <mergeCells count="3">
    <mergeCell ref="B2:F2"/>
    <mergeCell ref="B12:F12"/>
    <mergeCell ref="C61:G61"/>
  </mergeCells>
  <pageMargins left="0.25" right="0.25" top="0.75" bottom="0.75" header="0.3" footer="0.3"/>
  <pageSetup scale="25" orientation="landscape" horizontalDpi="300" verticalDpi="300" r:id="rId1"/>
  <customProperties>
    <customPr name="_pios_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2BC72-3B73-4450-B783-D522191EC744}">
  <sheetPr>
    <tabColor rgb="FF00B050"/>
    <pageSetUpPr fitToPage="1"/>
  </sheetPr>
  <dimension ref="A1:AD117"/>
  <sheetViews>
    <sheetView showGridLines="0" tabSelected="1" topLeftCell="A15" zoomScale="90" zoomScaleNormal="90" workbookViewId="0">
      <pane xSplit="7" ySplit="2" topLeftCell="H26" activePane="bottomRight" state="frozen"/>
      <selection activeCell="A15" sqref="A15"/>
      <selection pane="topRight" activeCell="G15" sqref="G15"/>
      <selection pane="bottomLeft" activeCell="A17" sqref="A17"/>
      <selection pane="bottomRight" activeCell="D46" sqref="D46"/>
    </sheetView>
  </sheetViews>
  <sheetFormatPr baseColWidth="10" defaultColWidth="8.83203125" defaultRowHeight="15" x14ac:dyDescent="0.2"/>
  <cols>
    <col min="1" max="1" width="13.6640625" customWidth="1"/>
    <col min="3" max="3" width="9.5" customWidth="1"/>
    <col min="4" max="5" width="14.5" customWidth="1"/>
    <col min="6" max="6" width="37.33203125" customWidth="1"/>
    <col min="7" max="7" width="22.83203125" customWidth="1"/>
    <col min="8" max="9" width="16.33203125" customWidth="1"/>
    <col min="10" max="10" width="14.6640625" customWidth="1"/>
    <col min="11" max="12" width="15.5" bestFit="1" customWidth="1"/>
    <col min="13" max="13" width="12.5" customWidth="1"/>
    <col min="14" max="14" width="12.6640625" customWidth="1"/>
    <col min="15" max="15" width="14.1640625" customWidth="1"/>
    <col min="16" max="17" width="15.33203125" customWidth="1"/>
    <col min="18" max="18" width="16.33203125" customWidth="1"/>
    <col min="19" max="19" width="14.33203125" customWidth="1"/>
    <col min="20" max="20" width="18.33203125" customWidth="1"/>
    <col min="21" max="21" width="21" style="75" customWidth="1"/>
    <col min="22" max="22" width="21.6640625" customWidth="1"/>
    <col min="23" max="23" width="14.5" customWidth="1"/>
    <col min="24" max="24" width="30.83203125" customWidth="1"/>
    <col min="25" max="25" width="23.6640625" customWidth="1"/>
    <col min="26" max="26" width="21.83203125" customWidth="1"/>
    <col min="27" max="27" width="13.33203125" customWidth="1"/>
    <col min="28" max="28" width="19.6640625" customWidth="1"/>
    <col min="29" max="29" width="18.83203125" customWidth="1"/>
    <col min="30" max="30" width="98.33203125" customWidth="1"/>
  </cols>
  <sheetData>
    <row r="1" spans="1:30" s="2" customFormat="1" ht="16" thickBot="1" x14ac:dyDescent="0.25">
      <c r="U1" s="19"/>
    </row>
    <row r="2" spans="1:30" s="2" customFormat="1" ht="31.5" customHeight="1" thickBot="1" x14ac:dyDescent="0.25">
      <c r="A2" s="215" t="s">
        <v>172</v>
      </c>
      <c r="B2" s="604" t="s">
        <v>173</v>
      </c>
      <c r="C2" s="605"/>
      <c r="D2" s="605"/>
      <c r="E2" s="605"/>
      <c r="F2" s="605"/>
      <c r="G2" s="605"/>
      <c r="H2" s="2" t="s">
        <v>174</v>
      </c>
      <c r="U2" s="19"/>
    </row>
    <row r="3" spans="1:30" s="2" customFormat="1" ht="24" x14ac:dyDescent="0.2">
      <c r="C3" s="326" t="s">
        <v>189</v>
      </c>
      <c r="D3" s="327"/>
      <c r="E3" s="327"/>
      <c r="F3" s="326"/>
    </row>
    <row r="4" spans="1:30" s="2" customFormat="1" ht="3.5" customHeight="1" x14ac:dyDescent="0.2">
      <c r="A4" s="14"/>
      <c r="U4" s="19"/>
    </row>
    <row r="11" spans="1:30" s="2" customFormat="1" ht="16" thickBot="1" x14ac:dyDescent="0.25">
      <c r="U11" s="19"/>
    </row>
    <row r="12" spans="1:30" s="2" customFormat="1" ht="31.5" customHeight="1" thickBot="1" x14ac:dyDescent="0.25">
      <c r="A12" s="215" t="str">
        <f>A2</f>
        <v>23.01.26</v>
      </c>
      <c r="B12" s="606" t="s">
        <v>202</v>
      </c>
      <c r="C12" s="607"/>
      <c r="D12" s="607"/>
      <c r="E12" s="607"/>
      <c r="F12" s="607"/>
      <c r="G12" s="607"/>
      <c r="U12" s="19"/>
      <c r="W12" s="326" t="str">
        <f>C3</f>
        <v xml:space="preserve"> DP Period: February-  April 2026</v>
      </c>
    </row>
    <row r="13" spans="1:30" s="2" customFormat="1" x14ac:dyDescent="0.2">
      <c r="C13" s="14" t="s">
        <v>2</v>
      </c>
      <c r="D13" s="14"/>
      <c r="E13" s="14"/>
    </row>
    <row r="14" spans="1:30" s="2" customFormat="1" ht="3.5" customHeight="1" thickBot="1" x14ac:dyDescent="0.25">
      <c r="A14" s="14"/>
      <c r="U14" s="19"/>
    </row>
    <row r="15" spans="1:30" s="2" customFormat="1" ht="43.5" customHeight="1" thickBot="1" x14ac:dyDescent="0.25">
      <c r="A15" s="14"/>
      <c r="F15" s="584" t="s">
        <v>203</v>
      </c>
      <c r="H15" s="471">
        <v>2026</v>
      </c>
      <c r="I15" s="471">
        <v>2026</v>
      </c>
      <c r="J15" s="471">
        <v>2026</v>
      </c>
      <c r="K15" s="471">
        <v>2026</v>
      </c>
      <c r="L15" s="472">
        <v>2026</v>
      </c>
      <c r="M15" s="472">
        <v>2026</v>
      </c>
      <c r="N15" s="472">
        <v>2026</v>
      </c>
      <c r="O15" s="472">
        <v>2026</v>
      </c>
      <c r="P15" s="472">
        <v>2026</v>
      </c>
      <c r="Q15" s="472">
        <v>2026</v>
      </c>
      <c r="R15" s="472">
        <v>2026</v>
      </c>
      <c r="S15" s="473">
        <v>2026</v>
      </c>
      <c r="T15" s="258" t="s">
        <v>155</v>
      </c>
      <c r="U15" s="364">
        <f>V15/0.8475</f>
        <v>6486686.3716814155</v>
      </c>
      <c r="V15" s="365">
        <v>5497466.7000000002</v>
      </c>
      <c r="X15" s="2" t="s">
        <v>168</v>
      </c>
      <c r="Y15" s="2">
        <v>0.84750000000000003</v>
      </c>
    </row>
    <row r="16" spans="1:30" s="2" customFormat="1" ht="52.5" customHeight="1" thickBot="1" x14ac:dyDescent="0.25">
      <c r="A16" s="270"/>
      <c r="B16" s="271" t="s">
        <v>12</v>
      </c>
      <c r="C16" s="271"/>
      <c r="D16" s="603" t="s">
        <v>245</v>
      </c>
      <c r="E16" s="603" t="s">
        <v>259</v>
      </c>
      <c r="F16" s="272" t="s">
        <v>13</v>
      </c>
      <c r="G16" s="273" t="s">
        <v>14</v>
      </c>
      <c r="H16" s="353" t="s">
        <v>232</v>
      </c>
      <c r="I16" s="353" t="s">
        <v>134</v>
      </c>
      <c r="J16" s="353" t="s">
        <v>135</v>
      </c>
      <c r="K16" s="353" t="s">
        <v>136</v>
      </c>
      <c r="L16" s="351" t="s">
        <v>137</v>
      </c>
      <c r="M16" s="351" t="s">
        <v>138</v>
      </c>
      <c r="N16" s="351" t="s">
        <v>139</v>
      </c>
      <c r="O16" s="351" t="s">
        <v>140</v>
      </c>
      <c r="P16" s="351" t="s">
        <v>141</v>
      </c>
      <c r="Q16" s="351" t="s">
        <v>142</v>
      </c>
      <c r="R16" s="351" t="s">
        <v>143</v>
      </c>
      <c r="S16" s="352" t="s">
        <v>144</v>
      </c>
      <c r="T16" s="357" t="s">
        <v>152</v>
      </c>
      <c r="U16" s="358" t="s">
        <v>153</v>
      </c>
      <c r="V16" s="358" t="s">
        <v>154</v>
      </c>
      <c r="W16" s="215" t="s">
        <v>228</v>
      </c>
      <c r="X16" s="275" t="s">
        <v>193</v>
      </c>
      <c r="Y16" s="328" t="s">
        <v>194</v>
      </c>
      <c r="Z16" s="328" t="s">
        <v>195</v>
      </c>
      <c r="AA16" s="534" t="s">
        <v>224</v>
      </c>
      <c r="AB16" s="534" t="s">
        <v>225</v>
      </c>
      <c r="AC16" s="534" t="s">
        <v>226</v>
      </c>
      <c r="AD16" s="45" t="s">
        <v>229</v>
      </c>
    </row>
    <row r="17" spans="1:30" s="2" customFormat="1" x14ac:dyDescent="0.2">
      <c r="A17" s="261" t="s">
        <v>41</v>
      </c>
      <c r="B17" s="261" t="s">
        <v>61</v>
      </c>
      <c r="C17" s="262" t="s">
        <v>66</v>
      </c>
      <c r="D17" s="243" t="s">
        <v>250</v>
      </c>
      <c r="E17" s="243"/>
      <c r="F17" s="324" t="s">
        <v>73</v>
      </c>
      <c r="G17" s="229">
        <v>10.81</v>
      </c>
      <c r="H17" s="553">
        <v>0</v>
      </c>
      <c r="I17" s="596">
        <v>9900</v>
      </c>
      <c r="J17" s="476"/>
      <c r="K17" s="564"/>
      <c r="L17" s="476"/>
      <c r="M17" s="477"/>
      <c r="N17" s="478"/>
      <c r="O17" s="479"/>
      <c r="P17" s="480"/>
      <c r="Q17" s="477"/>
      <c r="R17" s="480"/>
      <c r="S17" s="481"/>
      <c r="T17" s="224">
        <v>0</v>
      </c>
      <c r="U17" s="226">
        <v>0</v>
      </c>
      <c r="V17" s="245">
        <v>0</v>
      </c>
      <c r="W17" s="362">
        <f>SUM(H17:S17)</f>
        <v>9900</v>
      </c>
      <c r="X17" s="337">
        <f>G17*W17</f>
        <v>107019</v>
      </c>
      <c r="Y17" s="337">
        <f>X17*0.8475</f>
        <v>90698.602500000008</v>
      </c>
      <c r="Z17" s="474">
        <f>W17-T17</f>
        <v>9900</v>
      </c>
      <c r="AA17" s="522">
        <f>SUM(H17:S17)</f>
        <v>9900</v>
      </c>
      <c r="AB17" s="523">
        <f>SUM(G17*AA17)</f>
        <v>107019</v>
      </c>
      <c r="AC17" s="524">
        <f>AB17*0.8475</f>
        <v>90698.602500000008</v>
      </c>
      <c r="AD17" s="45"/>
    </row>
    <row r="18" spans="1:30" s="2" customFormat="1" x14ac:dyDescent="0.2">
      <c r="A18" s="186" t="s">
        <v>41</v>
      </c>
      <c r="B18" s="186" t="s">
        <v>61</v>
      </c>
      <c r="C18" s="189" t="s">
        <v>66</v>
      </c>
      <c r="D18" s="243" t="s">
        <v>250</v>
      </c>
      <c r="E18" s="243" t="s">
        <v>269</v>
      </c>
      <c r="F18" s="228" t="s">
        <v>73</v>
      </c>
      <c r="G18" s="229">
        <v>10.81</v>
      </c>
      <c r="H18" s="554">
        <v>0</v>
      </c>
      <c r="I18" s="596"/>
      <c r="J18" s="216">
        <v>16500</v>
      </c>
      <c r="K18" s="590">
        <v>16500</v>
      </c>
      <c r="L18" s="482"/>
      <c r="M18" s="483">
        <v>13200</v>
      </c>
      <c r="N18" s="484"/>
      <c r="O18" s="485"/>
      <c r="P18" s="486">
        <v>13200</v>
      </c>
      <c r="Q18" s="483"/>
      <c r="R18" s="486"/>
      <c r="S18" s="487"/>
      <c r="T18" s="224">
        <v>86100</v>
      </c>
      <c r="U18" s="226">
        <v>930741</v>
      </c>
      <c r="V18" s="245">
        <v>788802.99750000006</v>
      </c>
      <c r="W18" s="363">
        <f t="shared" ref="W18:W37" si="0">SUM(H18:S18)</f>
        <v>59400</v>
      </c>
      <c r="X18" s="343">
        <f t="shared" ref="X18:X37" si="1">G18*W18</f>
        <v>642114</v>
      </c>
      <c r="Y18" s="343">
        <f t="shared" ref="Y18:Y37" si="2">X18*0.8475</f>
        <v>544191.61499999999</v>
      </c>
      <c r="Z18" s="475">
        <f t="shared" ref="Z18:Z37" si="3">W18-T18</f>
        <v>-26700</v>
      </c>
      <c r="AA18" s="522">
        <f t="shared" ref="AA18:AA37" si="4">SUM(H18:S18)</f>
        <v>59400</v>
      </c>
      <c r="AB18" s="523">
        <f t="shared" ref="AB18:AB37" si="5">SUM(G18*AA18)</f>
        <v>642114</v>
      </c>
      <c r="AC18" s="524">
        <f t="shared" ref="AC18:AC37" si="6">AB18*0.8475</f>
        <v>544191.61499999999</v>
      </c>
      <c r="AD18" s="45"/>
    </row>
    <row r="19" spans="1:30" s="2" customFormat="1" x14ac:dyDescent="0.2">
      <c r="A19" s="186" t="s">
        <v>41</v>
      </c>
      <c r="B19" s="186" t="s">
        <v>61</v>
      </c>
      <c r="C19" s="189" t="s">
        <v>66</v>
      </c>
      <c r="D19" s="244" t="s">
        <v>248</v>
      </c>
      <c r="E19" s="244" t="s">
        <v>267</v>
      </c>
      <c r="F19" s="187" t="s">
        <v>222</v>
      </c>
      <c r="G19" s="188">
        <f>10.63*1.01</f>
        <v>10.736300000000002</v>
      </c>
      <c r="H19" s="555">
        <v>0</v>
      </c>
      <c r="I19" s="596">
        <v>7200</v>
      </c>
      <c r="J19" s="590">
        <v>8400</v>
      </c>
      <c r="K19" s="488"/>
      <c r="L19" s="590">
        <v>8400</v>
      </c>
      <c r="M19" s="489"/>
      <c r="N19" s="489">
        <v>8400</v>
      </c>
      <c r="O19" s="490"/>
      <c r="P19" s="491"/>
      <c r="Q19" s="492">
        <v>8400</v>
      </c>
      <c r="R19" s="489"/>
      <c r="S19" s="493"/>
      <c r="T19" s="224">
        <v>44100</v>
      </c>
      <c r="U19" s="226">
        <v>473470.83000000007</v>
      </c>
      <c r="V19" s="245">
        <v>401266.52842500008</v>
      </c>
      <c r="W19" s="363">
        <f t="shared" si="0"/>
        <v>40800</v>
      </c>
      <c r="X19" s="343">
        <f t="shared" si="1"/>
        <v>438041.0400000001</v>
      </c>
      <c r="Y19" s="343">
        <f t="shared" si="2"/>
        <v>371239.78140000009</v>
      </c>
      <c r="Z19" s="475">
        <f t="shared" si="3"/>
        <v>-3300</v>
      </c>
      <c r="AA19" s="522">
        <f t="shared" si="4"/>
        <v>40800</v>
      </c>
      <c r="AB19" s="523">
        <f t="shared" si="5"/>
        <v>438041.0400000001</v>
      </c>
      <c r="AC19" s="524">
        <f t="shared" si="6"/>
        <v>371239.78140000009</v>
      </c>
      <c r="AD19" s="45"/>
    </row>
    <row r="20" spans="1:30" s="2" customFormat="1" x14ac:dyDescent="0.2">
      <c r="A20" s="186" t="s">
        <v>41</v>
      </c>
      <c r="B20" s="186" t="s">
        <v>61</v>
      </c>
      <c r="C20" s="189" t="s">
        <v>66</v>
      </c>
      <c r="D20" s="244" t="s">
        <v>249</v>
      </c>
      <c r="E20" s="244" t="s">
        <v>266</v>
      </c>
      <c r="F20" s="187" t="s">
        <v>67</v>
      </c>
      <c r="G20" s="188">
        <f>10.63*1.01</f>
        <v>10.736300000000002</v>
      </c>
      <c r="H20" s="554">
        <v>0</v>
      </c>
      <c r="I20" s="596">
        <v>3600</v>
      </c>
      <c r="J20" s="488">
        <v>0</v>
      </c>
      <c r="K20" s="488"/>
      <c r="L20" s="590">
        <v>3600</v>
      </c>
      <c r="M20" s="489"/>
      <c r="N20" s="489">
        <v>3600</v>
      </c>
      <c r="O20" s="489"/>
      <c r="P20" s="489">
        <v>3600</v>
      </c>
      <c r="Q20" s="489"/>
      <c r="R20" s="489"/>
      <c r="S20" s="493">
        <v>3600</v>
      </c>
      <c r="T20" s="224">
        <v>22680</v>
      </c>
      <c r="U20" s="226">
        <v>243499.28400000004</v>
      </c>
      <c r="V20" s="245">
        <v>206365.64319000003</v>
      </c>
      <c r="W20" s="363">
        <f t="shared" si="0"/>
        <v>18000</v>
      </c>
      <c r="X20" s="343">
        <f t="shared" si="1"/>
        <v>193253.40000000002</v>
      </c>
      <c r="Y20" s="343">
        <f t="shared" si="2"/>
        <v>163782.25650000002</v>
      </c>
      <c r="Z20" s="475">
        <f t="shared" si="3"/>
        <v>-4680</v>
      </c>
      <c r="AA20" s="522">
        <f t="shared" si="4"/>
        <v>18000</v>
      </c>
      <c r="AB20" s="523">
        <f t="shared" si="5"/>
        <v>193253.40000000002</v>
      </c>
      <c r="AC20" s="524">
        <f t="shared" si="6"/>
        <v>163782.25650000002</v>
      </c>
      <c r="AD20" s="45" t="s">
        <v>244</v>
      </c>
    </row>
    <row r="21" spans="1:30" s="2" customFormat="1" x14ac:dyDescent="0.2">
      <c r="A21" s="186" t="s">
        <v>41</v>
      </c>
      <c r="B21" s="186" t="s">
        <v>70</v>
      </c>
      <c r="C21" s="189" t="s">
        <v>66</v>
      </c>
      <c r="D21" s="244" t="s">
        <v>246</v>
      </c>
      <c r="E21" s="192" t="s">
        <v>262</v>
      </c>
      <c r="F21" s="187" t="s">
        <v>72</v>
      </c>
      <c r="G21" s="188">
        <f>21.66*1.01</f>
        <v>21.8766</v>
      </c>
      <c r="H21" s="541">
        <v>8000</v>
      </c>
      <c r="I21" s="596">
        <v>10000</v>
      </c>
      <c r="J21" s="494">
        <v>0</v>
      </c>
      <c r="K21" s="217">
        <v>11000</v>
      </c>
      <c r="L21" s="494"/>
      <c r="M21" s="495"/>
      <c r="N21" s="496">
        <v>0</v>
      </c>
      <c r="O21" s="496">
        <v>9000</v>
      </c>
      <c r="P21" s="489"/>
      <c r="Q21" s="489"/>
      <c r="R21" s="489">
        <v>11000</v>
      </c>
      <c r="S21" s="493"/>
      <c r="T21" s="224">
        <v>51100</v>
      </c>
      <c r="U21" s="226">
        <v>1117894.26</v>
      </c>
      <c r="V21" s="245">
        <v>947415.38535</v>
      </c>
      <c r="W21" s="363">
        <f t="shared" si="0"/>
        <v>49000</v>
      </c>
      <c r="X21" s="343">
        <f t="shared" si="1"/>
        <v>1071953.3999999999</v>
      </c>
      <c r="Y21" s="343">
        <f t="shared" si="2"/>
        <v>908480.5064999999</v>
      </c>
      <c r="Z21" s="475">
        <f t="shared" si="3"/>
        <v>-2100</v>
      </c>
      <c r="AA21" s="522">
        <f t="shared" si="4"/>
        <v>49000</v>
      </c>
      <c r="AB21" s="523">
        <f t="shared" si="5"/>
        <v>1071953.3999999999</v>
      </c>
      <c r="AC21" s="524">
        <f t="shared" si="6"/>
        <v>908480.5064999999</v>
      </c>
      <c r="AD21" s="45"/>
    </row>
    <row r="22" spans="1:30" s="2" customFormat="1" x14ac:dyDescent="0.2">
      <c r="A22" s="186" t="s">
        <v>41</v>
      </c>
      <c r="B22" s="186" t="s">
        <v>70</v>
      </c>
      <c r="C22" s="189" t="s">
        <v>66</v>
      </c>
      <c r="D22" s="244" t="s">
        <v>247</v>
      </c>
      <c r="E22" s="192" t="s">
        <v>265</v>
      </c>
      <c r="F22" s="187" t="s">
        <v>71</v>
      </c>
      <c r="G22" s="188">
        <f>21.66*1.01</f>
        <v>21.8766</v>
      </c>
      <c r="H22" s="556"/>
      <c r="I22" s="494"/>
      <c r="J22" s="494">
        <v>0</v>
      </c>
      <c r="K22" s="494"/>
      <c r="L22" s="494"/>
      <c r="M22" s="496"/>
      <c r="N22" s="496">
        <v>5400</v>
      </c>
      <c r="O22" s="497"/>
      <c r="P22" s="489"/>
      <c r="Q22" s="489">
        <v>0</v>
      </c>
      <c r="R22" s="489">
        <v>5400</v>
      </c>
      <c r="S22" s="493"/>
      <c r="T22" s="224">
        <v>23050</v>
      </c>
      <c r="U22" s="226">
        <v>504255.63</v>
      </c>
      <c r="V22" s="245">
        <v>427356.64642500004</v>
      </c>
      <c r="W22" s="363">
        <f t="shared" si="0"/>
        <v>10800</v>
      </c>
      <c r="X22" s="343">
        <f t="shared" si="1"/>
        <v>236267.28</v>
      </c>
      <c r="Y22" s="343">
        <f t="shared" si="2"/>
        <v>200236.51980000001</v>
      </c>
      <c r="Z22" s="475">
        <f t="shared" si="3"/>
        <v>-12250</v>
      </c>
      <c r="AA22" s="522">
        <f t="shared" si="4"/>
        <v>10800</v>
      </c>
      <c r="AB22" s="523">
        <f t="shared" si="5"/>
        <v>236267.28</v>
      </c>
      <c r="AC22" s="524">
        <f t="shared" si="6"/>
        <v>200236.51980000001</v>
      </c>
      <c r="AD22" s="45" t="s">
        <v>244</v>
      </c>
    </row>
    <row r="23" spans="1:30" s="2" customFormat="1" x14ac:dyDescent="0.2">
      <c r="A23" s="190" t="s">
        <v>41</v>
      </c>
      <c r="B23" s="190" t="s">
        <v>42</v>
      </c>
      <c r="C23" s="190" t="s">
        <v>43</v>
      </c>
      <c r="D23" s="192" t="s">
        <v>254</v>
      </c>
      <c r="E23" s="192" t="s">
        <v>267</v>
      </c>
      <c r="F23" s="192" t="s">
        <v>160</v>
      </c>
      <c r="G23" s="191">
        <v>19.559999999999999</v>
      </c>
      <c r="H23" s="541">
        <v>2200</v>
      </c>
      <c r="I23" s="596">
        <v>1100</v>
      </c>
      <c r="J23" s="592">
        <v>3300</v>
      </c>
      <c r="K23" s="216">
        <v>3300</v>
      </c>
      <c r="L23" s="216">
        <v>2200</v>
      </c>
      <c r="M23" s="488">
        <v>3300</v>
      </c>
      <c r="N23" s="498">
        <v>3300</v>
      </c>
      <c r="O23" s="498">
        <v>2200</v>
      </c>
      <c r="P23" s="498">
        <v>2200</v>
      </c>
      <c r="Q23" s="498">
        <v>2200</v>
      </c>
      <c r="R23" s="498">
        <v>2200</v>
      </c>
      <c r="S23" s="499">
        <v>3300</v>
      </c>
      <c r="T23" s="224">
        <v>37000</v>
      </c>
      <c r="U23" s="226">
        <v>723720</v>
      </c>
      <c r="V23" s="245">
        <v>613352.70000000007</v>
      </c>
      <c r="W23" s="363">
        <f t="shared" si="0"/>
        <v>30800</v>
      </c>
      <c r="X23" s="343">
        <f t="shared" si="1"/>
        <v>602448</v>
      </c>
      <c r="Y23" s="343">
        <f t="shared" si="2"/>
        <v>510574.68</v>
      </c>
      <c r="Z23" s="475">
        <f t="shared" si="3"/>
        <v>-6200</v>
      </c>
      <c r="AA23" s="522">
        <f t="shared" si="4"/>
        <v>30800</v>
      </c>
      <c r="AB23" s="523">
        <f t="shared" si="5"/>
        <v>602448</v>
      </c>
      <c r="AC23" s="524">
        <f t="shared" si="6"/>
        <v>510574.68</v>
      </c>
      <c r="AD23" s="45"/>
    </row>
    <row r="24" spans="1:30" s="2" customFormat="1" x14ac:dyDescent="0.2">
      <c r="A24" s="190" t="s">
        <v>41</v>
      </c>
      <c r="B24" s="190" t="s">
        <v>42</v>
      </c>
      <c r="C24" s="190" t="s">
        <v>43</v>
      </c>
      <c r="D24" s="192" t="s">
        <v>253</v>
      </c>
      <c r="E24" s="192" t="s">
        <v>268</v>
      </c>
      <c r="F24" s="192" t="s">
        <v>159</v>
      </c>
      <c r="G24" s="191">
        <v>19.559999999999999</v>
      </c>
      <c r="H24" s="557">
        <v>0</v>
      </c>
      <c r="I24" s="592">
        <v>1600</v>
      </c>
      <c r="J24" s="595">
        <v>-1450</v>
      </c>
      <c r="K24" s="595">
        <v>-1450</v>
      </c>
      <c r="L24" s="590">
        <v>4000</v>
      </c>
      <c r="M24" s="498">
        <v>2000</v>
      </c>
      <c r="N24" s="498">
        <v>2000</v>
      </c>
      <c r="O24" s="498">
        <v>2000</v>
      </c>
      <c r="P24" s="498">
        <v>2000</v>
      </c>
      <c r="Q24" s="498">
        <v>1600</v>
      </c>
      <c r="R24" s="498">
        <v>1500</v>
      </c>
      <c r="S24" s="499">
        <v>1475</v>
      </c>
      <c r="T24" s="224">
        <v>18275</v>
      </c>
      <c r="U24" s="226">
        <v>357459</v>
      </c>
      <c r="V24" s="245">
        <v>302946.5025</v>
      </c>
      <c r="W24" s="363">
        <f t="shared" si="0"/>
        <v>15275</v>
      </c>
      <c r="X24" s="343">
        <f t="shared" si="1"/>
        <v>298779</v>
      </c>
      <c r="Y24" s="343">
        <f t="shared" si="2"/>
        <v>253215.20250000001</v>
      </c>
      <c r="Z24" s="475">
        <f t="shared" si="3"/>
        <v>-3000</v>
      </c>
      <c r="AA24" s="522">
        <f t="shared" si="4"/>
        <v>15275</v>
      </c>
      <c r="AB24" s="523">
        <f t="shared" si="5"/>
        <v>298779</v>
      </c>
      <c r="AC24" s="524">
        <f t="shared" si="6"/>
        <v>253215.20250000001</v>
      </c>
      <c r="AD24" s="45"/>
    </row>
    <row r="25" spans="1:30" s="2" customFormat="1" ht="15" customHeight="1" x14ac:dyDescent="0.2">
      <c r="A25" s="190" t="s">
        <v>41</v>
      </c>
      <c r="B25" s="190" t="s">
        <v>42</v>
      </c>
      <c r="C25" s="190" t="s">
        <v>43</v>
      </c>
      <c r="D25" s="192" t="s">
        <v>250</v>
      </c>
      <c r="E25" s="192" t="s">
        <v>269</v>
      </c>
      <c r="F25" s="464" t="s">
        <v>220</v>
      </c>
      <c r="G25" s="191">
        <v>9.9499999999999993</v>
      </c>
      <c r="H25" s="555">
        <v>0</v>
      </c>
      <c r="I25" s="494">
        <v>0</v>
      </c>
      <c r="J25" s="494">
        <v>0</v>
      </c>
      <c r="K25" s="494"/>
      <c r="L25" s="494"/>
      <c r="M25" s="498"/>
      <c r="N25" s="498"/>
      <c r="O25" s="498"/>
      <c r="P25" s="498"/>
      <c r="Q25" s="498"/>
      <c r="R25" s="498"/>
      <c r="S25" s="499"/>
      <c r="T25" s="224">
        <v>0</v>
      </c>
      <c r="U25" s="226">
        <v>0</v>
      </c>
      <c r="V25" s="245">
        <v>0</v>
      </c>
      <c r="W25" s="363">
        <f t="shared" si="0"/>
        <v>0</v>
      </c>
      <c r="X25" s="343">
        <f t="shared" si="1"/>
        <v>0</v>
      </c>
      <c r="Y25" s="343">
        <f t="shared" si="2"/>
        <v>0</v>
      </c>
      <c r="Z25" s="475">
        <f t="shared" si="3"/>
        <v>0</v>
      </c>
      <c r="AA25" s="522">
        <f t="shared" si="4"/>
        <v>0</v>
      </c>
      <c r="AB25" s="523">
        <f t="shared" si="5"/>
        <v>0</v>
      </c>
      <c r="AC25" s="524">
        <f t="shared" si="6"/>
        <v>0</v>
      </c>
      <c r="AD25" s="45"/>
    </row>
    <row r="26" spans="1:30" s="2" customFormat="1" x14ac:dyDescent="0.2">
      <c r="A26" s="190" t="s">
        <v>41</v>
      </c>
      <c r="B26" s="190" t="s">
        <v>42</v>
      </c>
      <c r="C26" s="190" t="s">
        <v>43</v>
      </c>
      <c r="D26" s="192" t="s">
        <v>252</v>
      </c>
      <c r="E26" s="192" t="s">
        <v>270</v>
      </c>
      <c r="F26" s="466" t="s">
        <v>219</v>
      </c>
      <c r="G26" s="191">
        <v>9.9499999999999993</v>
      </c>
      <c r="H26" s="216">
        <v>0</v>
      </c>
      <c r="I26" s="498">
        <v>0</v>
      </c>
      <c r="J26" s="498">
        <v>0</v>
      </c>
      <c r="K26" s="498">
        <v>0</v>
      </c>
      <c r="L26" s="216">
        <v>0</v>
      </c>
      <c r="M26" s="216">
        <v>0</v>
      </c>
      <c r="N26" s="216">
        <v>0</v>
      </c>
      <c r="O26" s="216">
        <v>0</v>
      </c>
      <c r="P26" s="216">
        <v>0</v>
      </c>
      <c r="Q26" s="216">
        <v>0</v>
      </c>
      <c r="R26" s="216">
        <v>0</v>
      </c>
      <c r="S26" s="465">
        <v>0</v>
      </c>
      <c r="T26" s="120"/>
      <c r="U26" s="120"/>
      <c r="V26" s="120"/>
      <c r="W26" s="363">
        <f t="shared" si="0"/>
        <v>0</v>
      </c>
      <c r="X26" s="343">
        <f t="shared" si="1"/>
        <v>0</v>
      </c>
      <c r="Y26" s="343">
        <f t="shared" si="2"/>
        <v>0</v>
      </c>
      <c r="Z26" s="475">
        <f>W26-T45</f>
        <v>-9000</v>
      </c>
      <c r="AA26" s="522">
        <f t="shared" si="4"/>
        <v>0</v>
      </c>
      <c r="AB26" s="523">
        <f t="shared" si="5"/>
        <v>0</v>
      </c>
      <c r="AC26" s="524">
        <f t="shared" si="6"/>
        <v>0</v>
      </c>
      <c r="AD26" s="45"/>
    </row>
    <row r="27" spans="1:30" s="2" customFormat="1" ht="16" x14ac:dyDescent="0.2">
      <c r="A27" s="190" t="s">
        <v>41</v>
      </c>
      <c r="B27" s="190" t="s">
        <v>42</v>
      </c>
      <c r="C27" s="190" t="s">
        <v>43</v>
      </c>
      <c r="D27" s="192">
        <v>169</v>
      </c>
      <c r="E27" s="192" t="s">
        <v>267</v>
      </c>
      <c r="F27" s="192" t="s">
        <v>147</v>
      </c>
      <c r="G27" s="191">
        <v>13.27</v>
      </c>
      <c r="H27" s="541">
        <v>5400</v>
      </c>
      <c r="I27" s="596">
        <v>2000</v>
      </c>
      <c r="J27" s="593">
        <v>-3600</v>
      </c>
      <c r="K27" s="494">
        <v>0</v>
      </c>
      <c r="L27" s="590">
        <v>7000</v>
      </c>
      <c r="M27" s="498"/>
      <c r="N27" s="498">
        <v>3000</v>
      </c>
      <c r="O27" s="498"/>
      <c r="P27" s="498">
        <v>3000</v>
      </c>
      <c r="Q27" s="498"/>
      <c r="R27" s="498">
        <v>3000</v>
      </c>
      <c r="S27" s="499"/>
      <c r="T27" s="224">
        <v>13200</v>
      </c>
      <c r="U27" s="226">
        <v>175164</v>
      </c>
      <c r="V27" s="245">
        <v>148451.49000000002</v>
      </c>
      <c r="W27" s="363">
        <f t="shared" si="0"/>
        <v>19800</v>
      </c>
      <c r="X27" s="343">
        <f t="shared" si="1"/>
        <v>262746</v>
      </c>
      <c r="Y27" s="343">
        <f t="shared" si="2"/>
        <v>222677.23500000002</v>
      </c>
      <c r="Z27" s="475">
        <f t="shared" si="3"/>
        <v>6600</v>
      </c>
      <c r="AA27" s="522">
        <f t="shared" si="4"/>
        <v>19800</v>
      </c>
      <c r="AB27" s="523">
        <f t="shared" si="5"/>
        <v>262746</v>
      </c>
      <c r="AC27" s="524">
        <f t="shared" si="6"/>
        <v>222677.23500000002</v>
      </c>
      <c r="AD27" s="587" t="s">
        <v>242</v>
      </c>
    </row>
    <row r="28" spans="1:30" s="2" customFormat="1" x14ac:dyDescent="0.2">
      <c r="A28" s="131" t="s">
        <v>158</v>
      </c>
      <c r="B28" s="131" t="s">
        <v>78</v>
      </c>
      <c r="C28" s="131" t="s">
        <v>43</v>
      </c>
      <c r="D28" s="127" t="s">
        <v>257</v>
      </c>
      <c r="E28" s="127" t="s">
        <v>271</v>
      </c>
      <c r="F28" s="127" t="s">
        <v>79</v>
      </c>
      <c r="G28" s="67">
        <v>31.1</v>
      </c>
      <c r="H28" s="541">
        <v>5000</v>
      </c>
      <c r="I28" s="494"/>
      <c r="J28" s="294">
        <v>5400</v>
      </c>
      <c r="K28" s="597">
        <v>-3000</v>
      </c>
      <c r="L28" s="294">
        <v>4000</v>
      </c>
      <c r="M28" s="285"/>
      <c r="N28" s="285"/>
      <c r="O28" s="285"/>
      <c r="P28" s="285">
        <v>3000</v>
      </c>
      <c r="Q28" s="285">
        <v>2000</v>
      </c>
      <c r="R28" s="285"/>
      <c r="S28" s="500">
        <v>2000</v>
      </c>
      <c r="T28" s="224">
        <v>18000</v>
      </c>
      <c r="U28" s="226">
        <v>559800</v>
      </c>
      <c r="V28" s="245">
        <v>474430.5</v>
      </c>
      <c r="W28" s="363">
        <f t="shared" si="0"/>
        <v>18400</v>
      </c>
      <c r="X28" s="343">
        <f t="shared" si="1"/>
        <v>572240</v>
      </c>
      <c r="Y28" s="343">
        <f t="shared" si="2"/>
        <v>484973.4</v>
      </c>
      <c r="Z28" s="475">
        <f t="shared" si="3"/>
        <v>400</v>
      </c>
      <c r="AA28" s="355">
        <f t="shared" si="4"/>
        <v>18400</v>
      </c>
      <c r="AB28" s="523">
        <f t="shared" si="5"/>
        <v>572240</v>
      </c>
      <c r="AC28" s="524">
        <f t="shared" si="6"/>
        <v>484973.4</v>
      </c>
      <c r="AD28" s="45"/>
    </row>
    <row r="29" spans="1:30" s="2" customFormat="1" x14ac:dyDescent="0.2">
      <c r="A29" s="190" t="s">
        <v>41</v>
      </c>
      <c r="B29" s="190" t="s">
        <v>42</v>
      </c>
      <c r="C29" s="190" t="s">
        <v>43</v>
      </c>
      <c r="D29" s="192" t="s">
        <v>255</v>
      </c>
      <c r="E29" s="192" t="s">
        <v>272</v>
      </c>
      <c r="F29" s="192" t="s">
        <v>151</v>
      </c>
      <c r="G29" s="191">
        <v>59.48</v>
      </c>
      <c r="H29" s="541">
        <v>700</v>
      </c>
      <c r="I29" s="591">
        <v>500</v>
      </c>
      <c r="J29" s="592">
        <v>1000</v>
      </c>
      <c r="K29" s="501">
        <v>0</v>
      </c>
      <c r="L29" s="590">
        <v>1000</v>
      </c>
      <c r="M29" s="498"/>
      <c r="N29" s="498">
        <v>1000</v>
      </c>
      <c r="O29" s="498"/>
      <c r="P29" s="498">
        <v>1000</v>
      </c>
      <c r="Q29" s="498"/>
      <c r="R29" s="498">
        <v>1000</v>
      </c>
      <c r="S29" s="499">
        <v>500</v>
      </c>
      <c r="T29" s="224">
        <v>6500</v>
      </c>
      <c r="U29" s="226">
        <v>386620</v>
      </c>
      <c r="V29" s="245">
        <v>327660.45</v>
      </c>
      <c r="W29" s="363">
        <f t="shared" si="0"/>
        <v>6700</v>
      </c>
      <c r="X29" s="343">
        <f t="shared" si="1"/>
        <v>398516</v>
      </c>
      <c r="Y29" s="343">
        <f t="shared" si="2"/>
        <v>337742.31</v>
      </c>
      <c r="Z29" s="475">
        <f t="shared" si="3"/>
        <v>200</v>
      </c>
      <c r="AA29" s="355">
        <f t="shared" si="4"/>
        <v>6700</v>
      </c>
      <c r="AB29" s="523">
        <f t="shared" si="5"/>
        <v>398516</v>
      </c>
      <c r="AC29" s="524">
        <f t="shared" si="6"/>
        <v>337742.31</v>
      </c>
      <c r="AD29" s="45"/>
    </row>
    <row r="30" spans="1:30" s="2" customFormat="1" x14ac:dyDescent="0.2">
      <c r="A30" s="190" t="s">
        <v>41</v>
      </c>
      <c r="B30" s="190" t="s">
        <v>42</v>
      </c>
      <c r="C30" s="190" t="s">
        <v>43</v>
      </c>
      <c r="D30" s="192" t="s">
        <v>251</v>
      </c>
      <c r="E30" s="192" t="s">
        <v>260</v>
      </c>
      <c r="F30" s="192" t="s">
        <v>165</v>
      </c>
      <c r="G30" s="191">
        <v>10</v>
      </c>
      <c r="H30" s="555">
        <v>0</v>
      </c>
      <c r="I30" s="602">
        <v>4800</v>
      </c>
      <c r="J30" s="494">
        <v>0</v>
      </c>
      <c r="K30" s="494"/>
      <c r="L30" s="590">
        <v>2400</v>
      </c>
      <c r="M30" s="498"/>
      <c r="N30" s="498"/>
      <c r="O30" s="498">
        <v>3600</v>
      </c>
      <c r="P30" s="498"/>
      <c r="Q30" s="498"/>
      <c r="R30" s="498"/>
      <c r="S30" s="499">
        <v>2400</v>
      </c>
      <c r="T30" s="224">
        <v>8820</v>
      </c>
      <c r="U30" s="226">
        <v>88200</v>
      </c>
      <c r="V30" s="245">
        <v>74749.5</v>
      </c>
      <c r="W30" s="363">
        <f t="shared" si="0"/>
        <v>13200</v>
      </c>
      <c r="X30" s="343">
        <f t="shared" si="1"/>
        <v>132000</v>
      </c>
      <c r="Y30" s="343">
        <f t="shared" si="2"/>
        <v>111870</v>
      </c>
      <c r="Z30" s="475">
        <f t="shared" si="3"/>
        <v>4380</v>
      </c>
      <c r="AA30" s="355">
        <f t="shared" si="4"/>
        <v>13200</v>
      </c>
      <c r="AB30" s="523">
        <f t="shared" si="5"/>
        <v>132000</v>
      </c>
      <c r="AC30" s="524">
        <f t="shared" si="6"/>
        <v>111870</v>
      </c>
      <c r="AD30" s="45"/>
    </row>
    <row r="31" spans="1:30" s="2" customFormat="1" x14ac:dyDescent="0.2">
      <c r="A31" s="190" t="s">
        <v>41</v>
      </c>
      <c r="B31" s="190" t="s">
        <v>42</v>
      </c>
      <c r="C31" s="190" t="s">
        <v>43</v>
      </c>
      <c r="D31" s="192" t="s">
        <v>256</v>
      </c>
      <c r="E31" s="192" t="s">
        <v>261</v>
      </c>
      <c r="F31" s="192" t="s">
        <v>163</v>
      </c>
      <c r="G31" s="191">
        <v>10</v>
      </c>
      <c r="H31" s="557">
        <v>0</v>
      </c>
      <c r="I31" s="494">
        <v>0</v>
      </c>
      <c r="J31" s="494">
        <v>0</v>
      </c>
      <c r="K31" s="494">
        <v>0</v>
      </c>
      <c r="L31" s="494"/>
      <c r="M31" s="498"/>
      <c r="N31" s="498">
        <v>800</v>
      </c>
      <c r="O31" s="498"/>
      <c r="P31" s="498">
        <v>800</v>
      </c>
      <c r="Q31" s="498"/>
      <c r="R31" s="498">
        <v>800</v>
      </c>
      <c r="S31" s="499"/>
      <c r="T31" s="224">
        <v>4725</v>
      </c>
      <c r="U31" s="226">
        <v>47250</v>
      </c>
      <c r="V31" s="245">
        <v>40044.375</v>
      </c>
      <c r="W31" s="363">
        <f t="shared" si="0"/>
        <v>2400</v>
      </c>
      <c r="X31" s="343">
        <f t="shared" si="1"/>
        <v>24000</v>
      </c>
      <c r="Y31" s="343">
        <f t="shared" si="2"/>
        <v>20340</v>
      </c>
      <c r="Z31" s="475">
        <f t="shared" si="3"/>
        <v>-2325</v>
      </c>
      <c r="AA31" s="355">
        <f t="shared" si="4"/>
        <v>2400</v>
      </c>
      <c r="AB31" s="523">
        <f t="shared" si="5"/>
        <v>24000</v>
      </c>
      <c r="AC31" s="524">
        <f t="shared" si="6"/>
        <v>20340</v>
      </c>
      <c r="AD31" s="45"/>
    </row>
    <row r="32" spans="1:30" s="2" customFormat="1" x14ac:dyDescent="0.2">
      <c r="A32" s="190" t="s">
        <v>41</v>
      </c>
      <c r="B32" s="190" t="s">
        <v>42</v>
      </c>
      <c r="C32" s="190" t="s">
        <v>43</v>
      </c>
      <c r="D32" s="192" t="s">
        <v>248</v>
      </c>
      <c r="E32" s="192" t="s">
        <v>267</v>
      </c>
      <c r="F32" s="192" t="s">
        <v>164</v>
      </c>
      <c r="G32" s="191">
        <v>10.88</v>
      </c>
      <c r="H32" s="558">
        <v>0</v>
      </c>
      <c r="I32" s="494">
        <v>0</v>
      </c>
      <c r="J32" s="590">
        <v>1200</v>
      </c>
      <c r="K32" s="501"/>
      <c r="L32" s="590">
        <v>1200</v>
      </c>
      <c r="M32" s="498"/>
      <c r="N32" s="498"/>
      <c r="O32" s="498">
        <v>1200</v>
      </c>
      <c r="P32" s="498"/>
      <c r="Q32" s="498"/>
      <c r="R32" s="498"/>
      <c r="S32" s="499"/>
      <c r="T32" s="224">
        <v>8820</v>
      </c>
      <c r="U32" s="226">
        <v>95961.600000000006</v>
      </c>
      <c r="V32" s="245">
        <v>81327.456000000006</v>
      </c>
      <c r="W32" s="363">
        <f t="shared" si="0"/>
        <v>3600</v>
      </c>
      <c r="X32" s="343">
        <f t="shared" si="1"/>
        <v>39168</v>
      </c>
      <c r="Y32" s="343">
        <f t="shared" si="2"/>
        <v>33194.880000000005</v>
      </c>
      <c r="Z32" s="475">
        <f t="shared" si="3"/>
        <v>-5220</v>
      </c>
      <c r="AA32" s="355">
        <f t="shared" si="4"/>
        <v>3600</v>
      </c>
      <c r="AB32" s="523">
        <f t="shared" si="5"/>
        <v>39168</v>
      </c>
      <c r="AC32" s="524">
        <f t="shared" si="6"/>
        <v>33194.880000000005</v>
      </c>
      <c r="AD32" s="45"/>
    </row>
    <row r="33" spans="1:30" s="2" customFormat="1" x14ac:dyDescent="0.2">
      <c r="A33" s="190" t="s">
        <v>41</v>
      </c>
      <c r="B33" s="190" t="s">
        <v>42</v>
      </c>
      <c r="C33" s="190" t="s">
        <v>43</v>
      </c>
      <c r="D33" s="192" t="s">
        <v>246</v>
      </c>
      <c r="E33" s="192" t="s">
        <v>262</v>
      </c>
      <c r="F33" s="192" t="s">
        <v>72</v>
      </c>
      <c r="G33" s="191">
        <v>21</v>
      </c>
      <c r="H33" s="542">
        <v>0</v>
      </c>
      <c r="I33" s="494"/>
      <c r="J33" s="590">
        <v>1000</v>
      </c>
      <c r="K33" s="494"/>
      <c r="L33" s="590">
        <v>3000</v>
      </c>
      <c r="M33" s="498"/>
      <c r="N33" s="502">
        <v>1000</v>
      </c>
      <c r="O33" s="502"/>
      <c r="P33" s="503">
        <v>1000</v>
      </c>
      <c r="Q33" s="498"/>
      <c r="R33" s="498">
        <v>2000</v>
      </c>
      <c r="S33" s="499"/>
      <c r="T33" s="224">
        <v>0</v>
      </c>
      <c r="U33" s="226">
        <v>0</v>
      </c>
      <c r="V33" s="245">
        <v>0</v>
      </c>
      <c r="W33" s="363">
        <f t="shared" si="0"/>
        <v>8000</v>
      </c>
      <c r="X33" s="343">
        <f t="shared" si="1"/>
        <v>168000</v>
      </c>
      <c r="Y33" s="343">
        <f t="shared" si="2"/>
        <v>142380</v>
      </c>
      <c r="Z33" s="475">
        <f t="shared" si="3"/>
        <v>8000</v>
      </c>
      <c r="AA33" s="355">
        <f t="shared" si="4"/>
        <v>8000</v>
      </c>
      <c r="AB33" s="523">
        <f t="shared" si="5"/>
        <v>168000</v>
      </c>
      <c r="AC33" s="524">
        <f t="shared" si="6"/>
        <v>142380</v>
      </c>
      <c r="AD33" s="45"/>
    </row>
    <row r="34" spans="1:30" s="2" customFormat="1" x14ac:dyDescent="0.2">
      <c r="A34" s="190" t="s">
        <v>41</v>
      </c>
      <c r="B34" s="190" t="s">
        <v>61</v>
      </c>
      <c r="C34" s="190" t="s">
        <v>43</v>
      </c>
      <c r="D34" s="192" t="s">
        <v>247</v>
      </c>
      <c r="E34" s="192" t="s">
        <v>265</v>
      </c>
      <c r="F34" s="192" t="s">
        <v>71</v>
      </c>
      <c r="G34" s="191">
        <v>21</v>
      </c>
      <c r="H34" s="555">
        <v>0</v>
      </c>
      <c r="I34" s="494">
        <v>0</v>
      </c>
      <c r="J34" s="494">
        <v>0</v>
      </c>
      <c r="K34" s="494"/>
      <c r="L34" s="494"/>
      <c r="M34" s="504"/>
      <c r="N34" s="502"/>
      <c r="O34" s="502"/>
      <c r="P34" s="498"/>
      <c r="Q34" s="498"/>
      <c r="R34" s="498"/>
      <c r="S34" s="499"/>
      <c r="T34" s="224">
        <v>0</v>
      </c>
      <c r="U34" s="226">
        <v>0</v>
      </c>
      <c r="V34" s="245">
        <v>0</v>
      </c>
      <c r="W34" s="363">
        <f t="shared" si="0"/>
        <v>0</v>
      </c>
      <c r="X34" s="343">
        <f t="shared" si="1"/>
        <v>0</v>
      </c>
      <c r="Y34" s="343">
        <f t="shared" si="2"/>
        <v>0</v>
      </c>
      <c r="Z34" s="475">
        <f t="shared" si="3"/>
        <v>0</v>
      </c>
      <c r="AA34" s="355">
        <f t="shared" si="4"/>
        <v>0</v>
      </c>
      <c r="AB34" s="523">
        <f t="shared" si="5"/>
        <v>0</v>
      </c>
      <c r="AC34" s="524">
        <f t="shared" si="6"/>
        <v>0</v>
      </c>
      <c r="AD34" s="45"/>
    </row>
    <row r="35" spans="1:30" s="2" customFormat="1" x14ac:dyDescent="0.2">
      <c r="A35" s="190" t="s">
        <v>41</v>
      </c>
      <c r="B35" s="190" t="s">
        <v>42</v>
      </c>
      <c r="C35" s="190" t="s">
        <v>43</v>
      </c>
      <c r="D35" s="192" t="s">
        <v>247</v>
      </c>
      <c r="E35" s="192" t="s">
        <v>265</v>
      </c>
      <c r="F35" s="192" t="s">
        <v>132</v>
      </c>
      <c r="G35" s="191">
        <v>21</v>
      </c>
      <c r="H35" s="559">
        <v>0</v>
      </c>
      <c r="I35" s="505">
        <v>0</v>
      </c>
      <c r="J35" s="561">
        <v>0</v>
      </c>
      <c r="K35" s="590">
        <v>5400</v>
      </c>
      <c r="L35" s="505"/>
      <c r="M35" s="506"/>
      <c r="N35" s="506"/>
      <c r="O35" s="506"/>
      <c r="P35" s="505"/>
      <c r="Q35" s="505"/>
      <c r="R35" s="505"/>
      <c r="S35" s="507"/>
      <c r="T35" s="224">
        <v>0</v>
      </c>
      <c r="U35" s="226">
        <v>0</v>
      </c>
      <c r="V35" s="245">
        <v>0</v>
      </c>
      <c r="W35" s="363">
        <f t="shared" si="0"/>
        <v>5400</v>
      </c>
      <c r="X35" s="343">
        <f t="shared" si="1"/>
        <v>113400</v>
      </c>
      <c r="Y35" s="343">
        <f t="shared" si="2"/>
        <v>96106.5</v>
      </c>
      <c r="Z35" s="475">
        <f t="shared" si="3"/>
        <v>5400</v>
      </c>
      <c r="AA35" s="355">
        <f t="shared" si="4"/>
        <v>5400</v>
      </c>
      <c r="AB35" s="523">
        <f t="shared" si="5"/>
        <v>113400</v>
      </c>
      <c r="AC35" s="524">
        <f t="shared" si="6"/>
        <v>96106.5</v>
      </c>
      <c r="AD35" s="45"/>
    </row>
    <row r="36" spans="1:30" s="2" customFormat="1" ht="14.75" customHeight="1" x14ac:dyDescent="0.2">
      <c r="A36" s="190" t="s">
        <v>41</v>
      </c>
      <c r="B36" s="190" t="s">
        <v>42</v>
      </c>
      <c r="C36" s="190" t="s">
        <v>43</v>
      </c>
      <c r="D36" s="190" t="s">
        <v>258</v>
      </c>
      <c r="E36" s="190" t="s">
        <v>263</v>
      </c>
      <c r="F36" s="190" t="s">
        <v>145</v>
      </c>
      <c r="G36" s="191">
        <v>23</v>
      </c>
      <c r="H36" s="541">
        <v>2000</v>
      </c>
      <c r="I36" s="591">
        <v>0</v>
      </c>
      <c r="J36" s="594">
        <v>2000</v>
      </c>
      <c r="K36" s="590">
        <v>2000</v>
      </c>
      <c r="L36" s="494"/>
      <c r="M36" s="498">
        <v>2000</v>
      </c>
      <c r="N36" s="505"/>
      <c r="O36" s="498">
        <v>2000</v>
      </c>
      <c r="P36" s="498"/>
      <c r="Q36" s="498">
        <v>1000</v>
      </c>
      <c r="R36" s="498"/>
      <c r="S36" s="499">
        <v>1000</v>
      </c>
      <c r="T36" s="224">
        <v>16000</v>
      </c>
      <c r="U36" s="226">
        <v>368000</v>
      </c>
      <c r="V36" s="245">
        <v>311880</v>
      </c>
      <c r="W36" s="363">
        <f t="shared" si="0"/>
        <v>12000</v>
      </c>
      <c r="X36" s="343">
        <f t="shared" si="1"/>
        <v>276000</v>
      </c>
      <c r="Y36" s="343">
        <f t="shared" si="2"/>
        <v>233910</v>
      </c>
      <c r="Z36" s="475">
        <f t="shared" si="3"/>
        <v>-4000</v>
      </c>
      <c r="AA36" s="355">
        <f t="shared" si="4"/>
        <v>12000</v>
      </c>
      <c r="AB36" s="523">
        <f t="shared" si="5"/>
        <v>276000</v>
      </c>
      <c r="AC36" s="524">
        <f t="shared" si="6"/>
        <v>233910</v>
      </c>
      <c r="AD36" s="45"/>
    </row>
    <row r="37" spans="1:30" s="2" customFormat="1" x14ac:dyDescent="0.2">
      <c r="A37" s="190" t="s">
        <v>41</v>
      </c>
      <c r="B37" s="190" t="s">
        <v>42</v>
      </c>
      <c r="C37" s="190" t="s">
        <v>43</v>
      </c>
      <c r="D37" s="190" t="s">
        <v>253</v>
      </c>
      <c r="E37" s="190" t="s">
        <v>264</v>
      </c>
      <c r="F37" s="190" t="s">
        <v>146</v>
      </c>
      <c r="G37" s="191">
        <v>23</v>
      </c>
      <c r="H37" s="560">
        <v>0</v>
      </c>
      <c r="I37" s="601">
        <v>2000</v>
      </c>
      <c r="J37" s="561"/>
      <c r="K37" s="590">
        <v>1500</v>
      </c>
      <c r="L37" s="590">
        <v>1500</v>
      </c>
      <c r="M37" s="498"/>
      <c r="N37" s="498">
        <v>2400</v>
      </c>
      <c r="O37" s="498"/>
      <c r="P37" s="498">
        <v>2500</v>
      </c>
      <c r="Q37" s="498"/>
      <c r="R37" s="498">
        <v>2500</v>
      </c>
      <c r="S37" s="499"/>
      <c r="T37" s="224">
        <v>14500</v>
      </c>
      <c r="U37" s="226">
        <v>333500</v>
      </c>
      <c r="V37" s="245">
        <v>282641.25</v>
      </c>
      <c r="W37" s="363">
        <f t="shared" si="0"/>
        <v>12400</v>
      </c>
      <c r="X37" s="343">
        <f t="shared" si="1"/>
        <v>285200</v>
      </c>
      <c r="Y37" s="343">
        <f t="shared" si="2"/>
        <v>241707</v>
      </c>
      <c r="Z37" s="475">
        <f t="shared" si="3"/>
        <v>-2100</v>
      </c>
      <c r="AA37" s="355">
        <f t="shared" si="4"/>
        <v>12400</v>
      </c>
      <c r="AB37" s="523">
        <f t="shared" si="5"/>
        <v>285200</v>
      </c>
      <c r="AC37" s="524">
        <f t="shared" si="6"/>
        <v>241707</v>
      </c>
      <c r="AD37" s="45"/>
    </row>
    <row r="38" spans="1:30" s="2" customFormat="1" x14ac:dyDescent="0.2">
      <c r="A38" s="14"/>
      <c r="G38" s="97" t="s">
        <v>190</v>
      </c>
      <c r="H38" s="311">
        <f>SUM(H17:H37)</f>
        <v>23300</v>
      </c>
      <c r="I38" s="311">
        <f t="shared" ref="I38:S38" si="7">SUM(I17:I37)</f>
        <v>42700</v>
      </c>
      <c r="J38" s="311">
        <f t="shared" si="7"/>
        <v>33750</v>
      </c>
      <c r="K38" s="311">
        <f t="shared" si="7"/>
        <v>35250</v>
      </c>
      <c r="L38" s="310">
        <f t="shared" si="7"/>
        <v>38300</v>
      </c>
      <c r="M38" s="310">
        <f t="shared" si="7"/>
        <v>20500</v>
      </c>
      <c r="N38" s="310">
        <f t="shared" si="7"/>
        <v>30900</v>
      </c>
      <c r="O38" s="310">
        <f t="shared" si="7"/>
        <v>20000</v>
      </c>
      <c r="P38" s="310">
        <f t="shared" si="7"/>
        <v>32300</v>
      </c>
      <c r="Q38" s="310">
        <f t="shared" si="7"/>
        <v>15200</v>
      </c>
      <c r="R38" s="310">
        <f t="shared" si="7"/>
        <v>29400</v>
      </c>
      <c r="S38" s="310">
        <f t="shared" si="7"/>
        <v>14275</v>
      </c>
      <c r="T38" s="368">
        <v>372870</v>
      </c>
      <c r="U38" s="369">
        <v>6495085.6040000003</v>
      </c>
      <c r="V38" s="370">
        <v>5504585.0493900012</v>
      </c>
      <c r="W38" s="367">
        <f>SUM(W17:W37)</f>
        <v>335875</v>
      </c>
      <c r="X38" s="317">
        <f>SUM(X17:X37)</f>
        <v>5861145.1199999992</v>
      </c>
      <c r="Y38" s="317">
        <f>X38*0.8475</f>
        <v>4967320.4891999997</v>
      </c>
      <c r="Z38" s="317">
        <f>SUM(Z17:Z37)</f>
        <v>-45995</v>
      </c>
      <c r="AA38" s="535">
        <f>SUM(AA17:AA37)</f>
        <v>335875</v>
      </c>
      <c r="AB38" s="536">
        <f>SUM(AB17:AB37)</f>
        <v>5861145.1199999992</v>
      </c>
      <c r="AC38" s="537">
        <f>SUM(AC17:AC37)</f>
        <v>4967320.4892000007</v>
      </c>
    </row>
    <row r="39" spans="1:30" s="2" customFormat="1" ht="16" thickBot="1" x14ac:dyDescent="0.25">
      <c r="A39" s="566" t="s">
        <v>236</v>
      </c>
      <c r="G39" s="97" t="s">
        <v>39</v>
      </c>
      <c r="H39" s="599">
        <f>H88</f>
        <v>532838.80000000005</v>
      </c>
      <c r="I39" s="599">
        <f t="shared" ref="I39:S39" si="8">I88</f>
        <v>644829.04</v>
      </c>
      <c r="J39" s="599">
        <f t="shared" si="8"/>
        <v>564439.92000000004</v>
      </c>
      <c r="K39" s="600">
        <f t="shared" si="8"/>
        <v>555793.6</v>
      </c>
      <c r="L39" s="600">
        <f t="shared" si="8"/>
        <v>661433.60000000009</v>
      </c>
      <c r="M39" s="600">
        <f t="shared" si="8"/>
        <v>292360</v>
      </c>
      <c r="N39" s="600">
        <f t="shared" si="8"/>
        <v>534127.24</v>
      </c>
      <c r="O39" s="600">
        <f t="shared" si="8"/>
        <v>374097.4</v>
      </c>
      <c r="P39" s="600">
        <f t="shared" si="8"/>
        <v>542584.67999999993</v>
      </c>
      <c r="Q39" s="600">
        <f t="shared" si="8"/>
        <v>249712.92</v>
      </c>
      <c r="R39" s="600">
        <f t="shared" si="8"/>
        <v>637938.24</v>
      </c>
      <c r="S39" s="600">
        <f t="shared" si="8"/>
        <v>270989.68</v>
      </c>
      <c r="T39" s="319">
        <f>SUM(H38:S38)</f>
        <v>335875</v>
      </c>
      <c r="U39" s="314">
        <f>SUM(H39:S39)</f>
        <v>5861145.1200000001</v>
      </c>
      <c r="V39" s="330">
        <f>U39*0.8475</f>
        <v>4967320.4892000007</v>
      </c>
      <c r="W39" s="318"/>
      <c r="X39" s="319">
        <f>X38*0.8475</f>
        <v>4967320.4891999997</v>
      </c>
      <c r="Y39" s="319">
        <f>X39*0.8475</f>
        <v>4209804.1145970002</v>
      </c>
      <c r="Z39" s="319"/>
    </row>
    <row r="40" spans="1:30" s="2" customFormat="1" ht="16" x14ac:dyDescent="0.2">
      <c r="A40" s="567" t="s">
        <v>237</v>
      </c>
      <c r="B40" s="568"/>
      <c r="G40" s="14"/>
      <c r="H40" s="11"/>
      <c r="S40" s="2" t="s">
        <v>191</v>
      </c>
      <c r="T40" s="332"/>
      <c r="U40" s="296" t="s">
        <v>227</v>
      </c>
      <c r="V40" s="514">
        <v>5232965.87</v>
      </c>
    </row>
    <row r="41" spans="1:30" s="2" customFormat="1" ht="16" thickBot="1" x14ac:dyDescent="0.25">
      <c r="A41" s="569" t="s">
        <v>238</v>
      </c>
      <c r="G41" s="14"/>
      <c r="H41" s="11"/>
      <c r="T41" s="11"/>
      <c r="U41" s="277"/>
    </row>
    <row r="42" spans="1:30" s="2" customFormat="1" ht="33" thickBot="1" x14ac:dyDescent="0.25">
      <c r="A42" s="14"/>
      <c r="F42" s="584" t="s">
        <v>204</v>
      </c>
      <c r="G42" s="14"/>
      <c r="H42" s="353" t="s">
        <v>133</v>
      </c>
      <c r="I42" s="353" t="s">
        <v>134</v>
      </c>
      <c r="J42" s="353" t="s">
        <v>135</v>
      </c>
      <c r="K42" s="353" t="s">
        <v>136</v>
      </c>
      <c r="L42" s="351" t="s">
        <v>137</v>
      </c>
      <c r="M42" s="351" t="s">
        <v>138</v>
      </c>
      <c r="N42" s="351" t="s">
        <v>139</v>
      </c>
      <c r="O42" s="351" t="s">
        <v>140</v>
      </c>
      <c r="P42" s="351" t="s">
        <v>141</v>
      </c>
      <c r="Q42" s="351" t="s">
        <v>142</v>
      </c>
      <c r="R42" s="351" t="s">
        <v>143</v>
      </c>
      <c r="S42" s="352" t="s">
        <v>144</v>
      </c>
      <c r="T42" s="274" t="s">
        <v>198</v>
      </c>
      <c r="U42" s="274" t="s">
        <v>199</v>
      </c>
      <c r="V42" s="274" t="s">
        <v>200</v>
      </c>
      <c r="W42" s="215" t="s">
        <v>167</v>
      </c>
      <c r="X42" s="325" t="s">
        <v>196</v>
      </c>
      <c r="Y42" s="329" t="s">
        <v>197</v>
      </c>
      <c r="Z42" s="306" t="s">
        <v>169</v>
      </c>
      <c r="AA42" s="534" t="s">
        <v>224</v>
      </c>
      <c r="AB42" s="534" t="s">
        <v>225</v>
      </c>
      <c r="AC42" s="534" t="s">
        <v>226</v>
      </c>
      <c r="AD42" s="45" t="s">
        <v>229</v>
      </c>
    </row>
    <row r="43" spans="1:30" s="2" customFormat="1" x14ac:dyDescent="0.2">
      <c r="A43" s="64" t="s">
        <v>74</v>
      </c>
      <c r="B43" s="45" t="s">
        <v>70</v>
      </c>
      <c r="C43" s="45" t="s">
        <v>89</v>
      </c>
      <c r="D43" s="45"/>
      <c r="E43" s="192" t="s">
        <v>270</v>
      </c>
      <c r="F43" s="45" t="s">
        <v>81</v>
      </c>
      <c r="G43" s="182">
        <v>9.9499999999999993</v>
      </c>
      <c r="H43" s="285">
        <v>0</v>
      </c>
      <c r="I43" s="285">
        <v>0</v>
      </c>
      <c r="J43" s="285">
        <v>0</v>
      </c>
      <c r="K43" s="45"/>
      <c r="L43" s="45"/>
      <c r="M43" s="45"/>
      <c r="N43" s="45"/>
      <c r="O43" s="45"/>
      <c r="P43" s="45"/>
      <c r="Q43" s="45"/>
      <c r="R43" s="45"/>
      <c r="S43" s="45"/>
      <c r="T43" s="516">
        <v>0</v>
      </c>
      <c r="U43" s="516">
        <v>0</v>
      </c>
      <c r="V43" s="519">
        <v>0</v>
      </c>
      <c r="W43" s="336">
        <f>SUM(H43:S43)</f>
        <v>0</v>
      </c>
      <c r="X43" s="337">
        <f>G43*W43</f>
        <v>0</v>
      </c>
      <c r="Y43" s="338">
        <f>X43*0.8475</f>
        <v>0</v>
      </c>
      <c r="Z43" s="532">
        <f>W43-T43</f>
        <v>0</v>
      </c>
      <c r="AA43" s="527">
        <f>SUM(H43:S43)</f>
        <v>0</v>
      </c>
      <c r="AB43" s="525">
        <f>G43*AA43</f>
        <v>0</v>
      </c>
      <c r="AC43" s="526">
        <f>G43*AA43</f>
        <v>0</v>
      </c>
      <c r="AD43" s="45"/>
    </row>
    <row r="44" spans="1:30" s="2" customFormat="1" x14ac:dyDescent="0.2">
      <c r="A44" s="64" t="s">
        <v>74</v>
      </c>
      <c r="B44" s="45" t="s">
        <v>61</v>
      </c>
      <c r="C44" s="45" t="s">
        <v>80</v>
      </c>
      <c r="D44" s="45"/>
      <c r="E44" s="192" t="s">
        <v>270</v>
      </c>
      <c r="F44" s="45" t="s">
        <v>81</v>
      </c>
      <c r="G44" s="182">
        <v>9.9499999999999993</v>
      </c>
      <c r="H44" s="285">
        <v>0</v>
      </c>
      <c r="I44" s="285">
        <v>0</v>
      </c>
      <c r="J44" s="285">
        <v>0</v>
      </c>
      <c r="K44" s="45"/>
      <c r="L44" s="45"/>
      <c r="M44" s="45"/>
      <c r="N44" s="183"/>
      <c r="O44" s="45"/>
      <c r="P44" s="45"/>
      <c r="Q44" s="45"/>
      <c r="R44" s="45"/>
      <c r="S44" s="193"/>
      <c r="T44" s="515">
        <v>0</v>
      </c>
      <c r="U44" s="515">
        <v>0</v>
      </c>
      <c r="V44" s="520">
        <v>0</v>
      </c>
      <c r="W44" s="342">
        <f t="shared" ref="W44:W51" si="9">SUM(H44:S44)</f>
        <v>0</v>
      </c>
      <c r="X44" s="343">
        <f t="shared" ref="X44:X51" si="10">G44*W44</f>
        <v>0</v>
      </c>
      <c r="Y44" s="344">
        <f t="shared" ref="Y44:Y51" si="11">X44*0.8475</f>
        <v>0</v>
      </c>
      <c r="Z44" s="532">
        <f t="shared" ref="Z44:Z51" si="12">W44-T44</f>
        <v>0</v>
      </c>
      <c r="AA44" s="527">
        <f t="shared" ref="AA44:AA51" si="13">SUM(H44:S44)</f>
        <v>0</v>
      </c>
      <c r="AB44" s="525">
        <f t="shared" ref="AB44:AB51" si="14">G44*AA44</f>
        <v>0</v>
      </c>
      <c r="AC44" s="526">
        <f t="shared" ref="AC44:AC51" si="15">G44*AA44</f>
        <v>0</v>
      </c>
      <c r="AD44" s="45"/>
    </row>
    <row r="45" spans="1:30" s="2" customFormat="1" ht="14" customHeight="1" x14ac:dyDescent="0.2">
      <c r="A45" s="64" t="s">
        <v>74</v>
      </c>
      <c r="B45" s="45" t="s">
        <v>61</v>
      </c>
      <c r="C45" s="467" t="s">
        <v>83</v>
      </c>
      <c r="D45" s="45"/>
      <c r="E45" s="192" t="s">
        <v>270</v>
      </c>
      <c r="F45" s="467" t="s">
        <v>81</v>
      </c>
      <c r="G45" s="182">
        <v>9.9499999999999993</v>
      </c>
      <c r="H45" s="539">
        <v>1800</v>
      </c>
      <c r="I45" s="294">
        <v>1800</v>
      </c>
      <c r="J45" s="294">
        <v>0</v>
      </c>
      <c r="K45" s="216">
        <v>1800</v>
      </c>
      <c r="L45" s="216">
        <v>1800</v>
      </c>
      <c r="M45" s="216"/>
      <c r="N45" s="216">
        <v>1800</v>
      </c>
      <c r="O45" s="216"/>
      <c r="P45" s="216">
        <v>1800</v>
      </c>
      <c r="Q45" s="216"/>
      <c r="R45" s="216"/>
      <c r="S45" s="465">
        <v>1800</v>
      </c>
      <c r="T45" s="224">
        <v>9000</v>
      </c>
      <c r="U45" s="226">
        <v>89550</v>
      </c>
      <c r="V45" s="245">
        <v>75893.625</v>
      </c>
      <c r="W45" s="342">
        <f t="shared" si="9"/>
        <v>12600</v>
      </c>
      <c r="X45" s="343">
        <f t="shared" si="10"/>
        <v>125369.99999999999</v>
      </c>
      <c r="Y45" s="344">
        <f t="shared" si="11"/>
        <v>106251.075</v>
      </c>
      <c r="Z45" s="532">
        <f t="shared" si="12"/>
        <v>3600</v>
      </c>
      <c r="AA45" s="527">
        <f t="shared" si="13"/>
        <v>12600</v>
      </c>
      <c r="AB45" s="525">
        <f t="shared" si="14"/>
        <v>125369.99999999999</v>
      </c>
      <c r="AC45" s="526">
        <f t="shared" si="15"/>
        <v>125369.99999999999</v>
      </c>
      <c r="AD45" s="45"/>
    </row>
    <row r="46" spans="1:30" s="2" customFormat="1" x14ac:dyDescent="0.2">
      <c r="A46" s="64" t="s">
        <v>74</v>
      </c>
      <c r="B46" s="45" t="s">
        <v>70</v>
      </c>
      <c r="C46" s="45" t="s">
        <v>87</v>
      </c>
      <c r="D46" s="45"/>
      <c r="E46" s="45" t="s">
        <v>273</v>
      </c>
      <c r="F46" s="45" t="s">
        <v>88</v>
      </c>
      <c r="G46" s="182">
        <v>13.27</v>
      </c>
      <c r="H46" s="285">
        <v>0</v>
      </c>
      <c r="I46" s="285">
        <v>0</v>
      </c>
      <c r="J46" s="285">
        <v>0</v>
      </c>
      <c r="K46" s="45"/>
      <c r="L46" s="45"/>
      <c r="M46" s="45"/>
      <c r="N46" s="45"/>
      <c r="O46" s="184"/>
      <c r="P46" s="45"/>
      <c r="Q46" s="45"/>
      <c r="R46" s="45"/>
      <c r="S46" s="193"/>
      <c r="T46" s="515">
        <v>0</v>
      </c>
      <c r="U46" s="515">
        <v>0</v>
      </c>
      <c r="V46" s="520">
        <v>0</v>
      </c>
      <c r="W46" s="342">
        <f t="shared" si="9"/>
        <v>0</v>
      </c>
      <c r="X46" s="343">
        <f t="shared" si="10"/>
        <v>0</v>
      </c>
      <c r="Y46" s="344">
        <f t="shared" si="11"/>
        <v>0</v>
      </c>
      <c r="Z46" s="532">
        <f t="shared" si="12"/>
        <v>0</v>
      </c>
      <c r="AA46" s="527">
        <f t="shared" si="13"/>
        <v>0</v>
      </c>
      <c r="AB46" s="525">
        <f t="shared" si="14"/>
        <v>0</v>
      </c>
      <c r="AC46" s="526">
        <f t="shared" si="15"/>
        <v>0</v>
      </c>
      <c r="AD46" s="45"/>
    </row>
    <row r="47" spans="1:30" s="2" customFormat="1" x14ac:dyDescent="0.2">
      <c r="A47" s="64" t="s">
        <v>74</v>
      </c>
      <c r="B47" s="45" t="s">
        <v>70</v>
      </c>
      <c r="C47" s="45" t="s">
        <v>87</v>
      </c>
      <c r="D47" s="45"/>
      <c r="E47" s="192" t="s">
        <v>272</v>
      </c>
      <c r="F47" s="45" t="s">
        <v>148</v>
      </c>
      <c r="G47" s="182">
        <v>59.48</v>
      </c>
      <c r="H47" s="285"/>
      <c r="I47" s="285"/>
      <c r="J47" s="285"/>
      <c r="K47" s="45"/>
      <c r="L47" s="45"/>
      <c r="M47" s="45"/>
      <c r="N47" s="45"/>
      <c r="O47" s="45"/>
      <c r="P47" s="45"/>
      <c r="Q47" s="45"/>
      <c r="R47" s="45"/>
      <c r="S47" s="193"/>
      <c r="T47" s="515">
        <v>0</v>
      </c>
      <c r="U47" s="515">
        <v>0</v>
      </c>
      <c r="V47" s="520">
        <v>0</v>
      </c>
      <c r="W47" s="342">
        <f t="shared" si="9"/>
        <v>0</v>
      </c>
      <c r="X47" s="343">
        <f t="shared" si="10"/>
        <v>0</v>
      </c>
      <c r="Y47" s="344">
        <f t="shared" si="11"/>
        <v>0</v>
      </c>
      <c r="Z47" s="532">
        <f t="shared" si="12"/>
        <v>0</v>
      </c>
      <c r="AA47" s="527">
        <f t="shared" si="13"/>
        <v>0</v>
      </c>
      <c r="AB47" s="525">
        <f t="shared" si="14"/>
        <v>0</v>
      </c>
      <c r="AC47" s="526">
        <f t="shared" si="15"/>
        <v>0</v>
      </c>
      <c r="AD47" s="45"/>
    </row>
    <row r="48" spans="1:30" s="2" customFormat="1" x14ac:dyDescent="0.2">
      <c r="A48" s="64" t="s">
        <v>74</v>
      </c>
      <c r="B48" s="45" t="s">
        <v>70</v>
      </c>
      <c r="C48" s="45" t="s">
        <v>80</v>
      </c>
      <c r="D48" s="45"/>
      <c r="E48" s="192" t="s">
        <v>272</v>
      </c>
      <c r="F48" s="45" t="s">
        <v>149</v>
      </c>
      <c r="G48" s="182">
        <v>59.48</v>
      </c>
      <c r="H48" s="539">
        <v>80</v>
      </c>
      <c r="I48" s="294">
        <v>80</v>
      </c>
      <c r="J48" s="294">
        <v>80</v>
      </c>
      <c r="K48" s="294">
        <v>80</v>
      </c>
      <c r="L48" s="598">
        <v>80</v>
      </c>
      <c r="M48" s="588"/>
      <c r="N48" s="588">
        <v>80</v>
      </c>
      <c r="O48" s="588"/>
      <c r="P48" s="588">
        <v>80</v>
      </c>
      <c r="Q48" s="588"/>
      <c r="R48" s="588">
        <v>80</v>
      </c>
      <c r="S48" s="589"/>
      <c r="T48" s="515">
        <v>0</v>
      </c>
      <c r="U48" s="515">
        <v>0</v>
      </c>
      <c r="V48" s="520">
        <v>0</v>
      </c>
      <c r="W48" s="342">
        <f t="shared" si="9"/>
        <v>640</v>
      </c>
      <c r="X48" s="343">
        <f t="shared" si="10"/>
        <v>38067.199999999997</v>
      </c>
      <c r="Y48" s="344">
        <f t="shared" si="11"/>
        <v>32261.951999999997</v>
      </c>
      <c r="Z48" s="532">
        <f t="shared" si="12"/>
        <v>640</v>
      </c>
      <c r="AA48" s="527">
        <f t="shared" si="13"/>
        <v>640</v>
      </c>
      <c r="AB48" s="525">
        <f t="shared" si="14"/>
        <v>38067.199999999997</v>
      </c>
      <c r="AC48" s="526">
        <f t="shared" si="15"/>
        <v>38067.199999999997</v>
      </c>
      <c r="AD48" s="45" t="s">
        <v>243</v>
      </c>
    </row>
    <row r="49" spans="1:30" s="2" customFormat="1" ht="14.75" customHeight="1" x14ac:dyDescent="0.2">
      <c r="A49" s="64" t="s">
        <v>74</v>
      </c>
      <c r="B49" s="45" t="s">
        <v>70</v>
      </c>
      <c r="C49" s="45" t="s">
        <v>75</v>
      </c>
      <c r="D49" s="45"/>
      <c r="E49" s="192" t="s">
        <v>272</v>
      </c>
      <c r="F49" s="45" t="s">
        <v>149</v>
      </c>
      <c r="G49" s="182">
        <v>59.48</v>
      </c>
      <c r="H49" s="285"/>
      <c r="I49" s="285"/>
      <c r="J49" s="285"/>
      <c r="K49" s="45"/>
      <c r="L49" s="45"/>
      <c r="M49" s="45"/>
      <c r="N49" s="45"/>
      <c r="O49" s="45"/>
      <c r="P49" s="45"/>
      <c r="Q49" s="45"/>
      <c r="R49" s="45"/>
      <c r="S49" s="193"/>
      <c r="T49" s="515">
        <v>0</v>
      </c>
      <c r="U49" s="515">
        <v>0</v>
      </c>
      <c r="V49" s="520">
        <v>0</v>
      </c>
      <c r="W49" s="342">
        <f t="shared" si="9"/>
        <v>0</v>
      </c>
      <c r="X49" s="343">
        <f t="shared" si="10"/>
        <v>0</v>
      </c>
      <c r="Y49" s="344">
        <f t="shared" si="11"/>
        <v>0</v>
      </c>
      <c r="Z49" s="532">
        <f t="shared" si="12"/>
        <v>0</v>
      </c>
      <c r="AA49" s="527">
        <f t="shared" si="13"/>
        <v>0</v>
      </c>
      <c r="AB49" s="525">
        <f t="shared" si="14"/>
        <v>0</v>
      </c>
      <c r="AC49" s="526">
        <f t="shared" si="15"/>
        <v>0</v>
      </c>
      <c r="AD49" s="45"/>
    </row>
    <row r="50" spans="1:30" s="2" customFormat="1" x14ac:dyDescent="0.2">
      <c r="A50" s="64" t="s">
        <v>74</v>
      </c>
      <c r="B50" s="45" t="s">
        <v>70</v>
      </c>
      <c r="C50" s="45" t="s">
        <v>77</v>
      </c>
      <c r="D50" s="45"/>
      <c r="E50" s="192" t="s">
        <v>265</v>
      </c>
      <c r="F50" s="45" t="s">
        <v>150</v>
      </c>
      <c r="G50" s="182">
        <f>21.66*1.01</f>
        <v>21.8766</v>
      </c>
      <c r="H50" s="285">
        <v>0</v>
      </c>
      <c r="I50" s="285">
        <v>0</v>
      </c>
      <c r="J50" s="285">
        <v>0</v>
      </c>
      <c r="K50" s="45"/>
      <c r="L50" s="45"/>
      <c r="M50" s="45"/>
      <c r="N50" s="45"/>
      <c r="O50" s="45"/>
      <c r="P50" s="45"/>
      <c r="Q50" s="45"/>
      <c r="R50" s="45"/>
      <c r="S50" s="193"/>
      <c r="T50" s="515">
        <v>0</v>
      </c>
      <c r="U50" s="515">
        <v>0</v>
      </c>
      <c r="V50" s="520">
        <v>0</v>
      </c>
      <c r="W50" s="342">
        <f t="shared" si="9"/>
        <v>0</v>
      </c>
      <c r="X50" s="343">
        <f t="shared" si="10"/>
        <v>0</v>
      </c>
      <c r="Y50" s="344">
        <f t="shared" si="11"/>
        <v>0</v>
      </c>
      <c r="Z50" s="532">
        <f t="shared" si="12"/>
        <v>0</v>
      </c>
      <c r="AA50" s="527">
        <f t="shared" si="13"/>
        <v>0</v>
      </c>
      <c r="AB50" s="525">
        <f t="shared" si="14"/>
        <v>0</v>
      </c>
      <c r="AC50" s="526">
        <f t="shared" si="15"/>
        <v>0</v>
      </c>
      <c r="AD50" s="45"/>
    </row>
    <row r="51" spans="1:30" s="2" customFormat="1" x14ac:dyDescent="0.2">
      <c r="A51" s="64" t="s">
        <v>74</v>
      </c>
      <c r="B51" s="45" t="s">
        <v>70</v>
      </c>
      <c r="C51" s="45" t="s">
        <v>89</v>
      </c>
      <c r="D51" s="45"/>
      <c r="E51" s="192" t="s">
        <v>265</v>
      </c>
      <c r="F51" s="45" t="s">
        <v>150</v>
      </c>
      <c r="G51" s="182">
        <f>21.66*1.01</f>
        <v>21.8766</v>
      </c>
      <c r="H51" s="285"/>
      <c r="I51" s="285"/>
      <c r="J51" s="285"/>
      <c r="K51" s="45"/>
      <c r="L51" s="45"/>
      <c r="M51" s="45"/>
      <c r="N51" s="45"/>
      <c r="O51" s="45"/>
      <c r="P51" s="45"/>
      <c r="Q51" s="45"/>
      <c r="R51" s="45"/>
      <c r="S51" s="193"/>
      <c r="T51" s="515">
        <v>0</v>
      </c>
      <c r="U51" s="515">
        <v>0</v>
      </c>
      <c r="V51" s="520">
        <v>0</v>
      </c>
      <c r="W51" s="342">
        <f t="shared" si="9"/>
        <v>0</v>
      </c>
      <c r="X51" s="343">
        <f t="shared" si="10"/>
        <v>0</v>
      </c>
      <c r="Y51" s="344">
        <f t="shared" si="11"/>
        <v>0</v>
      </c>
      <c r="Z51" s="532">
        <f t="shared" si="12"/>
        <v>0</v>
      </c>
      <c r="AA51" s="527">
        <f t="shared" si="13"/>
        <v>0</v>
      </c>
      <c r="AB51" s="525">
        <f t="shared" si="14"/>
        <v>0</v>
      </c>
      <c r="AC51" s="526">
        <f t="shared" si="15"/>
        <v>0</v>
      </c>
      <c r="AD51" s="45"/>
    </row>
    <row r="52" spans="1:30" s="2" customFormat="1" ht="15.5" customHeight="1" x14ac:dyDescent="0.2">
      <c r="H52" s="545">
        <f>SUM(H43:H51)</f>
        <v>1880</v>
      </c>
      <c r="I52" s="545">
        <f t="shared" ref="I52:S52" si="16">SUM(I43:I51)</f>
        <v>1880</v>
      </c>
      <c r="J52" s="545">
        <f t="shared" si="16"/>
        <v>80</v>
      </c>
      <c r="K52" s="544">
        <f t="shared" si="16"/>
        <v>1880</v>
      </c>
      <c r="L52" s="544">
        <f t="shared" si="16"/>
        <v>1880</v>
      </c>
      <c r="M52" s="544">
        <f t="shared" si="16"/>
        <v>0</v>
      </c>
      <c r="N52" s="544">
        <f t="shared" si="16"/>
        <v>1880</v>
      </c>
      <c r="O52" s="544">
        <f t="shared" si="16"/>
        <v>0</v>
      </c>
      <c r="P52" s="544">
        <f t="shared" si="16"/>
        <v>1880</v>
      </c>
      <c r="Q52" s="544">
        <f t="shared" si="16"/>
        <v>0</v>
      </c>
      <c r="R52" s="544">
        <f t="shared" si="16"/>
        <v>80</v>
      </c>
      <c r="S52" s="544">
        <f t="shared" si="16"/>
        <v>1800</v>
      </c>
      <c r="T52" s="521">
        <v>9000</v>
      </c>
      <c r="U52" s="369">
        <v>89550</v>
      </c>
      <c r="V52" s="370">
        <v>75893.625</v>
      </c>
      <c r="W52" s="316">
        <f>SUM(T52:V52)</f>
        <v>174443.625</v>
      </c>
      <c r="X52" s="317">
        <f>SUM(X43:X51)</f>
        <v>163437.19999999998</v>
      </c>
      <c r="Y52" s="317">
        <f>X52*0.8475</f>
        <v>138513.027</v>
      </c>
      <c r="Z52" s="317">
        <f>SUM(Z43:Z51)</f>
        <v>4240</v>
      </c>
      <c r="AA52" s="528">
        <f>SUM(AA43:AA51)</f>
        <v>13240</v>
      </c>
      <c r="AB52" s="529">
        <f>SUM(AB43:AB51)</f>
        <v>163437.19999999998</v>
      </c>
      <c r="AC52" s="530">
        <f>SUM(AC43:AC51)</f>
        <v>163437.19999999998</v>
      </c>
    </row>
    <row r="53" spans="1:30" s="2" customFormat="1" ht="16" thickBot="1" x14ac:dyDescent="0.25">
      <c r="A53" s="14"/>
      <c r="H53" s="543">
        <f>H102</f>
        <v>22668.400000000001</v>
      </c>
      <c r="I53" s="543">
        <f t="shared" ref="I53:S53" si="17">I102</f>
        <v>22668.400000000001</v>
      </c>
      <c r="J53" s="543">
        <f t="shared" si="17"/>
        <v>4758.3999999999996</v>
      </c>
      <c r="K53" s="293">
        <f t="shared" si="17"/>
        <v>22668.400000000001</v>
      </c>
      <c r="L53" s="293">
        <f t="shared" si="17"/>
        <v>22668.400000000001</v>
      </c>
      <c r="M53" s="293">
        <f t="shared" si="17"/>
        <v>0</v>
      </c>
      <c r="N53" s="293">
        <f t="shared" si="17"/>
        <v>22668.400000000001</v>
      </c>
      <c r="O53" s="293">
        <f t="shared" si="17"/>
        <v>0</v>
      </c>
      <c r="P53" s="293">
        <f t="shared" si="17"/>
        <v>22668.400000000001</v>
      </c>
      <c r="Q53" s="293">
        <f t="shared" si="17"/>
        <v>0</v>
      </c>
      <c r="R53" s="293">
        <f t="shared" si="17"/>
        <v>4758.3999999999996</v>
      </c>
      <c r="S53" s="293">
        <f t="shared" si="17"/>
        <v>17910</v>
      </c>
      <c r="T53" s="319">
        <f>SUM(T43:T51)</f>
        <v>9000</v>
      </c>
      <c r="U53" s="314">
        <f>SUM(U43:U51)</f>
        <v>89550</v>
      </c>
      <c r="V53" s="330">
        <f>SUM(V43:V52)</f>
        <v>151787.25</v>
      </c>
      <c r="W53" s="318"/>
      <c r="X53" s="319"/>
      <c r="Y53" s="319"/>
      <c r="Z53" s="319"/>
      <c r="AA53" s="470">
        <f>SUM(AA38+AA52)</f>
        <v>349115</v>
      </c>
      <c r="AB53" s="470">
        <f t="shared" ref="AB53:AC53" si="18">SUM(AB38+AB52)</f>
        <v>6024582.3199999994</v>
      </c>
      <c r="AC53" s="470">
        <f t="shared" si="18"/>
        <v>5130757.6892000008</v>
      </c>
    </row>
    <row r="54" spans="1:30" s="152" customFormat="1" ht="20" thickBot="1" x14ac:dyDescent="0.25">
      <c r="A54" s="14"/>
      <c r="G54" s="546" t="s">
        <v>235</v>
      </c>
      <c r="H54" s="549">
        <f>H38+H52</f>
        <v>25180</v>
      </c>
      <c r="I54" s="550"/>
      <c r="J54" s="548"/>
      <c r="K54" s="548"/>
      <c r="L54" s="41"/>
      <c r="M54" s="41"/>
      <c r="N54" s="111"/>
      <c r="Q54" s="2"/>
      <c r="R54" s="531"/>
      <c r="S54" s="533" t="s">
        <v>192</v>
      </c>
      <c r="T54" s="196">
        <f>T38+T52</f>
        <v>381870</v>
      </c>
      <c r="U54" s="197">
        <f>U38+U52</f>
        <v>6584635.6040000003</v>
      </c>
      <c r="V54" s="198">
        <f>V38+V52</f>
        <v>5580478.6743900012</v>
      </c>
      <c r="W54" s="152" t="s">
        <v>157</v>
      </c>
    </row>
    <row r="55" spans="1:30" s="152" customFormat="1" ht="19" x14ac:dyDescent="0.2">
      <c r="A55" s="14"/>
      <c r="G55" s="546" t="s">
        <v>233</v>
      </c>
      <c r="H55" s="551">
        <f>H39+H53</f>
        <v>555507.20000000007</v>
      </c>
      <c r="I55" s="41"/>
      <c r="J55" s="41"/>
      <c r="K55" s="41"/>
      <c r="L55" s="41"/>
      <c r="M55" s="41"/>
      <c r="N55" s="111"/>
      <c r="Q55" s="2"/>
      <c r="R55" s="2"/>
      <c r="S55" s="2"/>
      <c r="T55" s="414"/>
      <c r="U55" s="415"/>
      <c r="V55" s="158"/>
    </row>
    <row r="56" spans="1:30" s="152" customFormat="1" ht="19" x14ac:dyDescent="0.2">
      <c r="A56" s="14"/>
      <c r="G56" s="546" t="s">
        <v>234</v>
      </c>
      <c r="H56" s="552">
        <f>H55*0.8475</f>
        <v>470792.35200000007</v>
      </c>
      <c r="I56" s="41"/>
      <c r="J56" s="41"/>
      <c r="K56" s="41"/>
      <c r="L56" s="41"/>
      <c r="M56" s="41"/>
      <c r="N56" s="111"/>
      <c r="Q56" s="2"/>
      <c r="R56" s="2"/>
      <c r="S56" s="2"/>
      <c r="T56" s="414"/>
      <c r="U56" s="415"/>
      <c r="V56" s="158"/>
      <c r="AA56" s="570">
        <f>AA38+AA52</f>
        <v>349115</v>
      </c>
      <c r="AB56" s="571">
        <f>SUM(AB38+AB52)</f>
        <v>6024582.3199999994</v>
      </c>
      <c r="AC56" s="572">
        <f>AC38+AC52</f>
        <v>5130757.6892000008</v>
      </c>
    </row>
    <row r="57" spans="1:30" s="152" customFormat="1" ht="19" x14ac:dyDescent="0.2">
      <c r="A57" s="14"/>
      <c r="G57" s="546"/>
      <c r="H57" s="573"/>
      <c r="I57" s="41"/>
      <c r="J57" s="41"/>
      <c r="K57" s="41"/>
      <c r="L57" s="41"/>
      <c r="M57" s="41"/>
      <c r="N57" s="111"/>
      <c r="Q57" s="2"/>
      <c r="R57" s="2"/>
      <c r="S57" s="2"/>
      <c r="T57" s="414"/>
      <c r="U57" s="415"/>
      <c r="V57" s="158"/>
      <c r="AA57" s="570" t="s">
        <v>240</v>
      </c>
      <c r="AB57" s="571" t="s">
        <v>225</v>
      </c>
      <c r="AC57" s="572" t="s">
        <v>241</v>
      </c>
    </row>
    <row r="58" spans="1:30" s="152" customFormat="1" ht="19" x14ac:dyDescent="0.2">
      <c r="A58" s="14"/>
      <c r="G58" s="546"/>
      <c r="H58" s="573"/>
      <c r="I58" s="41"/>
      <c r="J58" s="41"/>
      <c r="K58" s="41"/>
      <c r="L58" s="41"/>
      <c r="M58" s="41"/>
      <c r="N58" s="111"/>
      <c r="Q58" s="2"/>
      <c r="R58" s="2"/>
      <c r="S58" s="2"/>
      <c r="T58" s="414"/>
      <c r="U58" s="415"/>
      <c r="V58" s="158"/>
      <c r="AA58" s="570"/>
      <c r="AB58" s="571"/>
      <c r="AC58" s="572"/>
    </row>
    <row r="59" spans="1:30" s="152" customFormat="1" ht="19" x14ac:dyDescent="0.2">
      <c r="A59" s="14"/>
      <c r="G59" s="546"/>
      <c r="H59" s="547"/>
      <c r="I59" s="41"/>
      <c r="J59" s="41"/>
      <c r="K59" s="41"/>
      <c r="L59" s="41"/>
      <c r="M59" s="41"/>
      <c r="N59" s="111"/>
      <c r="Q59" s="2"/>
      <c r="R59" s="2"/>
      <c r="S59" s="2"/>
      <c r="T59" s="414"/>
      <c r="U59" s="415"/>
      <c r="V59" s="158"/>
    </row>
    <row r="60" spans="1:30" s="152" customFormat="1" ht="19" x14ac:dyDescent="0.2">
      <c r="A60" s="140"/>
      <c r="G60" s="154"/>
      <c r="I60" s="2"/>
      <c r="J60" s="2"/>
      <c r="K60" s="144"/>
      <c r="L60" s="2"/>
      <c r="M60" s="2"/>
      <c r="N60" s="2"/>
      <c r="Q60" s="2"/>
      <c r="R60" s="2"/>
      <c r="S60" s="2"/>
      <c r="T60" s="2"/>
      <c r="W60" s="2"/>
      <c r="X60" s="322"/>
      <c r="Y60" s="323"/>
    </row>
    <row r="61" spans="1:30" s="152" customFormat="1" ht="21" customHeight="1" x14ac:dyDescent="0.2">
      <c r="A61" t="str">
        <f>A2</f>
        <v>23.01.26</v>
      </c>
      <c r="C61" s="608" t="s">
        <v>206</v>
      </c>
      <c r="D61" s="609"/>
      <c r="E61" s="609"/>
      <c r="F61" s="609"/>
      <c r="G61" s="609"/>
      <c r="H61" s="609"/>
      <c r="I61" s="223"/>
      <c r="J61" s="223"/>
      <c r="K61" s="223"/>
      <c r="L61" s="223"/>
      <c r="M61" s="223"/>
      <c r="N61" s="2"/>
      <c r="P61" s="2"/>
      <c r="Q61" s="2"/>
      <c r="R61" s="2"/>
      <c r="S61" s="2"/>
    </row>
    <row r="62" spans="1:30" s="2" customFormat="1" ht="24" x14ac:dyDescent="0.2">
      <c r="A62"/>
      <c r="D62" s="14" t="s">
        <v>2</v>
      </c>
      <c r="E62" s="14"/>
      <c r="G62" s="1"/>
      <c r="H62" s="223"/>
      <c r="I62" s="223"/>
      <c r="J62" s="223"/>
      <c r="K62" s="223"/>
      <c r="L62" s="223"/>
      <c r="M62" s="223"/>
      <c r="W62" s="326" t="str">
        <f>C3</f>
        <v xml:space="preserve"> DP Period: February-  April 2026</v>
      </c>
    </row>
    <row r="63" spans="1:30" s="2" customFormat="1" x14ac:dyDescent="0.2">
      <c r="D63" s="14"/>
      <c r="E63" s="14"/>
    </row>
    <row r="64" spans="1:30" s="2" customFormat="1" ht="3.5" customHeight="1" thickBot="1" x14ac:dyDescent="0.25">
      <c r="A64" s="14"/>
      <c r="U64" s="19"/>
    </row>
    <row r="65" spans="1:30" s="2" customFormat="1" ht="43.5" customHeight="1" thickBot="1" x14ac:dyDescent="0.25">
      <c r="A65" s="14"/>
      <c r="F65" s="350" t="s">
        <v>203</v>
      </c>
      <c r="H65" s="256">
        <v>2026</v>
      </c>
      <c r="I65" s="256">
        <v>2026</v>
      </c>
      <c r="J65" s="256">
        <v>2026</v>
      </c>
      <c r="K65" s="256">
        <v>2026</v>
      </c>
      <c r="L65" s="256">
        <v>2026</v>
      </c>
      <c r="M65" s="256">
        <v>2026</v>
      </c>
      <c r="N65" s="256">
        <v>2026</v>
      </c>
      <c r="O65" s="256">
        <v>2026</v>
      </c>
      <c r="P65" s="256">
        <v>2026</v>
      </c>
      <c r="Q65" s="256">
        <v>2026</v>
      </c>
      <c r="R65" s="256">
        <v>2026</v>
      </c>
      <c r="S65" s="257">
        <v>2026</v>
      </c>
      <c r="T65" s="258" t="s">
        <v>155</v>
      </c>
      <c r="U65" s="259">
        <f>V65/0.8475</f>
        <v>6486686.3716814155</v>
      </c>
      <c r="V65" s="260">
        <v>5497466.7000000002</v>
      </c>
    </row>
    <row r="66" spans="1:30" s="2" customFormat="1" ht="26" customHeight="1" thickBot="1" x14ac:dyDescent="0.25">
      <c r="A66" s="270"/>
      <c r="B66" s="271" t="s">
        <v>12</v>
      </c>
      <c r="C66" s="271"/>
      <c r="D66" s="279"/>
      <c r="E66" s="279"/>
      <c r="F66" s="272" t="s">
        <v>13</v>
      </c>
      <c r="G66" s="273" t="s">
        <v>14</v>
      </c>
      <c r="H66" s="353" t="s">
        <v>175</v>
      </c>
      <c r="I66" s="579" t="s">
        <v>176</v>
      </c>
      <c r="J66" s="579" t="s">
        <v>177</v>
      </c>
      <c r="K66" s="579" t="s">
        <v>178</v>
      </c>
      <c r="L66" s="351" t="s">
        <v>179</v>
      </c>
      <c r="M66" s="351" t="s">
        <v>180</v>
      </c>
      <c r="N66" s="351" t="s">
        <v>181</v>
      </c>
      <c r="O66" s="351" t="s">
        <v>182</v>
      </c>
      <c r="P66" s="351" t="s">
        <v>183</v>
      </c>
      <c r="Q66" s="351" t="s">
        <v>205</v>
      </c>
      <c r="R66" s="351" t="s">
        <v>184</v>
      </c>
      <c r="S66" s="352" t="s">
        <v>185</v>
      </c>
      <c r="T66" s="423" t="s">
        <v>152</v>
      </c>
      <c r="U66" s="424" t="s">
        <v>153</v>
      </c>
      <c r="V66" s="448" t="s">
        <v>154</v>
      </c>
      <c r="W66" s="306" t="s">
        <v>170</v>
      </c>
      <c r="X66" s="354" t="s">
        <v>188</v>
      </c>
      <c r="Y66" s="305" t="s">
        <v>186</v>
      </c>
      <c r="Z66" s="354" t="s">
        <v>187</v>
      </c>
      <c r="AA66" s="534" t="s">
        <v>224</v>
      </c>
      <c r="AB66" s="534" t="s">
        <v>225</v>
      </c>
      <c r="AC66" s="534" t="s">
        <v>226</v>
      </c>
      <c r="AD66" s="45" t="s">
        <v>229</v>
      </c>
    </row>
    <row r="67" spans="1:30" s="2" customFormat="1" x14ac:dyDescent="0.2">
      <c r="A67" s="261" t="s">
        <v>41</v>
      </c>
      <c r="B67" s="261" t="s">
        <v>61</v>
      </c>
      <c r="C67" s="262" t="s">
        <v>66</v>
      </c>
      <c r="D67" s="243"/>
      <c r="E67" s="243"/>
      <c r="F67" s="228" t="s">
        <v>73</v>
      </c>
      <c r="G67" s="229">
        <v>10.81</v>
      </c>
      <c r="H67" s="574">
        <f t="shared" ref="H67:H87" si="19">$G17*H17</f>
        <v>0</v>
      </c>
      <c r="I67" s="563">
        <f t="shared" ref="I67:S67" si="20">$G17*I17</f>
        <v>107019</v>
      </c>
      <c r="J67" s="476">
        <f t="shared" si="20"/>
        <v>0</v>
      </c>
      <c r="K67" s="564">
        <f t="shared" si="20"/>
        <v>0</v>
      </c>
      <c r="L67" s="538">
        <f t="shared" si="20"/>
        <v>0</v>
      </c>
      <c r="M67" s="538">
        <f t="shared" si="20"/>
        <v>0</v>
      </c>
      <c r="N67" s="538">
        <f t="shared" si="20"/>
        <v>0</v>
      </c>
      <c r="O67" s="538">
        <f t="shared" si="20"/>
        <v>0</v>
      </c>
      <c r="P67" s="538">
        <f t="shared" si="20"/>
        <v>0</v>
      </c>
      <c r="Q67" s="538">
        <f t="shared" si="20"/>
        <v>0</v>
      </c>
      <c r="R67" s="538">
        <f t="shared" si="20"/>
        <v>0</v>
      </c>
      <c r="S67" s="538">
        <f t="shared" si="20"/>
        <v>0</v>
      </c>
      <c r="T67" s="225">
        <v>0</v>
      </c>
      <c r="U67" s="226">
        <v>0</v>
      </c>
      <c r="V67" s="227">
        <v>0</v>
      </c>
      <c r="W67" s="363">
        <f>SUM(H67:S67)</f>
        <v>107019</v>
      </c>
      <c r="X67" s="356">
        <f>W67-U67</f>
        <v>107019</v>
      </c>
      <c r="Y67" s="355">
        <f>W67*0.8475</f>
        <v>90698.602500000008</v>
      </c>
      <c r="Z67" s="343">
        <f>Y67-V67</f>
        <v>90698.602500000008</v>
      </c>
      <c r="AA67" s="45"/>
      <c r="AB67" s="45"/>
      <c r="AC67" s="45"/>
      <c r="AD67" s="45"/>
    </row>
    <row r="68" spans="1:30" s="2" customFormat="1" x14ac:dyDescent="0.2">
      <c r="A68" s="186" t="s">
        <v>41</v>
      </c>
      <c r="B68" s="186" t="s">
        <v>61</v>
      </c>
      <c r="C68" s="189" t="s">
        <v>66</v>
      </c>
      <c r="D68" s="243"/>
      <c r="E68" s="243"/>
      <c r="F68" s="228" t="s">
        <v>73</v>
      </c>
      <c r="G68" s="229">
        <v>10.81</v>
      </c>
      <c r="H68" s="575">
        <f t="shared" si="19"/>
        <v>0</v>
      </c>
      <c r="I68" s="562">
        <f t="shared" ref="I68:S68" si="21">$G18*I18</f>
        <v>0</v>
      </c>
      <c r="J68" s="482">
        <f t="shared" si="21"/>
        <v>178365</v>
      </c>
      <c r="K68" s="562">
        <f t="shared" si="21"/>
        <v>178365</v>
      </c>
      <c r="L68" s="538">
        <f t="shared" si="21"/>
        <v>0</v>
      </c>
      <c r="M68" s="538">
        <f t="shared" si="21"/>
        <v>142692</v>
      </c>
      <c r="N68" s="538">
        <f t="shared" si="21"/>
        <v>0</v>
      </c>
      <c r="O68" s="538">
        <f t="shared" si="21"/>
        <v>0</v>
      </c>
      <c r="P68" s="538">
        <f t="shared" si="21"/>
        <v>142692</v>
      </c>
      <c r="Q68" s="538">
        <f t="shared" si="21"/>
        <v>0</v>
      </c>
      <c r="R68" s="538">
        <f t="shared" si="21"/>
        <v>0</v>
      </c>
      <c r="S68" s="538">
        <f t="shared" si="21"/>
        <v>0</v>
      </c>
      <c r="T68" s="225">
        <v>86100</v>
      </c>
      <c r="U68" s="226">
        <v>930741</v>
      </c>
      <c r="V68" s="227">
        <v>788802.99750000006</v>
      </c>
      <c r="W68" s="363">
        <f t="shared" ref="W68:W87" si="22">SUM(H68:S68)</f>
        <v>642114</v>
      </c>
      <c r="X68" s="356">
        <f t="shared" ref="X68:X87" si="23">W68-U68</f>
        <v>-288627</v>
      </c>
      <c r="Y68" s="355">
        <f t="shared" ref="Y68:Y87" si="24">W68*0.8475</f>
        <v>544191.61499999999</v>
      </c>
      <c r="Z68" s="343">
        <f t="shared" ref="Z68:Z87" si="25">Y68-V68</f>
        <v>-244611.38250000007</v>
      </c>
      <c r="AA68" s="45"/>
      <c r="AB68" s="45"/>
      <c r="AC68" s="45"/>
      <c r="AD68" s="45"/>
    </row>
    <row r="69" spans="1:30" s="2" customFormat="1" x14ac:dyDescent="0.2">
      <c r="A69" s="186" t="s">
        <v>41</v>
      </c>
      <c r="B69" s="186" t="s">
        <v>61</v>
      </c>
      <c r="C69" s="189" t="s">
        <v>66</v>
      </c>
      <c r="D69" s="244"/>
      <c r="E69" s="244"/>
      <c r="F69" s="187" t="s">
        <v>69</v>
      </c>
      <c r="G69" s="188">
        <f>10.63*1.01</f>
        <v>10.736300000000002</v>
      </c>
      <c r="H69" s="542">
        <f t="shared" si="19"/>
        <v>0</v>
      </c>
      <c r="I69" s="494">
        <f t="shared" ref="I69:S69" si="26">$G19*I19</f>
        <v>77301.360000000015</v>
      </c>
      <c r="J69" s="469">
        <f t="shared" si="26"/>
        <v>90184.920000000013</v>
      </c>
      <c r="K69" s="488">
        <f t="shared" si="26"/>
        <v>0</v>
      </c>
      <c r="L69" s="538">
        <f t="shared" si="26"/>
        <v>90184.920000000013</v>
      </c>
      <c r="M69" s="538">
        <f t="shared" si="26"/>
        <v>0</v>
      </c>
      <c r="N69" s="538">
        <f t="shared" si="26"/>
        <v>90184.920000000013</v>
      </c>
      <c r="O69" s="538">
        <f t="shared" si="26"/>
        <v>0</v>
      </c>
      <c r="P69" s="538">
        <f t="shared" si="26"/>
        <v>0</v>
      </c>
      <c r="Q69" s="538">
        <f t="shared" si="26"/>
        <v>90184.920000000013</v>
      </c>
      <c r="R69" s="538">
        <f t="shared" si="26"/>
        <v>0</v>
      </c>
      <c r="S69" s="538">
        <f t="shared" si="26"/>
        <v>0</v>
      </c>
      <c r="T69" s="225">
        <v>44100</v>
      </c>
      <c r="U69" s="226">
        <v>473470.83000000007</v>
      </c>
      <c r="V69" s="227">
        <v>401266.52842500008</v>
      </c>
      <c r="W69" s="363">
        <f t="shared" si="22"/>
        <v>438041.04000000004</v>
      </c>
      <c r="X69" s="356">
        <f t="shared" si="23"/>
        <v>-35429.790000000037</v>
      </c>
      <c r="Y69" s="355">
        <f t="shared" si="24"/>
        <v>371239.78140000004</v>
      </c>
      <c r="Z69" s="343">
        <f t="shared" si="25"/>
        <v>-30026.747025000048</v>
      </c>
      <c r="AA69" s="45"/>
      <c r="AB69" s="45"/>
      <c r="AC69" s="45"/>
      <c r="AD69" s="45"/>
    </row>
    <row r="70" spans="1:30" s="2" customFormat="1" x14ac:dyDescent="0.2">
      <c r="A70" s="186" t="s">
        <v>41</v>
      </c>
      <c r="B70" s="186" t="s">
        <v>61</v>
      </c>
      <c r="C70" s="189" t="s">
        <v>66</v>
      </c>
      <c r="D70" s="244"/>
      <c r="E70" s="244"/>
      <c r="F70" s="187" t="s">
        <v>67</v>
      </c>
      <c r="G70" s="188">
        <f>10.63*1.01</f>
        <v>10.736300000000002</v>
      </c>
      <c r="H70" s="575">
        <f t="shared" si="19"/>
        <v>0</v>
      </c>
      <c r="I70" s="494">
        <f t="shared" ref="I70:S70" si="27">$G20*I20</f>
        <v>38650.680000000008</v>
      </c>
      <c r="J70" s="488">
        <f t="shared" si="27"/>
        <v>0</v>
      </c>
      <c r="K70" s="488">
        <f t="shared" si="27"/>
        <v>0</v>
      </c>
      <c r="L70" s="538">
        <f t="shared" si="27"/>
        <v>38650.680000000008</v>
      </c>
      <c r="M70" s="538">
        <f t="shared" si="27"/>
        <v>0</v>
      </c>
      <c r="N70" s="538">
        <f t="shared" si="27"/>
        <v>38650.680000000008</v>
      </c>
      <c r="O70" s="538">
        <f t="shared" si="27"/>
        <v>0</v>
      </c>
      <c r="P70" s="538">
        <f t="shared" si="27"/>
        <v>38650.680000000008</v>
      </c>
      <c r="Q70" s="538">
        <f t="shared" si="27"/>
        <v>0</v>
      </c>
      <c r="R70" s="538">
        <f t="shared" si="27"/>
        <v>0</v>
      </c>
      <c r="S70" s="538">
        <f t="shared" si="27"/>
        <v>38650.680000000008</v>
      </c>
      <c r="T70" s="225">
        <v>22680</v>
      </c>
      <c r="U70" s="226">
        <v>243499.28400000004</v>
      </c>
      <c r="V70" s="227">
        <v>206365.64319000003</v>
      </c>
      <c r="W70" s="363">
        <f t="shared" si="22"/>
        <v>193253.40000000002</v>
      </c>
      <c r="X70" s="356">
        <f t="shared" si="23"/>
        <v>-50245.88400000002</v>
      </c>
      <c r="Y70" s="355">
        <f t="shared" si="24"/>
        <v>163782.25650000002</v>
      </c>
      <c r="Z70" s="343">
        <f t="shared" si="25"/>
        <v>-42583.386690000014</v>
      </c>
      <c r="AA70" s="45"/>
      <c r="AB70" s="45"/>
      <c r="AC70" s="45"/>
      <c r="AD70" s="45"/>
    </row>
    <row r="71" spans="1:30" s="2" customFormat="1" x14ac:dyDescent="0.2">
      <c r="A71" s="186" t="s">
        <v>41</v>
      </c>
      <c r="B71" s="186" t="s">
        <v>70</v>
      </c>
      <c r="C71" s="189" t="s">
        <v>66</v>
      </c>
      <c r="D71" s="244"/>
      <c r="E71" s="244"/>
      <c r="F71" s="187" t="s">
        <v>72</v>
      </c>
      <c r="G71" s="188">
        <f>21.66*1.01</f>
        <v>21.8766</v>
      </c>
      <c r="H71" s="540">
        <f t="shared" si="19"/>
        <v>175012.8</v>
      </c>
      <c r="I71" s="565">
        <f t="shared" ref="I71:S71" si="28">$G21*I21</f>
        <v>218766</v>
      </c>
      <c r="J71" s="217">
        <f t="shared" si="28"/>
        <v>0</v>
      </c>
      <c r="K71" s="494">
        <f t="shared" si="28"/>
        <v>240642.6</v>
      </c>
      <c r="L71" s="538">
        <f t="shared" si="28"/>
        <v>0</v>
      </c>
      <c r="M71" s="538">
        <f t="shared" si="28"/>
        <v>0</v>
      </c>
      <c r="N71" s="538">
        <f t="shared" si="28"/>
        <v>0</v>
      </c>
      <c r="O71" s="538">
        <f t="shared" si="28"/>
        <v>196889.4</v>
      </c>
      <c r="P71" s="538">
        <f t="shared" si="28"/>
        <v>0</v>
      </c>
      <c r="Q71" s="538">
        <f t="shared" si="28"/>
        <v>0</v>
      </c>
      <c r="R71" s="538">
        <f t="shared" si="28"/>
        <v>240642.6</v>
      </c>
      <c r="S71" s="538">
        <f t="shared" si="28"/>
        <v>0</v>
      </c>
      <c r="T71" s="225">
        <v>51100</v>
      </c>
      <c r="U71" s="226">
        <v>1117894.26</v>
      </c>
      <c r="V71" s="227">
        <v>947415.38535</v>
      </c>
      <c r="W71" s="363">
        <f t="shared" si="22"/>
        <v>1071953.4000000001</v>
      </c>
      <c r="X71" s="356">
        <f t="shared" si="23"/>
        <v>-45940.85999999987</v>
      </c>
      <c r="Y71" s="355">
        <f t="shared" si="24"/>
        <v>908480.50650000013</v>
      </c>
      <c r="Z71" s="343">
        <f t="shared" si="25"/>
        <v>-38934.878849999863</v>
      </c>
      <c r="AA71" s="45"/>
      <c r="AB71" s="45"/>
      <c r="AC71" s="45"/>
      <c r="AD71" s="45"/>
    </row>
    <row r="72" spans="1:30" s="2" customFormat="1" x14ac:dyDescent="0.2">
      <c r="A72" s="186" t="s">
        <v>41</v>
      </c>
      <c r="B72" s="186" t="s">
        <v>70</v>
      </c>
      <c r="C72" s="189" t="s">
        <v>66</v>
      </c>
      <c r="D72" s="244"/>
      <c r="E72" s="244"/>
      <c r="F72" s="187" t="s">
        <v>71</v>
      </c>
      <c r="G72" s="188">
        <f>21.66*1.01</f>
        <v>21.8766</v>
      </c>
      <c r="H72" s="540">
        <f t="shared" si="19"/>
        <v>0</v>
      </c>
      <c r="I72" s="494">
        <f t="shared" ref="I72:S72" si="29">$G22*I22</f>
        <v>0</v>
      </c>
      <c r="J72" s="494">
        <f t="shared" si="29"/>
        <v>0</v>
      </c>
      <c r="K72" s="494">
        <f t="shared" si="29"/>
        <v>0</v>
      </c>
      <c r="L72" s="538">
        <f t="shared" si="29"/>
        <v>0</v>
      </c>
      <c r="M72" s="538">
        <f t="shared" si="29"/>
        <v>0</v>
      </c>
      <c r="N72" s="538">
        <f t="shared" si="29"/>
        <v>118133.64</v>
      </c>
      <c r="O72" s="538">
        <f t="shared" si="29"/>
        <v>0</v>
      </c>
      <c r="P72" s="538">
        <f t="shared" si="29"/>
        <v>0</v>
      </c>
      <c r="Q72" s="538">
        <f t="shared" si="29"/>
        <v>0</v>
      </c>
      <c r="R72" s="538">
        <f t="shared" si="29"/>
        <v>118133.64</v>
      </c>
      <c r="S72" s="538">
        <f t="shared" si="29"/>
        <v>0</v>
      </c>
      <c r="T72" s="225">
        <v>23050</v>
      </c>
      <c r="U72" s="226">
        <v>504255.63</v>
      </c>
      <c r="V72" s="227">
        <v>427356.64642500004</v>
      </c>
      <c r="W72" s="363">
        <f t="shared" si="22"/>
        <v>236267.28</v>
      </c>
      <c r="X72" s="356">
        <f t="shared" si="23"/>
        <v>-267988.34999999998</v>
      </c>
      <c r="Y72" s="355">
        <f t="shared" si="24"/>
        <v>200236.51980000001</v>
      </c>
      <c r="Z72" s="343">
        <f t="shared" si="25"/>
        <v>-227120.12662500003</v>
      </c>
      <c r="AA72" s="45"/>
      <c r="AB72" s="45"/>
      <c r="AC72" s="45"/>
      <c r="AD72" s="45"/>
    </row>
    <row r="73" spans="1:30" s="2" customFormat="1" x14ac:dyDescent="0.2">
      <c r="A73" s="190" t="s">
        <v>41</v>
      </c>
      <c r="B73" s="190" t="s">
        <v>42</v>
      </c>
      <c r="C73" s="190" t="s">
        <v>43</v>
      </c>
      <c r="D73" s="192"/>
      <c r="E73" s="192"/>
      <c r="F73" s="192" t="s">
        <v>160</v>
      </c>
      <c r="G73" s="191">
        <v>19.559999999999999</v>
      </c>
      <c r="H73" s="541">
        <f t="shared" si="19"/>
        <v>43032</v>
      </c>
      <c r="I73" s="498">
        <f t="shared" ref="I73:S73" si="30">$G23*I23</f>
        <v>21516</v>
      </c>
      <c r="J73" s="216">
        <f t="shared" si="30"/>
        <v>64547.999999999993</v>
      </c>
      <c r="K73" s="216">
        <f t="shared" si="30"/>
        <v>64547.999999999993</v>
      </c>
      <c r="L73" s="538">
        <f t="shared" si="30"/>
        <v>43032</v>
      </c>
      <c r="M73" s="538">
        <f t="shared" si="30"/>
        <v>64547.999999999993</v>
      </c>
      <c r="N73" s="538">
        <f t="shared" si="30"/>
        <v>64547.999999999993</v>
      </c>
      <c r="O73" s="538">
        <f t="shared" si="30"/>
        <v>43032</v>
      </c>
      <c r="P73" s="538">
        <f t="shared" si="30"/>
        <v>43032</v>
      </c>
      <c r="Q73" s="538">
        <f t="shared" si="30"/>
        <v>43032</v>
      </c>
      <c r="R73" s="538">
        <f t="shared" si="30"/>
        <v>43032</v>
      </c>
      <c r="S73" s="538">
        <f t="shared" si="30"/>
        <v>64547.999999999993</v>
      </c>
      <c r="T73" s="225">
        <v>37000</v>
      </c>
      <c r="U73" s="226">
        <v>723720</v>
      </c>
      <c r="V73" s="227">
        <v>613352.70000000007</v>
      </c>
      <c r="W73" s="363">
        <f t="shared" si="22"/>
        <v>602448</v>
      </c>
      <c r="X73" s="356">
        <f t="shared" si="23"/>
        <v>-121272</v>
      </c>
      <c r="Y73" s="355">
        <f t="shared" si="24"/>
        <v>510574.68</v>
      </c>
      <c r="Z73" s="343">
        <f t="shared" si="25"/>
        <v>-102778.02000000008</v>
      </c>
      <c r="AA73" s="45"/>
      <c r="AB73" s="45"/>
      <c r="AC73" s="45"/>
      <c r="AD73" s="45"/>
    </row>
    <row r="74" spans="1:30" s="2" customFormat="1" x14ac:dyDescent="0.2">
      <c r="A74" s="190" t="s">
        <v>41</v>
      </c>
      <c r="B74" s="190" t="s">
        <v>42</v>
      </c>
      <c r="C74" s="190" t="s">
        <v>43</v>
      </c>
      <c r="D74" s="192"/>
      <c r="E74" s="192"/>
      <c r="F74" s="192" t="s">
        <v>159</v>
      </c>
      <c r="G74" s="191">
        <v>19.559999999999999</v>
      </c>
      <c r="H74" s="541">
        <f t="shared" si="19"/>
        <v>0</v>
      </c>
      <c r="I74" s="498">
        <f t="shared" ref="I74:S74" si="31">$G24*I24</f>
        <v>31295.999999999996</v>
      </c>
      <c r="J74" s="216">
        <f t="shared" si="31"/>
        <v>-28361.999999999996</v>
      </c>
      <c r="K74" s="216">
        <f t="shared" si="31"/>
        <v>-28361.999999999996</v>
      </c>
      <c r="L74" s="538">
        <f t="shared" si="31"/>
        <v>78240</v>
      </c>
      <c r="M74" s="538">
        <f t="shared" si="31"/>
        <v>39120</v>
      </c>
      <c r="N74" s="538">
        <f t="shared" si="31"/>
        <v>39120</v>
      </c>
      <c r="O74" s="538">
        <f t="shared" si="31"/>
        <v>39120</v>
      </c>
      <c r="P74" s="538">
        <f t="shared" si="31"/>
        <v>39120</v>
      </c>
      <c r="Q74" s="538">
        <f t="shared" si="31"/>
        <v>31295.999999999996</v>
      </c>
      <c r="R74" s="538">
        <f t="shared" si="31"/>
        <v>29339.999999999996</v>
      </c>
      <c r="S74" s="538">
        <f t="shared" si="31"/>
        <v>28850.999999999996</v>
      </c>
      <c r="T74" s="225">
        <v>18275</v>
      </c>
      <c r="U74" s="226">
        <v>357459</v>
      </c>
      <c r="V74" s="227">
        <v>302946.5025</v>
      </c>
      <c r="W74" s="363">
        <f t="shared" si="22"/>
        <v>298779</v>
      </c>
      <c r="X74" s="356">
        <f t="shared" si="23"/>
        <v>-58680</v>
      </c>
      <c r="Y74" s="355">
        <f t="shared" si="24"/>
        <v>253215.20250000001</v>
      </c>
      <c r="Z74" s="343">
        <f t="shared" si="25"/>
        <v>-49731.299999999988</v>
      </c>
      <c r="AA74" s="45"/>
      <c r="AB74" s="45"/>
      <c r="AC74" s="45"/>
      <c r="AD74" s="45"/>
    </row>
    <row r="75" spans="1:30" s="2" customFormat="1" ht="15" customHeight="1" x14ac:dyDescent="0.2">
      <c r="A75" s="190" t="s">
        <v>41</v>
      </c>
      <c r="B75" s="190" t="s">
        <v>42</v>
      </c>
      <c r="C75" s="190" t="s">
        <v>43</v>
      </c>
      <c r="D75" s="192"/>
      <c r="E75" s="192"/>
      <c r="F75" s="192" t="s">
        <v>161</v>
      </c>
      <c r="G75" s="191">
        <v>9.9499999999999993</v>
      </c>
      <c r="H75" s="542">
        <f t="shared" si="19"/>
        <v>0</v>
      </c>
      <c r="I75" s="494">
        <f t="shared" ref="I75:S75" si="32">$G25*I25</f>
        <v>0</v>
      </c>
      <c r="J75" s="494">
        <f t="shared" si="32"/>
        <v>0</v>
      </c>
      <c r="K75" s="494">
        <f t="shared" si="32"/>
        <v>0</v>
      </c>
      <c r="L75" s="538">
        <f t="shared" si="32"/>
        <v>0</v>
      </c>
      <c r="M75" s="538">
        <f t="shared" si="32"/>
        <v>0</v>
      </c>
      <c r="N75" s="538">
        <f t="shared" si="32"/>
        <v>0</v>
      </c>
      <c r="O75" s="538">
        <f t="shared" si="32"/>
        <v>0</v>
      </c>
      <c r="P75" s="538">
        <f t="shared" si="32"/>
        <v>0</v>
      </c>
      <c r="Q75" s="538">
        <f t="shared" si="32"/>
        <v>0</v>
      </c>
      <c r="R75" s="538">
        <f t="shared" si="32"/>
        <v>0</v>
      </c>
      <c r="S75" s="538">
        <f t="shared" si="32"/>
        <v>0</v>
      </c>
      <c r="T75" s="225">
        <v>0</v>
      </c>
      <c r="U75" s="226">
        <v>0</v>
      </c>
      <c r="V75" s="227">
        <v>0</v>
      </c>
      <c r="W75" s="363">
        <f t="shared" si="22"/>
        <v>0</v>
      </c>
      <c r="X75" s="356">
        <f t="shared" si="23"/>
        <v>0</v>
      </c>
      <c r="Y75" s="355">
        <f t="shared" si="24"/>
        <v>0</v>
      </c>
      <c r="Z75" s="343">
        <f t="shared" si="25"/>
        <v>0</v>
      </c>
      <c r="AA75" s="45"/>
      <c r="AB75" s="45"/>
      <c r="AC75" s="45"/>
      <c r="AD75" s="45"/>
    </row>
    <row r="76" spans="1:30" s="2" customFormat="1" x14ac:dyDescent="0.2">
      <c r="A76" s="190" t="s">
        <v>41</v>
      </c>
      <c r="B76" s="190" t="s">
        <v>42</v>
      </c>
      <c r="C76" s="190" t="s">
        <v>43</v>
      </c>
      <c r="D76" s="192"/>
      <c r="E76" s="192"/>
      <c r="F76" s="192" t="s">
        <v>162</v>
      </c>
      <c r="G76" s="191">
        <v>9.9499999999999993</v>
      </c>
      <c r="H76" s="541">
        <f t="shared" si="19"/>
        <v>0</v>
      </c>
      <c r="I76" s="216">
        <f t="shared" ref="I76:S76" si="33">$G26*I26</f>
        <v>0</v>
      </c>
      <c r="J76" s="216">
        <f t="shared" si="33"/>
        <v>0</v>
      </c>
      <c r="K76" s="216">
        <f t="shared" si="33"/>
        <v>0</v>
      </c>
      <c r="L76" s="538">
        <f t="shared" si="33"/>
        <v>0</v>
      </c>
      <c r="M76" s="538">
        <f t="shared" si="33"/>
        <v>0</v>
      </c>
      <c r="N76" s="538">
        <f t="shared" si="33"/>
        <v>0</v>
      </c>
      <c r="O76" s="538">
        <f t="shared" si="33"/>
        <v>0</v>
      </c>
      <c r="P76" s="538">
        <f t="shared" si="33"/>
        <v>0</v>
      </c>
      <c r="Q76" s="538">
        <f t="shared" si="33"/>
        <v>0</v>
      </c>
      <c r="R76" s="538">
        <f t="shared" si="33"/>
        <v>0</v>
      </c>
      <c r="S76" s="538">
        <f t="shared" si="33"/>
        <v>0</v>
      </c>
      <c r="T76" s="225"/>
      <c r="U76" s="226"/>
      <c r="V76" s="227"/>
      <c r="W76" s="363">
        <f t="shared" si="22"/>
        <v>0</v>
      </c>
      <c r="X76" s="356">
        <f t="shared" si="23"/>
        <v>0</v>
      </c>
      <c r="Y76" s="355">
        <f t="shared" si="24"/>
        <v>0</v>
      </c>
      <c r="Z76" s="343">
        <f t="shared" si="25"/>
        <v>0</v>
      </c>
      <c r="AA76" s="45"/>
      <c r="AB76" s="45"/>
      <c r="AC76" s="45"/>
      <c r="AD76" s="45"/>
    </row>
    <row r="77" spans="1:30" s="2" customFormat="1" x14ac:dyDescent="0.2">
      <c r="A77" s="190" t="s">
        <v>41</v>
      </c>
      <c r="B77" s="190" t="s">
        <v>42</v>
      </c>
      <c r="C77" s="190" t="s">
        <v>43</v>
      </c>
      <c r="D77" s="192"/>
      <c r="E77" s="192"/>
      <c r="F77" s="192" t="s">
        <v>147</v>
      </c>
      <c r="G77" s="191">
        <v>13.27</v>
      </c>
      <c r="H77" s="541">
        <f t="shared" si="19"/>
        <v>71658</v>
      </c>
      <c r="I77" s="494">
        <f t="shared" ref="I77:S77" si="34">$G27*I27</f>
        <v>26540</v>
      </c>
      <c r="J77" s="217">
        <f t="shared" si="34"/>
        <v>-47772</v>
      </c>
      <c r="K77" s="217">
        <f t="shared" si="34"/>
        <v>0</v>
      </c>
      <c r="L77" s="538">
        <f t="shared" si="34"/>
        <v>92890</v>
      </c>
      <c r="M77" s="538">
        <f t="shared" si="34"/>
        <v>0</v>
      </c>
      <c r="N77" s="538">
        <f t="shared" si="34"/>
        <v>39810</v>
      </c>
      <c r="O77" s="538">
        <f t="shared" si="34"/>
        <v>0</v>
      </c>
      <c r="P77" s="538">
        <f t="shared" si="34"/>
        <v>39810</v>
      </c>
      <c r="Q77" s="538">
        <f t="shared" si="34"/>
        <v>0</v>
      </c>
      <c r="R77" s="538">
        <f t="shared" si="34"/>
        <v>39810</v>
      </c>
      <c r="S77" s="538">
        <f t="shared" si="34"/>
        <v>0</v>
      </c>
      <c r="T77" s="225">
        <v>13200</v>
      </c>
      <c r="U77" s="226">
        <v>175164</v>
      </c>
      <c r="V77" s="227">
        <v>148451.49000000002</v>
      </c>
      <c r="W77" s="363">
        <f t="shared" si="22"/>
        <v>262746</v>
      </c>
      <c r="X77" s="356">
        <f t="shared" si="23"/>
        <v>87582</v>
      </c>
      <c r="Y77" s="355">
        <f t="shared" si="24"/>
        <v>222677.23500000002</v>
      </c>
      <c r="Z77" s="343">
        <f t="shared" si="25"/>
        <v>74225.744999999995</v>
      </c>
      <c r="AA77" s="45"/>
      <c r="AB77" s="45"/>
      <c r="AC77" s="45"/>
      <c r="AD77" s="45"/>
    </row>
    <row r="78" spans="1:30" s="2" customFormat="1" x14ac:dyDescent="0.2">
      <c r="A78" s="131" t="s">
        <v>158</v>
      </c>
      <c r="B78" s="131" t="s">
        <v>78</v>
      </c>
      <c r="C78" s="131" t="s">
        <v>43</v>
      </c>
      <c r="D78" s="127"/>
      <c r="E78" s="127"/>
      <c r="F78" s="127" t="s">
        <v>79</v>
      </c>
      <c r="G78" s="67">
        <v>31.1</v>
      </c>
      <c r="H78" s="539">
        <f t="shared" si="19"/>
        <v>155500</v>
      </c>
      <c r="I78" s="217">
        <f t="shared" ref="I78:S78" si="35">$G28*I28</f>
        <v>0</v>
      </c>
      <c r="J78" s="294">
        <f t="shared" si="35"/>
        <v>167940</v>
      </c>
      <c r="K78" s="294">
        <f t="shared" si="35"/>
        <v>-93300</v>
      </c>
      <c r="L78" s="538">
        <f t="shared" si="35"/>
        <v>124400</v>
      </c>
      <c r="M78" s="538">
        <f t="shared" si="35"/>
        <v>0</v>
      </c>
      <c r="N78" s="538">
        <f t="shared" si="35"/>
        <v>0</v>
      </c>
      <c r="O78" s="538">
        <f t="shared" si="35"/>
        <v>0</v>
      </c>
      <c r="P78" s="538">
        <f t="shared" si="35"/>
        <v>93300</v>
      </c>
      <c r="Q78" s="538">
        <f t="shared" si="35"/>
        <v>62200</v>
      </c>
      <c r="R78" s="538">
        <f t="shared" si="35"/>
        <v>0</v>
      </c>
      <c r="S78" s="538">
        <f t="shared" si="35"/>
        <v>62200</v>
      </c>
      <c r="T78" s="225">
        <v>18000</v>
      </c>
      <c r="U78" s="226">
        <v>559800</v>
      </c>
      <c r="V78" s="227">
        <v>474430.5</v>
      </c>
      <c r="W78" s="363">
        <f t="shared" si="22"/>
        <v>572240</v>
      </c>
      <c r="X78" s="356">
        <f t="shared" si="23"/>
        <v>12440</v>
      </c>
      <c r="Y78" s="355">
        <f t="shared" si="24"/>
        <v>484973.4</v>
      </c>
      <c r="Z78" s="343">
        <f t="shared" si="25"/>
        <v>10542.900000000023</v>
      </c>
      <c r="AA78" s="45"/>
      <c r="AB78" s="45"/>
      <c r="AC78" s="45"/>
      <c r="AD78" s="45"/>
    </row>
    <row r="79" spans="1:30" s="2" customFormat="1" x14ac:dyDescent="0.2">
      <c r="A79" s="190" t="s">
        <v>41</v>
      </c>
      <c r="B79" s="190" t="s">
        <v>42</v>
      </c>
      <c r="C79" s="190" t="s">
        <v>43</v>
      </c>
      <c r="D79" s="192"/>
      <c r="E79" s="192"/>
      <c r="F79" s="192" t="s">
        <v>151</v>
      </c>
      <c r="G79" s="191">
        <v>59.48</v>
      </c>
      <c r="H79" s="576">
        <f t="shared" si="19"/>
        <v>41636</v>
      </c>
      <c r="I79" s="494">
        <f t="shared" ref="I79:S79" si="36">$G29*I29</f>
        <v>29740</v>
      </c>
      <c r="J79" s="468">
        <f t="shared" si="36"/>
        <v>59480</v>
      </c>
      <c r="K79" s="468">
        <f t="shared" si="36"/>
        <v>0</v>
      </c>
      <c r="L79" s="538">
        <f t="shared" si="36"/>
        <v>59480</v>
      </c>
      <c r="M79" s="538">
        <f t="shared" si="36"/>
        <v>0</v>
      </c>
      <c r="N79" s="538">
        <f t="shared" si="36"/>
        <v>59480</v>
      </c>
      <c r="O79" s="538">
        <f t="shared" si="36"/>
        <v>0</v>
      </c>
      <c r="P79" s="538">
        <f t="shared" si="36"/>
        <v>59480</v>
      </c>
      <c r="Q79" s="538">
        <f t="shared" si="36"/>
        <v>0</v>
      </c>
      <c r="R79" s="538">
        <f t="shared" si="36"/>
        <v>59480</v>
      </c>
      <c r="S79" s="538">
        <f t="shared" si="36"/>
        <v>29740</v>
      </c>
      <c r="T79" s="225">
        <v>6500</v>
      </c>
      <c r="U79" s="226">
        <v>386620</v>
      </c>
      <c r="V79" s="227">
        <v>327660.45</v>
      </c>
      <c r="W79" s="363">
        <f t="shared" si="22"/>
        <v>398516</v>
      </c>
      <c r="X79" s="356">
        <f t="shared" si="23"/>
        <v>11896</v>
      </c>
      <c r="Y79" s="355">
        <f t="shared" si="24"/>
        <v>337742.31</v>
      </c>
      <c r="Z79" s="343">
        <f t="shared" si="25"/>
        <v>10081.859999999986</v>
      </c>
      <c r="AA79" s="45"/>
      <c r="AB79" s="45"/>
      <c r="AC79" s="45"/>
      <c r="AD79" s="45"/>
    </row>
    <row r="80" spans="1:30" s="2" customFormat="1" x14ac:dyDescent="0.2">
      <c r="A80" s="190" t="s">
        <v>41</v>
      </c>
      <c r="B80" s="190" t="s">
        <v>42</v>
      </c>
      <c r="C80" s="190" t="s">
        <v>43</v>
      </c>
      <c r="D80" s="192"/>
      <c r="E80" s="192"/>
      <c r="F80" s="192" t="s">
        <v>165</v>
      </c>
      <c r="G80" s="191">
        <v>10</v>
      </c>
      <c r="H80" s="542">
        <f t="shared" si="19"/>
        <v>0</v>
      </c>
      <c r="I80" s="217">
        <f t="shared" ref="I80:S80" si="37">$G30*I30</f>
        <v>48000</v>
      </c>
      <c r="J80" s="494">
        <f t="shared" si="37"/>
        <v>0</v>
      </c>
      <c r="K80" s="494">
        <f t="shared" si="37"/>
        <v>0</v>
      </c>
      <c r="L80" s="538">
        <f t="shared" si="37"/>
        <v>24000</v>
      </c>
      <c r="M80" s="538">
        <f t="shared" si="37"/>
        <v>0</v>
      </c>
      <c r="N80" s="538">
        <f t="shared" si="37"/>
        <v>0</v>
      </c>
      <c r="O80" s="538">
        <f t="shared" si="37"/>
        <v>36000</v>
      </c>
      <c r="P80" s="538">
        <f t="shared" si="37"/>
        <v>0</v>
      </c>
      <c r="Q80" s="538">
        <f t="shared" si="37"/>
        <v>0</v>
      </c>
      <c r="R80" s="538">
        <f t="shared" si="37"/>
        <v>0</v>
      </c>
      <c r="S80" s="538">
        <f t="shared" si="37"/>
        <v>24000</v>
      </c>
      <c r="T80" s="225">
        <v>8820</v>
      </c>
      <c r="U80" s="226">
        <v>88200</v>
      </c>
      <c r="V80" s="227">
        <v>74749.5</v>
      </c>
      <c r="W80" s="363">
        <f t="shared" si="22"/>
        <v>132000</v>
      </c>
      <c r="X80" s="356">
        <f t="shared" si="23"/>
        <v>43800</v>
      </c>
      <c r="Y80" s="355">
        <f t="shared" si="24"/>
        <v>111870</v>
      </c>
      <c r="Z80" s="343">
        <f t="shared" si="25"/>
        <v>37120.5</v>
      </c>
      <c r="AA80" s="45"/>
      <c r="AB80" s="45"/>
      <c r="AC80" s="45"/>
      <c r="AD80" s="45"/>
    </row>
    <row r="81" spans="1:30" s="2" customFormat="1" x14ac:dyDescent="0.2">
      <c r="A81" s="190" t="s">
        <v>41</v>
      </c>
      <c r="B81" s="190" t="s">
        <v>42</v>
      </c>
      <c r="C81" s="190" t="s">
        <v>43</v>
      </c>
      <c r="D81" s="192"/>
      <c r="E81" s="192"/>
      <c r="F81" s="192" t="s">
        <v>163</v>
      </c>
      <c r="G81" s="191">
        <v>10</v>
      </c>
      <c r="H81" s="541">
        <f t="shared" si="19"/>
        <v>0</v>
      </c>
      <c r="I81" s="494">
        <f t="shared" ref="I81:S81" si="38">$G31*I31</f>
        <v>0</v>
      </c>
      <c r="J81" s="494">
        <f t="shared" si="38"/>
        <v>0</v>
      </c>
      <c r="K81" s="217">
        <f t="shared" si="38"/>
        <v>0</v>
      </c>
      <c r="L81" s="538">
        <f t="shared" si="38"/>
        <v>0</v>
      </c>
      <c r="M81" s="538">
        <f t="shared" si="38"/>
        <v>0</v>
      </c>
      <c r="N81" s="538">
        <f t="shared" si="38"/>
        <v>8000</v>
      </c>
      <c r="O81" s="538">
        <f t="shared" si="38"/>
        <v>0</v>
      </c>
      <c r="P81" s="538">
        <f t="shared" si="38"/>
        <v>8000</v>
      </c>
      <c r="Q81" s="538">
        <f t="shared" si="38"/>
        <v>0</v>
      </c>
      <c r="R81" s="538">
        <f t="shared" si="38"/>
        <v>8000</v>
      </c>
      <c r="S81" s="538">
        <f t="shared" si="38"/>
        <v>0</v>
      </c>
      <c r="T81" s="225">
        <v>4725</v>
      </c>
      <c r="U81" s="226">
        <v>47250</v>
      </c>
      <c r="V81" s="227">
        <v>40044.375</v>
      </c>
      <c r="W81" s="363">
        <f t="shared" si="22"/>
        <v>24000</v>
      </c>
      <c r="X81" s="356">
        <f t="shared" si="23"/>
        <v>-23250</v>
      </c>
      <c r="Y81" s="355">
        <f t="shared" si="24"/>
        <v>20340</v>
      </c>
      <c r="Z81" s="343">
        <f t="shared" si="25"/>
        <v>-19704.375</v>
      </c>
      <c r="AA81" s="45"/>
      <c r="AB81" s="45"/>
      <c r="AC81" s="45"/>
      <c r="AD81" s="45"/>
    </row>
    <row r="82" spans="1:30" s="2" customFormat="1" x14ac:dyDescent="0.2">
      <c r="A82" s="190" t="s">
        <v>41</v>
      </c>
      <c r="B82" s="190" t="s">
        <v>42</v>
      </c>
      <c r="C82" s="190" t="s">
        <v>43</v>
      </c>
      <c r="D82" s="192"/>
      <c r="E82" s="192"/>
      <c r="F82" s="192" t="s">
        <v>164</v>
      </c>
      <c r="G82" s="191">
        <v>10.88</v>
      </c>
      <c r="H82" s="576">
        <f t="shared" si="19"/>
        <v>0</v>
      </c>
      <c r="I82" s="494">
        <f t="shared" ref="I82:S82" si="39">$G32*I32</f>
        <v>0</v>
      </c>
      <c r="J82" s="501">
        <f t="shared" si="39"/>
        <v>13056.000000000002</v>
      </c>
      <c r="K82" s="501">
        <f t="shared" si="39"/>
        <v>0</v>
      </c>
      <c r="L82" s="538">
        <f t="shared" si="39"/>
        <v>13056.000000000002</v>
      </c>
      <c r="M82" s="538">
        <f t="shared" si="39"/>
        <v>0</v>
      </c>
      <c r="N82" s="538">
        <f t="shared" si="39"/>
        <v>0</v>
      </c>
      <c r="O82" s="538">
        <f t="shared" si="39"/>
        <v>13056.000000000002</v>
      </c>
      <c r="P82" s="538">
        <f t="shared" si="39"/>
        <v>0</v>
      </c>
      <c r="Q82" s="538">
        <f t="shared" si="39"/>
        <v>0</v>
      </c>
      <c r="R82" s="538">
        <f t="shared" si="39"/>
        <v>0</v>
      </c>
      <c r="S82" s="538">
        <f t="shared" si="39"/>
        <v>0</v>
      </c>
      <c r="T82" s="225">
        <v>8820</v>
      </c>
      <c r="U82" s="226">
        <v>95961.600000000006</v>
      </c>
      <c r="V82" s="227">
        <v>81327.456000000006</v>
      </c>
      <c r="W82" s="363">
        <f t="shared" si="22"/>
        <v>39168.000000000007</v>
      </c>
      <c r="X82" s="356">
        <f t="shared" si="23"/>
        <v>-56793.599999999999</v>
      </c>
      <c r="Y82" s="355">
        <f t="shared" si="24"/>
        <v>33194.880000000005</v>
      </c>
      <c r="Z82" s="343">
        <f t="shared" si="25"/>
        <v>-48132.576000000001</v>
      </c>
      <c r="AA82" s="45"/>
      <c r="AB82" s="45"/>
      <c r="AC82" s="45"/>
      <c r="AD82" s="45"/>
    </row>
    <row r="83" spans="1:30" s="2" customFormat="1" x14ac:dyDescent="0.2">
      <c r="A83" s="190" t="s">
        <v>41</v>
      </c>
      <c r="B83" s="190" t="s">
        <v>42</v>
      </c>
      <c r="C83" s="190" t="s">
        <v>43</v>
      </c>
      <c r="D83" s="192"/>
      <c r="E83" s="192"/>
      <c r="F83" s="192" t="s">
        <v>72</v>
      </c>
      <c r="G83" s="191">
        <v>21</v>
      </c>
      <c r="H83" s="542">
        <f t="shared" si="19"/>
        <v>0</v>
      </c>
      <c r="I83" s="494">
        <f t="shared" ref="I83:S83" si="40">$G33*I33</f>
        <v>0</v>
      </c>
      <c r="J83" s="494">
        <f t="shared" si="40"/>
        <v>21000</v>
      </c>
      <c r="K83" s="494">
        <f t="shared" si="40"/>
        <v>0</v>
      </c>
      <c r="L83" s="538">
        <f t="shared" si="40"/>
        <v>63000</v>
      </c>
      <c r="M83" s="538">
        <f t="shared" si="40"/>
        <v>0</v>
      </c>
      <c r="N83" s="538">
        <f t="shared" si="40"/>
        <v>21000</v>
      </c>
      <c r="O83" s="538">
        <f t="shared" si="40"/>
        <v>0</v>
      </c>
      <c r="P83" s="538">
        <f t="shared" si="40"/>
        <v>21000</v>
      </c>
      <c r="Q83" s="538">
        <f t="shared" si="40"/>
        <v>0</v>
      </c>
      <c r="R83" s="538">
        <f t="shared" si="40"/>
        <v>42000</v>
      </c>
      <c r="S83" s="538">
        <f t="shared" si="40"/>
        <v>0</v>
      </c>
      <c r="T83" s="225">
        <v>0</v>
      </c>
      <c r="U83" s="226">
        <v>0</v>
      </c>
      <c r="V83" s="227">
        <v>0</v>
      </c>
      <c r="W83" s="363">
        <f t="shared" si="22"/>
        <v>168000</v>
      </c>
      <c r="X83" s="356">
        <f t="shared" si="23"/>
        <v>168000</v>
      </c>
      <c r="Y83" s="355">
        <f t="shared" si="24"/>
        <v>142380</v>
      </c>
      <c r="Z83" s="343">
        <f t="shared" si="25"/>
        <v>142380</v>
      </c>
      <c r="AA83" s="45"/>
      <c r="AB83" s="45"/>
      <c r="AC83" s="45"/>
      <c r="AD83" s="45"/>
    </row>
    <row r="84" spans="1:30" s="2" customFormat="1" x14ac:dyDescent="0.2">
      <c r="A84" s="190" t="s">
        <v>41</v>
      </c>
      <c r="B84" s="190" t="s">
        <v>61</v>
      </c>
      <c r="C84" s="190" t="s">
        <v>43</v>
      </c>
      <c r="D84" s="192"/>
      <c r="E84" s="192"/>
      <c r="F84" s="192" t="s">
        <v>71</v>
      </c>
      <c r="G84" s="191">
        <v>21</v>
      </c>
      <c r="H84" s="542">
        <f t="shared" si="19"/>
        <v>0</v>
      </c>
      <c r="I84" s="494">
        <f t="shared" ref="I84:S84" si="41">$G34*I34</f>
        <v>0</v>
      </c>
      <c r="J84" s="494">
        <f t="shared" si="41"/>
        <v>0</v>
      </c>
      <c r="K84" s="494">
        <f t="shared" si="41"/>
        <v>0</v>
      </c>
      <c r="L84" s="538">
        <f t="shared" si="41"/>
        <v>0</v>
      </c>
      <c r="M84" s="538">
        <f t="shared" si="41"/>
        <v>0</v>
      </c>
      <c r="N84" s="538">
        <f t="shared" si="41"/>
        <v>0</v>
      </c>
      <c r="O84" s="538">
        <f t="shared" si="41"/>
        <v>0</v>
      </c>
      <c r="P84" s="538">
        <f t="shared" si="41"/>
        <v>0</v>
      </c>
      <c r="Q84" s="538">
        <f t="shared" si="41"/>
        <v>0</v>
      </c>
      <c r="R84" s="538">
        <f t="shared" si="41"/>
        <v>0</v>
      </c>
      <c r="S84" s="538">
        <f t="shared" si="41"/>
        <v>0</v>
      </c>
      <c r="T84" s="225">
        <v>0</v>
      </c>
      <c r="U84" s="226">
        <v>0</v>
      </c>
      <c r="V84" s="227">
        <v>0</v>
      </c>
      <c r="W84" s="363">
        <f t="shared" si="22"/>
        <v>0</v>
      </c>
      <c r="X84" s="356">
        <f t="shared" si="23"/>
        <v>0</v>
      </c>
      <c r="Y84" s="355">
        <f t="shared" si="24"/>
        <v>0</v>
      </c>
      <c r="Z84" s="343">
        <f t="shared" si="25"/>
        <v>0</v>
      </c>
      <c r="AA84" s="45"/>
      <c r="AB84" s="45"/>
      <c r="AC84" s="45"/>
      <c r="AD84" s="45"/>
    </row>
    <row r="85" spans="1:30" s="2" customFormat="1" x14ac:dyDescent="0.2">
      <c r="A85" s="190" t="s">
        <v>41</v>
      </c>
      <c r="B85" s="190" t="s">
        <v>42</v>
      </c>
      <c r="C85" s="190" t="s">
        <v>43</v>
      </c>
      <c r="D85" s="192"/>
      <c r="E85" s="192"/>
      <c r="F85" s="192" t="s">
        <v>132</v>
      </c>
      <c r="G85" s="191">
        <v>21</v>
      </c>
      <c r="H85" s="577">
        <f t="shared" si="19"/>
        <v>0</v>
      </c>
      <c r="I85" s="505">
        <f t="shared" ref="I85:S85" si="42">$G35*I35</f>
        <v>0</v>
      </c>
      <c r="J85" s="561">
        <f t="shared" si="42"/>
        <v>0</v>
      </c>
      <c r="K85" s="505">
        <f t="shared" si="42"/>
        <v>113400</v>
      </c>
      <c r="L85" s="538">
        <f t="shared" si="42"/>
        <v>0</v>
      </c>
      <c r="M85" s="538">
        <f t="shared" si="42"/>
        <v>0</v>
      </c>
      <c r="N85" s="538">
        <f t="shared" si="42"/>
        <v>0</v>
      </c>
      <c r="O85" s="538">
        <f t="shared" si="42"/>
        <v>0</v>
      </c>
      <c r="P85" s="538">
        <f t="shared" si="42"/>
        <v>0</v>
      </c>
      <c r="Q85" s="538">
        <f t="shared" si="42"/>
        <v>0</v>
      </c>
      <c r="R85" s="538">
        <f t="shared" si="42"/>
        <v>0</v>
      </c>
      <c r="S85" s="538">
        <f t="shared" si="42"/>
        <v>0</v>
      </c>
      <c r="T85" s="225">
        <v>0</v>
      </c>
      <c r="U85" s="226">
        <v>0</v>
      </c>
      <c r="V85" s="227">
        <v>0</v>
      </c>
      <c r="W85" s="363">
        <f t="shared" si="22"/>
        <v>113400</v>
      </c>
      <c r="X85" s="356">
        <f t="shared" si="23"/>
        <v>113400</v>
      </c>
      <c r="Y85" s="355">
        <f t="shared" si="24"/>
        <v>96106.5</v>
      </c>
      <c r="Z85" s="343">
        <f t="shared" si="25"/>
        <v>96106.5</v>
      </c>
      <c r="AA85" s="45"/>
      <c r="AB85" s="45"/>
      <c r="AC85" s="45"/>
      <c r="AD85" s="45"/>
    </row>
    <row r="86" spans="1:30" s="2" customFormat="1" ht="14.75" customHeight="1" x14ac:dyDescent="0.2">
      <c r="A86" s="190" t="s">
        <v>41</v>
      </c>
      <c r="B86" s="190" t="s">
        <v>42</v>
      </c>
      <c r="C86" s="190" t="s">
        <v>43</v>
      </c>
      <c r="D86" s="190"/>
      <c r="E86" s="190"/>
      <c r="F86" s="190" t="s">
        <v>145</v>
      </c>
      <c r="G86" s="191">
        <v>23</v>
      </c>
      <c r="H86" s="541">
        <f t="shared" si="19"/>
        <v>46000</v>
      </c>
      <c r="I86" s="217">
        <f t="shared" ref="I86:S86" si="43">$G36*I36</f>
        <v>0</v>
      </c>
      <c r="J86" s="494">
        <f t="shared" si="43"/>
        <v>46000</v>
      </c>
      <c r="K86" s="494">
        <f t="shared" si="43"/>
        <v>46000</v>
      </c>
      <c r="L86" s="538">
        <f t="shared" si="43"/>
        <v>0</v>
      </c>
      <c r="M86" s="538">
        <f t="shared" si="43"/>
        <v>46000</v>
      </c>
      <c r="N86" s="538">
        <f t="shared" si="43"/>
        <v>0</v>
      </c>
      <c r="O86" s="538">
        <f t="shared" si="43"/>
        <v>46000</v>
      </c>
      <c r="P86" s="538">
        <f t="shared" si="43"/>
        <v>0</v>
      </c>
      <c r="Q86" s="538">
        <f t="shared" si="43"/>
        <v>23000</v>
      </c>
      <c r="R86" s="538">
        <f t="shared" si="43"/>
        <v>0</v>
      </c>
      <c r="S86" s="538">
        <f t="shared" si="43"/>
        <v>23000</v>
      </c>
      <c r="T86" s="225">
        <v>16000</v>
      </c>
      <c r="U86" s="226">
        <v>368000</v>
      </c>
      <c r="V86" s="227">
        <v>311880</v>
      </c>
      <c r="W86" s="363">
        <f t="shared" si="22"/>
        <v>276000</v>
      </c>
      <c r="X86" s="356">
        <f t="shared" si="23"/>
        <v>-92000</v>
      </c>
      <c r="Y86" s="355">
        <f t="shared" si="24"/>
        <v>233910</v>
      </c>
      <c r="Z86" s="343">
        <f t="shared" si="25"/>
        <v>-77970</v>
      </c>
      <c r="AA86" s="45"/>
      <c r="AB86" s="45"/>
      <c r="AC86" s="45"/>
      <c r="AD86" s="45"/>
    </row>
    <row r="87" spans="1:30" s="2" customFormat="1" x14ac:dyDescent="0.2">
      <c r="A87" s="190" t="s">
        <v>41</v>
      </c>
      <c r="B87" s="190" t="s">
        <v>42</v>
      </c>
      <c r="C87" s="190" t="s">
        <v>43</v>
      </c>
      <c r="D87" s="190"/>
      <c r="E87" s="190"/>
      <c r="F87" s="190" t="s">
        <v>146</v>
      </c>
      <c r="G87" s="191">
        <v>23</v>
      </c>
      <c r="H87" s="578">
        <f t="shared" si="19"/>
        <v>0</v>
      </c>
      <c r="I87" s="561">
        <f t="shared" ref="I87:S87" si="44">$G37*I37</f>
        <v>46000</v>
      </c>
      <c r="J87" s="561">
        <f t="shared" si="44"/>
        <v>0</v>
      </c>
      <c r="K87" s="494">
        <f t="shared" si="44"/>
        <v>34500</v>
      </c>
      <c r="L87" s="538">
        <f t="shared" si="44"/>
        <v>34500</v>
      </c>
      <c r="M87" s="538">
        <f t="shared" si="44"/>
        <v>0</v>
      </c>
      <c r="N87" s="538">
        <f t="shared" si="44"/>
        <v>55200</v>
      </c>
      <c r="O87" s="538">
        <f t="shared" si="44"/>
        <v>0</v>
      </c>
      <c r="P87" s="538">
        <f t="shared" si="44"/>
        <v>57500</v>
      </c>
      <c r="Q87" s="538">
        <f t="shared" si="44"/>
        <v>0</v>
      </c>
      <c r="R87" s="538">
        <f t="shared" si="44"/>
        <v>57500</v>
      </c>
      <c r="S87" s="538">
        <f t="shared" si="44"/>
        <v>0</v>
      </c>
      <c r="T87" s="373">
        <v>14500</v>
      </c>
      <c r="U87" s="361">
        <v>333500</v>
      </c>
      <c r="V87" s="374">
        <v>282641.25</v>
      </c>
      <c r="W87" s="363">
        <f t="shared" si="22"/>
        <v>285200</v>
      </c>
      <c r="X87" s="356">
        <f t="shared" si="23"/>
        <v>-48300</v>
      </c>
      <c r="Y87" s="355">
        <f t="shared" si="24"/>
        <v>241707</v>
      </c>
      <c r="Z87" s="343">
        <f t="shared" si="25"/>
        <v>-40934.25</v>
      </c>
      <c r="AA87" s="45"/>
      <c r="AB87" s="45"/>
      <c r="AC87" s="45"/>
      <c r="AD87" s="45"/>
    </row>
    <row r="88" spans="1:30" s="2" customFormat="1" x14ac:dyDescent="0.2">
      <c r="A88" s="14"/>
      <c r="G88" s="97" t="s">
        <v>39</v>
      </c>
      <c r="H88" s="311">
        <f>SUM(H67:H87)</f>
        <v>532838.80000000005</v>
      </c>
      <c r="I88" s="311">
        <f t="shared" ref="I88:S88" si="45">SUM(I67:I87)</f>
        <v>644829.04</v>
      </c>
      <c r="J88" s="311">
        <f t="shared" si="45"/>
        <v>564439.92000000004</v>
      </c>
      <c r="K88" s="349">
        <f t="shared" si="45"/>
        <v>555793.6</v>
      </c>
      <c r="L88" s="349">
        <f t="shared" si="45"/>
        <v>661433.60000000009</v>
      </c>
      <c r="M88" s="349">
        <f t="shared" si="45"/>
        <v>292360</v>
      </c>
      <c r="N88" s="349">
        <f t="shared" si="45"/>
        <v>534127.24</v>
      </c>
      <c r="O88" s="349">
        <f t="shared" si="45"/>
        <v>374097.4</v>
      </c>
      <c r="P88" s="349">
        <f t="shared" si="45"/>
        <v>542584.67999999993</v>
      </c>
      <c r="Q88" s="349">
        <f t="shared" si="45"/>
        <v>249712.92</v>
      </c>
      <c r="R88" s="349">
        <f t="shared" si="45"/>
        <v>637938.24</v>
      </c>
      <c r="S88" s="371">
        <f t="shared" si="45"/>
        <v>270989.68</v>
      </c>
      <c r="T88" s="359">
        <f>SUM(T67:T87)</f>
        <v>372870</v>
      </c>
      <c r="U88" s="360">
        <f>SUM(U67:U87)</f>
        <v>6405535.6039999994</v>
      </c>
      <c r="V88" s="375">
        <f>SUM(V67:V87)</f>
        <v>5428691.4243900003</v>
      </c>
      <c r="W88" s="367">
        <f>SUM(W67:W87)</f>
        <v>5861145.1199999992</v>
      </c>
      <c r="X88" s="317">
        <f>SUM(X68:X87)</f>
        <v>-651409.48399999982</v>
      </c>
      <c r="Y88" s="317">
        <f>SUM(Y67:Y87)</f>
        <v>4967320.4892000007</v>
      </c>
      <c r="Z88" s="317">
        <f>SUM(Z68:Z87)</f>
        <v>-552069.53769000014</v>
      </c>
    </row>
    <row r="89" spans="1:30" s="2" customFormat="1" ht="16" thickBot="1" x14ac:dyDescent="0.25">
      <c r="A89" s="14"/>
      <c r="G89" s="97"/>
      <c r="H89" s="289"/>
      <c r="I89" s="289"/>
      <c r="J89" s="289"/>
      <c r="K89" s="289"/>
      <c r="L89" s="289"/>
      <c r="M89" s="289"/>
      <c r="N89" s="289"/>
      <c r="O89" s="289"/>
      <c r="P89" s="289"/>
      <c r="Q89" s="289"/>
      <c r="R89" s="289"/>
      <c r="S89" s="289"/>
      <c r="T89" s="313">
        <v>6064131.4839999992</v>
      </c>
      <c r="U89" s="314" t="s">
        <v>156</v>
      </c>
      <c r="V89" s="315" t="s">
        <v>156</v>
      </c>
      <c r="W89" s="372"/>
      <c r="X89" s="319"/>
      <c r="Y89" s="319"/>
      <c r="Z89" s="319"/>
    </row>
    <row r="90" spans="1:30" s="2" customFormat="1" x14ac:dyDescent="0.2">
      <c r="A90" s="14"/>
      <c r="G90" s="97"/>
      <c r="H90" s="289"/>
      <c r="I90" s="289"/>
      <c r="J90" s="289"/>
      <c r="K90" s="289"/>
      <c r="L90" s="289"/>
      <c r="M90" s="289"/>
      <c r="N90" s="289"/>
      <c r="O90" s="289"/>
      <c r="P90" s="289"/>
      <c r="Q90" s="289"/>
      <c r="R90" s="289"/>
      <c r="S90" s="289"/>
      <c r="T90" s="221"/>
      <c r="U90" s="253"/>
      <c r="V90" s="253"/>
      <c r="W90" s="331"/>
      <c r="X90" s="333"/>
      <c r="Y90" s="333"/>
      <c r="Z90" s="331"/>
    </row>
    <row r="91" spans="1:30" s="2" customFormat="1" ht="16" thickBot="1" x14ac:dyDescent="0.25">
      <c r="A91" s="14"/>
      <c r="G91" s="14"/>
      <c r="H91" s="289"/>
      <c r="I91" s="289"/>
      <c r="J91" s="289"/>
      <c r="K91" s="289"/>
      <c r="L91" s="289"/>
      <c r="M91" s="289"/>
      <c r="N91" s="289"/>
      <c r="O91" s="289"/>
      <c r="P91" s="289"/>
      <c r="Q91" s="289"/>
      <c r="R91" s="289"/>
      <c r="S91" s="289"/>
      <c r="T91" s="302"/>
      <c r="U91" s="296"/>
      <c r="V91" s="20"/>
    </row>
    <row r="92" spans="1:30" s="2" customFormat="1" ht="33" thickBot="1" x14ac:dyDescent="0.25">
      <c r="A92" s="14"/>
      <c r="F92" s="350" t="s">
        <v>204</v>
      </c>
      <c r="G92" s="14"/>
      <c r="H92" s="353" t="s">
        <v>175</v>
      </c>
      <c r="I92" s="353" t="s">
        <v>176</v>
      </c>
      <c r="J92" s="353" t="s">
        <v>177</v>
      </c>
      <c r="K92" s="353" t="s">
        <v>178</v>
      </c>
      <c r="L92" s="351" t="s">
        <v>179</v>
      </c>
      <c r="M92" s="351" t="s">
        <v>180</v>
      </c>
      <c r="N92" s="351" t="s">
        <v>181</v>
      </c>
      <c r="O92" s="351" t="s">
        <v>182</v>
      </c>
      <c r="P92" s="351" t="s">
        <v>183</v>
      </c>
      <c r="Q92" s="351" t="s">
        <v>205</v>
      </c>
      <c r="R92" s="351" t="s">
        <v>184</v>
      </c>
      <c r="S92" s="352" t="s">
        <v>185</v>
      </c>
      <c r="T92" s="445" t="s">
        <v>152</v>
      </c>
      <c r="U92" s="446" t="s">
        <v>153</v>
      </c>
      <c r="V92" s="447" t="s">
        <v>154</v>
      </c>
      <c r="W92" s="215" t="s">
        <v>167</v>
      </c>
      <c r="X92" s="325" t="s">
        <v>196</v>
      </c>
      <c r="Y92" s="329" t="s">
        <v>197</v>
      </c>
      <c r="Z92" s="306" t="s">
        <v>169</v>
      </c>
      <c r="AA92" s="45" t="s">
        <v>224</v>
      </c>
      <c r="AB92" s="45" t="s">
        <v>225</v>
      </c>
      <c r="AC92" s="45" t="s">
        <v>226</v>
      </c>
      <c r="AD92" s="45" t="s">
        <v>229</v>
      </c>
    </row>
    <row r="93" spans="1:30" s="2" customFormat="1" x14ac:dyDescent="0.2">
      <c r="A93" s="64" t="s">
        <v>74</v>
      </c>
      <c r="B93" s="45" t="s">
        <v>70</v>
      </c>
      <c r="C93" s="45" t="s">
        <v>89</v>
      </c>
      <c r="D93" s="45"/>
      <c r="E93" s="45"/>
      <c r="F93" s="45" t="s">
        <v>81</v>
      </c>
      <c r="G93" s="182">
        <v>9.9499999999999993</v>
      </c>
      <c r="H93" s="320">
        <f t="shared" ref="H93:S93" si="46">$G43*H43</f>
        <v>0</v>
      </c>
      <c r="I93" s="285">
        <f t="shared" si="46"/>
        <v>0</v>
      </c>
      <c r="J93" s="285">
        <f t="shared" si="46"/>
        <v>0</v>
      </c>
      <c r="K93" s="45">
        <f t="shared" si="46"/>
        <v>0</v>
      </c>
      <c r="L93" s="292">
        <f t="shared" si="46"/>
        <v>0</v>
      </c>
      <c r="M93" s="292">
        <f t="shared" si="46"/>
        <v>0</v>
      </c>
      <c r="N93" s="292">
        <f t="shared" si="46"/>
        <v>0</v>
      </c>
      <c r="O93" s="292">
        <f t="shared" si="46"/>
        <v>0</v>
      </c>
      <c r="P93" s="292">
        <f t="shared" si="46"/>
        <v>0</v>
      </c>
      <c r="Q93" s="292">
        <f t="shared" si="46"/>
        <v>0</v>
      </c>
      <c r="R93" s="292">
        <f t="shared" si="46"/>
        <v>0</v>
      </c>
      <c r="S93" s="376">
        <f t="shared" si="46"/>
        <v>0</v>
      </c>
      <c r="T93" s="515">
        <v>0</v>
      </c>
      <c r="U93" s="516">
        <v>0</v>
      </c>
      <c r="V93" s="517">
        <v>0</v>
      </c>
      <c r="W93" s="336">
        <f>SUM(H93:S93)</f>
        <v>0</v>
      </c>
      <c r="X93" s="337">
        <f>G93*W93</f>
        <v>0</v>
      </c>
      <c r="Y93" s="338">
        <f>X93*0.8475</f>
        <v>0</v>
      </c>
      <c r="Z93" s="339"/>
      <c r="AA93" s="45"/>
      <c r="AB93" s="45"/>
      <c r="AC93" s="45"/>
      <c r="AD93" s="45"/>
    </row>
    <row r="94" spans="1:30" s="2" customFormat="1" x14ac:dyDescent="0.2">
      <c r="A94" s="64" t="s">
        <v>74</v>
      </c>
      <c r="B94" s="45" t="s">
        <v>61</v>
      </c>
      <c r="C94" s="45" t="s">
        <v>80</v>
      </c>
      <c r="D94" s="45"/>
      <c r="E94" s="45"/>
      <c r="F94" s="45" t="s">
        <v>81</v>
      </c>
      <c r="G94" s="182">
        <v>9.9499999999999993</v>
      </c>
      <c r="H94" s="320">
        <f t="shared" ref="H94:S94" si="47">$G44*H44</f>
        <v>0</v>
      </c>
      <c r="I94" s="285">
        <f t="shared" si="47"/>
        <v>0</v>
      </c>
      <c r="J94" s="285">
        <f t="shared" si="47"/>
        <v>0</v>
      </c>
      <c r="K94" s="45">
        <f t="shared" si="47"/>
        <v>0</v>
      </c>
      <c r="L94" s="292">
        <f t="shared" si="47"/>
        <v>0</v>
      </c>
      <c r="M94" s="292">
        <f t="shared" si="47"/>
        <v>0</v>
      </c>
      <c r="N94" s="292">
        <f t="shared" si="47"/>
        <v>0</v>
      </c>
      <c r="O94" s="292">
        <f t="shared" si="47"/>
        <v>0</v>
      </c>
      <c r="P94" s="292">
        <f t="shared" si="47"/>
        <v>0</v>
      </c>
      <c r="Q94" s="292">
        <f t="shared" si="47"/>
        <v>0</v>
      </c>
      <c r="R94" s="292">
        <f t="shared" si="47"/>
        <v>0</v>
      </c>
      <c r="S94" s="376">
        <f t="shared" si="47"/>
        <v>0</v>
      </c>
      <c r="T94" s="515">
        <v>0</v>
      </c>
      <c r="U94" s="515">
        <v>0</v>
      </c>
      <c r="V94" s="518">
        <v>0</v>
      </c>
      <c r="W94" s="336">
        <f t="shared" ref="W94:W101" si="48">SUM(H94:S94)</f>
        <v>0</v>
      </c>
      <c r="X94" s="343">
        <f t="shared" ref="X94:X101" si="49">G94*W94</f>
        <v>0</v>
      </c>
      <c r="Y94" s="344">
        <f t="shared" ref="Y94:Y101" si="50">X94*0.8475</f>
        <v>0</v>
      </c>
      <c r="Z94" s="339"/>
      <c r="AA94" s="45"/>
      <c r="AB94" s="45"/>
      <c r="AC94" s="45"/>
      <c r="AD94" s="45"/>
    </row>
    <row r="95" spans="1:30" s="2" customFormat="1" ht="14" customHeight="1" x14ac:dyDescent="0.2">
      <c r="A95" s="64" t="s">
        <v>74</v>
      </c>
      <c r="B95" s="45" t="s">
        <v>61</v>
      </c>
      <c r="C95" s="45" t="s">
        <v>83</v>
      </c>
      <c r="D95" s="45"/>
      <c r="E95" s="45"/>
      <c r="F95" s="45" t="s">
        <v>81</v>
      </c>
      <c r="G95" s="182">
        <v>9.9499999999999993</v>
      </c>
      <c r="H95" s="320">
        <f t="shared" ref="H95:S95" si="51">$G45*H45</f>
        <v>17910</v>
      </c>
      <c r="I95" s="294">
        <f t="shared" si="51"/>
        <v>17910</v>
      </c>
      <c r="J95" s="294">
        <f t="shared" si="51"/>
        <v>0</v>
      </c>
      <c r="K95" s="216">
        <f t="shared" si="51"/>
        <v>17910</v>
      </c>
      <c r="L95" s="292">
        <f t="shared" si="51"/>
        <v>17910</v>
      </c>
      <c r="M95" s="292">
        <f t="shared" si="51"/>
        <v>0</v>
      </c>
      <c r="N95" s="292">
        <f t="shared" si="51"/>
        <v>17910</v>
      </c>
      <c r="O95" s="292">
        <f t="shared" si="51"/>
        <v>0</v>
      </c>
      <c r="P95" s="292">
        <f t="shared" si="51"/>
        <v>17910</v>
      </c>
      <c r="Q95" s="292">
        <f t="shared" si="51"/>
        <v>0</v>
      </c>
      <c r="R95" s="292">
        <f t="shared" si="51"/>
        <v>0</v>
      </c>
      <c r="S95" s="376">
        <f t="shared" si="51"/>
        <v>17910</v>
      </c>
      <c r="T95" s="225">
        <v>9000</v>
      </c>
      <c r="U95" s="226">
        <v>89550</v>
      </c>
      <c r="V95" s="227">
        <v>75893.625</v>
      </c>
      <c r="W95" s="336">
        <f t="shared" si="48"/>
        <v>125370</v>
      </c>
      <c r="X95" s="343">
        <f t="shared" si="49"/>
        <v>1247431.5</v>
      </c>
      <c r="Y95" s="344">
        <f t="shared" si="50"/>
        <v>1057198.19625</v>
      </c>
      <c r="Z95" s="339"/>
      <c r="AA95" s="45"/>
      <c r="AB95" s="45"/>
      <c r="AC95" s="45"/>
      <c r="AD95" s="45"/>
    </row>
    <row r="96" spans="1:30" s="2" customFormat="1" x14ac:dyDescent="0.2">
      <c r="A96" s="64" t="s">
        <v>74</v>
      </c>
      <c r="B96" s="45" t="s">
        <v>70</v>
      </c>
      <c r="C96" s="45" t="s">
        <v>87</v>
      </c>
      <c r="D96" s="45"/>
      <c r="E96" s="45"/>
      <c r="F96" s="45" t="s">
        <v>88</v>
      </c>
      <c r="G96" s="182">
        <v>13.27</v>
      </c>
      <c r="H96" s="320">
        <f t="shared" ref="H96:S96" si="52">$G46*H46</f>
        <v>0</v>
      </c>
      <c r="I96" s="285">
        <f t="shared" si="52"/>
        <v>0</v>
      </c>
      <c r="J96" s="285">
        <f t="shared" si="52"/>
        <v>0</v>
      </c>
      <c r="K96" s="45">
        <f t="shared" si="52"/>
        <v>0</v>
      </c>
      <c r="L96" s="292">
        <f t="shared" si="52"/>
        <v>0</v>
      </c>
      <c r="M96" s="292">
        <f t="shared" si="52"/>
        <v>0</v>
      </c>
      <c r="N96" s="292">
        <f t="shared" si="52"/>
        <v>0</v>
      </c>
      <c r="O96" s="292">
        <f t="shared" si="52"/>
        <v>0</v>
      </c>
      <c r="P96" s="292">
        <f t="shared" si="52"/>
        <v>0</v>
      </c>
      <c r="Q96" s="292">
        <f t="shared" si="52"/>
        <v>0</v>
      </c>
      <c r="R96" s="292">
        <f t="shared" si="52"/>
        <v>0</v>
      </c>
      <c r="S96" s="376">
        <f t="shared" si="52"/>
        <v>0</v>
      </c>
      <c r="T96" s="515">
        <v>0</v>
      </c>
      <c r="U96" s="515">
        <v>0</v>
      </c>
      <c r="V96" s="518">
        <v>0</v>
      </c>
      <c r="W96" s="336">
        <f t="shared" si="48"/>
        <v>0</v>
      </c>
      <c r="X96" s="343">
        <f t="shared" si="49"/>
        <v>0</v>
      </c>
      <c r="Y96" s="344">
        <f t="shared" si="50"/>
        <v>0</v>
      </c>
      <c r="Z96" s="339"/>
      <c r="AA96" s="45"/>
      <c r="AB96" s="45"/>
      <c r="AC96" s="45"/>
      <c r="AD96" s="45"/>
    </row>
    <row r="97" spans="1:30" s="2" customFormat="1" x14ac:dyDescent="0.2">
      <c r="A97" s="64" t="s">
        <v>74</v>
      </c>
      <c r="B97" s="45" t="s">
        <v>70</v>
      </c>
      <c r="C97" s="45" t="s">
        <v>87</v>
      </c>
      <c r="D97" s="45"/>
      <c r="E97" s="45"/>
      <c r="F97" s="45" t="s">
        <v>148</v>
      </c>
      <c r="G97" s="182">
        <v>59.48</v>
      </c>
      <c r="H97" s="320">
        <f t="shared" ref="H97:S97" si="53">$G47*H47</f>
        <v>0</v>
      </c>
      <c r="I97" s="285">
        <f t="shared" si="53"/>
        <v>0</v>
      </c>
      <c r="J97" s="285">
        <f t="shared" si="53"/>
        <v>0</v>
      </c>
      <c r="K97" s="45">
        <f t="shared" si="53"/>
        <v>0</v>
      </c>
      <c r="L97" s="292">
        <f t="shared" si="53"/>
        <v>0</v>
      </c>
      <c r="M97" s="292">
        <f t="shared" si="53"/>
        <v>0</v>
      </c>
      <c r="N97" s="292">
        <f t="shared" si="53"/>
        <v>0</v>
      </c>
      <c r="O97" s="292">
        <f t="shared" si="53"/>
        <v>0</v>
      </c>
      <c r="P97" s="292">
        <f t="shared" si="53"/>
        <v>0</v>
      </c>
      <c r="Q97" s="292">
        <f t="shared" si="53"/>
        <v>0</v>
      </c>
      <c r="R97" s="292">
        <f t="shared" si="53"/>
        <v>0</v>
      </c>
      <c r="S97" s="376">
        <f t="shared" si="53"/>
        <v>0</v>
      </c>
      <c r="T97" s="515">
        <v>0</v>
      </c>
      <c r="U97" s="515">
        <v>0</v>
      </c>
      <c r="V97" s="518">
        <v>0</v>
      </c>
      <c r="W97" s="336">
        <f t="shared" si="48"/>
        <v>0</v>
      </c>
      <c r="X97" s="343">
        <f t="shared" si="49"/>
        <v>0</v>
      </c>
      <c r="Y97" s="344">
        <f t="shared" si="50"/>
        <v>0</v>
      </c>
      <c r="Z97" s="339"/>
      <c r="AA97" s="45"/>
      <c r="AB97" s="45"/>
      <c r="AC97" s="45"/>
      <c r="AD97" s="45"/>
    </row>
    <row r="98" spans="1:30" s="2" customFormat="1" x14ac:dyDescent="0.2">
      <c r="A98" s="64" t="s">
        <v>74</v>
      </c>
      <c r="B98" s="45" t="s">
        <v>70</v>
      </c>
      <c r="C98" s="45" t="s">
        <v>80</v>
      </c>
      <c r="D98" s="45"/>
      <c r="E98" s="45"/>
      <c r="F98" s="45" t="s">
        <v>149</v>
      </c>
      <c r="G98" s="182">
        <v>59.48</v>
      </c>
      <c r="H98" s="321">
        <f t="shared" ref="H98:S98" si="54">$G48*H48</f>
        <v>4758.3999999999996</v>
      </c>
      <c r="I98" s="294">
        <f t="shared" si="54"/>
        <v>4758.3999999999996</v>
      </c>
      <c r="J98" s="294">
        <f t="shared" si="54"/>
        <v>4758.3999999999996</v>
      </c>
      <c r="K98" s="294">
        <f t="shared" si="54"/>
        <v>4758.3999999999996</v>
      </c>
      <c r="L98" s="292">
        <f t="shared" si="54"/>
        <v>4758.3999999999996</v>
      </c>
      <c r="M98" s="292">
        <f t="shared" si="54"/>
        <v>0</v>
      </c>
      <c r="N98" s="292">
        <f t="shared" si="54"/>
        <v>4758.3999999999996</v>
      </c>
      <c r="O98" s="292">
        <f t="shared" si="54"/>
        <v>0</v>
      </c>
      <c r="P98" s="292">
        <f t="shared" si="54"/>
        <v>4758.3999999999996</v>
      </c>
      <c r="Q98" s="292">
        <f t="shared" si="54"/>
        <v>0</v>
      </c>
      <c r="R98" s="292">
        <f t="shared" si="54"/>
        <v>4758.3999999999996</v>
      </c>
      <c r="S98" s="376">
        <f t="shared" si="54"/>
        <v>0</v>
      </c>
      <c r="T98" s="515">
        <v>0</v>
      </c>
      <c r="U98" s="515">
        <v>0</v>
      </c>
      <c r="V98" s="518">
        <v>0</v>
      </c>
      <c r="W98" s="336">
        <f t="shared" si="48"/>
        <v>38067.200000000004</v>
      </c>
      <c r="X98" s="343">
        <f t="shared" si="49"/>
        <v>2264237.0560000003</v>
      </c>
      <c r="Y98" s="344">
        <f t="shared" si="50"/>
        <v>1918940.9049600004</v>
      </c>
      <c r="Z98" s="339"/>
      <c r="AA98" s="45"/>
      <c r="AB98" s="45"/>
      <c r="AC98" s="45"/>
      <c r="AD98" s="45"/>
    </row>
    <row r="99" spans="1:30" s="2" customFormat="1" ht="14.75" customHeight="1" x14ac:dyDescent="0.2">
      <c r="A99" s="64" t="s">
        <v>74</v>
      </c>
      <c r="B99" s="45" t="s">
        <v>70</v>
      </c>
      <c r="C99" s="45" t="s">
        <v>75</v>
      </c>
      <c r="D99" s="45"/>
      <c r="E99" s="45"/>
      <c r="F99" s="45" t="s">
        <v>149</v>
      </c>
      <c r="G99" s="182">
        <v>59.48</v>
      </c>
      <c r="H99" s="320">
        <f t="shared" ref="H99:S99" si="55">$G49*H49</f>
        <v>0</v>
      </c>
      <c r="I99" s="285">
        <f t="shared" si="55"/>
        <v>0</v>
      </c>
      <c r="J99" s="285">
        <f t="shared" si="55"/>
        <v>0</v>
      </c>
      <c r="K99" s="45">
        <f t="shared" si="55"/>
        <v>0</v>
      </c>
      <c r="L99" s="292">
        <f t="shared" si="55"/>
        <v>0</v>
      </c>
      <c r="M99" s="292">
        <f t="shared" si="55"/>
        <v>0</v>
      </c>
      <c r="N99" s="292">
        <f t="shared" si="55"/>
        <v>0</v>
      </c>
      <c r="O99" s="292">
        <f t="shared" si="55"/>
        <v>0</v>
      </c>
      <c r="P99" s="292">
        <f t="shared" si="55"/>
        <v>0</v>
      </c>
      <c r="Q99" s="292">
        <f t="shared" si="55"/>
        <v>0</v>
      </c>
      <c r="R99" s="292">
        <f t="shared" si="55"/>
        <v>0</v>
      </c>
      <c r="S99" s="376">
        <f t="shared" si="55"/>
        <v>0</v>
      </c>
      <c r="T99" s="515">
        <v>0</v>
      </c>
      <c r="U99" s="515">
        <v>0</v>
      </c>
      <c r="V99" s="518">
        <v>0</v>
      </c>
      <c r="W99" s="336">
        <f t="shared" si="48"/>
        <v>0</v>
      </c>
      <c r="X99" s="343">
        <f t="shared" si="49"/>
        <v>0</v>
      </c>
      <c r="Y99" s="344">
        <f t="shared" si="50"/>
        <v>0</v>
      </c>
      <c r="Z99" s="339"/>
      <c r="AA99" s="45"/>
      <c r="AB99" s="45"/>
      <c r="AC99" s="45"/>
      <c r="AD99" s="45"/>
    </row>
    <row r="100" spans="1:30" s="2" customFormat="1" x14ac:dyDescent="0.2">
      <c r="A100" s="64" t="s">
        <v>74</v>
      </c>
      <c r="B100" s="45" t="s">
        <v>70</v>
      </c>
      <c r="C100" s="45" t="s">
        <v>77</v>
      </c>
      <c r="D100" s="45"/>
      <c r="E100" s="45"/>
      <c r="F100" s="45" t="s">
        <v>150</v>
      </c>
      <c r="G100" s="182">
        <f>21.66*1.01</f>
        <v>21.8766</v>
      </c>
      <c r="H100" s="320">
        <f t="shared" ref="H100:S100" si="56">$G50*H50</f>
        <v>0</v>
      </c>
      <c r="I100" s="285">
        <f t="shared" si="56"/>
        <v>0</v>
      </c>
      <c r="J100" s="285">
        <f t="shared" si="56"/>
        <v>0</v>
      </c>
      <c r="K100" s="45">
        <f t="shared" si="56"/>
        <v>0</v>
      </c>
      <c r="L100" s="292">
        <f t="shared" si="56"/>
        <v>0</v>
      </c>
      <c r="M100" s="292">
        <f t="shared" si="56"/>
        <v>0</v>
      </c>
      <c r="N100" s="292">
        <f t="shared" si="56"/>
        <v>0</v>
      </c>
      <c r="O100" s="292">
        <f t="shared" si="56"/>
        <v>0</v>
      </c>
      <c r="P100" s="292">
        <f t="shared" si="56"/>
        <v>0</v>
      </c>
      <c r="Q100" s="292">
        <f t="shared" si="56"/>
        <v>0</v>
      </c>
      <c r="R100" s="292">
        <f t="shared" si="56"/>
        <v>0</v>
      </c>
      <c r="S100" s="376">
        <f t="shared" si="56"/>
        <v>0</v>
      </c>
      <c r="T100" s="515">
        <v>0</v>
      </c>
      <c r="U100" s="515">
        <v>0</v>
      </c>
      <c r="V100" s="518">
        <v>0</v>
      </c>
      <c r="W100" s="336">
        <f t="shared" si="48"/>
        <v>0</v>
      </c>
      <c r="X100" s="343">
        <f t="shared" si="49"/>
        <v>0</v>
      </c>
      <c r="Y100" s="344">
        <f t="shared" si="50"/>
        <v>0</v>
      </c>
      <c r="Z100" s="339"/>
      <c r="AA100" s="45"/>
      <c r="AB100" s="45"/>
      <c r="AC100" s="45"/>
      <c r="AD100" s="45"/>
    </row>
    <row r="101" spans="1:30" s="2" customFormat="1" x14ac:dyDescent="0.2">
      <c r="A101" s="64" t="s">
        <v>74</v>
      </c>
      <c r="B101" s="45" t="s">
        <v>70</v>
      </c>
      <c r="C101" s="45" t="s">
        <v>89</v>
      </c>
      <c r="D101" s="45"/>
      <c r="E101" s="45"/>
      <c r="F101" s="45" t="s">
        <v>150</v>
      </c>
      <c r="G101" s="182">
        <f>21.66*1.01</f>
        <v>21.8766</v>
      </c>
      <c r="H101" s="320">
        <f t="shared" ref="H101:S101" si="57">$G51*H51</f>
        <v>0</v>
      </c>
      <c r="I101" s="285">
        <f t="shared" si="57"/>
        <v>0</v>
      </c>
      <c r="J101" s="285">
        <f t="shared" si="57"/>
        <v>0</v>
      </c>
      <c r="K101" s="45">
        <f t="shared" si="57"/>
        <v>0</v>
      </c>
      <c r="L101" s="292">
        <f t="shared" si="57"/>
        <v>0</v>
      </c>
      <c r="M101" s="292">
        <f t="shared" si="57"/>
        <v>0</v>
      </c>
      <c r="N101" s="292">
        <f t="shared" si="57"/>
        <v>0</v>
      </c>
      <c r="O101" s="292">
        <f t="shared" si="57"/>
        <v>0</v>
      </c>
      <c r="P101" s="292">
        <f t="shared" si="57"/>
        <v>0</v>
      </c>
      <c r="Q101" s="292">
        <f t="shared" si="57"/>
        <v>0</v>
      </c>
      <c r="R101" s="292">
        <f t="shared" si="57"/>
        <v>0</v>
      </c>
      <c r="S101" s="376">
        <f t="shared" si="57"/>
        <v>0</v>
      </c>
      <c r="T101" s="515">
        <v>0</v>
      </c>
      <c r="U101" s="515">
        <v>0</v>
      </c>
      <c r="V101" s="518">
        <v>0</v>
      </c>
      <c r="W101" s="336">
        <f t="shared" si="48"/>
        <v>0</v>
      </c>
      <c r="X101" s="343">
        <f t="shared" si="49"/>
        <v>0</v>
      </c>
      <c r="Y101" s="344">
        <f t="shared" si="50"/>
        <v>0</v>
      </c>
      <c r="Z101" s="339"/>
      <c r="AA101" s="45"/>
      <c r="AB101" s="45"/>
      <c r="AC101" s="45"/>
      <c r="AD101" s="45"/>
    </row>
    <row r="102" spans="1:30" s="2" customFormat="1" ht="15.5" customHeight="1" x14ac:dyDescent="0.2">
      <c r="G102" s="2" t="s">
        <v>201</v>
      </c>
      <c r="H102" s="347">
        <f>SUM(H93:H101)</f>
        <v>22668.400000000001</v>
      </c>
      <c r="I102" s="347">
        <f t="shared" ref="I102:S102" si="58">SUM(I93:I101)</f>
        <v>22668.400000000001</v>
      </c>
      <c r="J102" s="347">
        <f t="shared" si="58"/>
        <v>4758.3999999999996</v>
      </c>
      <c r="K102" s="348">
        <f t="shared" si="58"/>
        <v>22668.400000000001</v>
      </c>
      <c r="L102" s="348">
        <f t="shared" si="58"/>
        <v>22668.400000000001</v>
      </c>
      <c r="M102" s="348">
        <f t="shared" si="58"/>
        <v>0</v>
      </c>
      <c r="N102" s="348">
        <f t="shared" si="58"/>
        <v>22668.400000000001</v>
      </c>
      <c r="O102" s="348">
        <f t="shared" si="58"/>
        <v>0</v>
      </c>
      <c r="P102" s="348">
        <f t="shared" si="58"/>
        <v>22668.400000000001</v>
      </c>
      <c r="Q102" s="348">
        <f t="shared" si="58"/>
        <v>0</v>
      </c>
      <c r="R102" s="348">
        <f t="shared" si="58"/>
        <v>4758.3999999999996</v>
      </c>
      <c r="S102" s="377">
        <f t="shared" si="58"/>
        <v>17910</v>
      </c>
      <c r="T102" s="380">
        <f>SUM(T93:T101)</f>
        <v>9000</v>
      </c>
      <c r="U102" s="380">
        <f t="shared" ref="U102:V102" si="59">SUM(U93:U101)</f>
        <v>89550</v>
      </c>
      <c r="V102" s="380">
        <f t="shared" si="59"/>
        <v>75893.625</v>
      </c>
      <c r="W102" s="316">
        <f>SUM(W93:W101)</f>
        <v>163437.20000000001</v>
      </c>
      <c r="X102" s="317">
        <f>SUM(X80:X101)</f>
        <v>2965115.4720000005</v>
      </c>
      <c r="Y102" s="317">
        <f>X102*0.8475</f>
        <v>2512935.3625200004</v>
      </c>
      <c r="Z102" s="317">
        <f>SUM(Z80:Z101)</f>
        <v>-463203.73869000014</v>
      </c>
    </row>
    <row r="103" spans="1:30" s="2" customFormat="1" ht="16" thickBot="1" x14ac:dyDescent="0.25">
      <c r="A103" s="14"/>
      <c r="H103" s="40"/>
      <c r="I103" s="40"/>
      <c r="J103" s="40"/>
      <c r="K103" s="40"/>
      <c r="L103" s="40"/>
      <c r="M103" s="40"/>
      <c r="N103" s="111"/>
      <c r="O103" s="112"/>
      <c r="T103" s="382">
        <f>SUM(U95)</f>
        <v>89550</v>
      </c>
      <c r="U103" s="383">
        <f>SUM(U93:U101)</f>
        <v>89550</v>
      </c>
      <c r="V103" s="384">
        <f>SUM(V93:V101)</f>
        <v>75893.625</v>
      </c>
      <c r="W103" s="318"/>
      <c r="X103" s="319"/>
      <c r="Y103" s="319"/>
      <c r="Z103" s="319"/>
    </row>
    <row r="104" spans="1:30" s="152" customFormat="1" ht="20" thickBot="1" x14ac:dyDescent="0.25">
      <c r="A104" s="14"/>
      <c r="S104" s="580" t="s">
        <v>239</v>
      </c>
      <c r="T104" s="581">
        <f>T88+T102</f>
        <v>381870</v>
      </c>
      <c r="U104" s="582">
        <f>U88+U102</f>
        <v>6495085.6039999994</v>
      </c>
      <c r="V104" s="583">
        <f>V88+V102</f>
        <v>5504585.0493900003</v>
      </c>
      <c r="W104" s="513"/>
    </row>
    <row r="105" spans="1:30" s="152" customFormat="1" ht="19" x14ac:dyDescent="0.2">
      <c r="A105" s="14"/>
      <c r="H105" s="153"/>
      <c r="I105" s="41"/>
      <c r="J105" s="41"/>
      <c r="K105" s="41"/>
      <c r="L105" s="41"/>
      <c r="M105" s="41"/>
      <c r="N105" s="111"/>
      <c r="Q105" s="2"/>
      <c r="R105" s="2"/>
      <c r="S105" s="2"/>
      <c r="W105"/>
    </row>
    <row r="106" spans="1:30" x14ac:dyDescent="0.2">
      <c r="G106" t="s">
        <v>230</v>
      </c>
      <c r="H106" s="585">
        <f t="shared" ref="H106:S106" si="60">H88+H102</f>
        <v>555507.20000000007</v>
      </c>
      <c r="I106" s="511">
        <f t="shared" si="60"/>
        <v>667497.44000000006</v>
      </c>
      <c r="J106" s="511">
        <f t="shared" si="60"/>
        <v>569198.32000000007</v>
      </c>
      <c r="K106" s="511">
        <f t="shared" si="60"/>
        <v>578462</v>
      </c>
      <c r="L106" s="511">
        <f t="shared" si="60"/>
        <v>684102.00000000012</v>
      </c>
      <c r="M106" s="511">
        <f t="shared" si="60"/>
        <v>292360</v>
      </c>
      <c r="N106" s="511">
        <f t="shared" si="60"/>
        <v>556795.64</v>
      </c>
      <c r="O106" s="511">
        <f t="shared" si="60"/>
        <v>374097.4</v>
      </c>
      <c r="P106" s="511">
        <f t="shared" si="60"/>
        <v>565253.07999999996</v>
      </c>
      <c r="Q106" s="511">
        <f t="shared" si="60"/>
        <v>249712.92</v>
      </c>
      <c r="R106" s="511">
        <f t="shared" si="60"/>
        <v>642696.64</v>
      </c>
      <c r="S106" s="511">
        <f t="shared" si="60"/>
        <v>288899.68</v>
      </c>
      <c r="U106" s="510">
        <f>SUM(H106:S106)</f>
        <v>6024582.3199999994</v>
      </c>
    </row>
    <row r="107" spans="1:30" x14ac:dyDescent="0.2">
      <c r="G107" t="s">
        <v>231</v>
      </c>
      <c r="H107" s="586">
        <f>H106*0.8475</f>
        <v>470792.35200000007</v>
      </c>
      <c r="I107" s="509">
        <f t="shared" ref="I107:S107" si="61">I106*0.8475</f>
        <v>565704.08040000009</v>
      </c>
      <c r="J107" s="509">
        <f t="shared" si="61"/>
        <v>482395.57620000007</v>
      </c>
      <c r="K107" s="509">
        <f t="shared" si="61"/>
        <v>490246.54500000004</v>
      </c>
      <c r="L107" s="509">
        <f t="shared" si="61"/>
        <v>579776.44500000007</v>
      </c>
      <c r="M107" s="509">
        <f t="shared" si="61"/>
        <v>247775.1</v>
      </c>
      <c r="N107" s="509">
        <f t="shared" si="61"/>
        <v>471884.30490000005</v>
      </c>
      <c r="O107" s="509">
        <f t="shared" si="61"/>
        <v>317047.54650000005</v>
      </c>
      <c r="P107" s="509">
        <f t="shared" si="61"/>
        <v>479051.9853</v>
      </c>
      <c r="Q107" s="509">
        <f t="shared" si="61"/>
        <v>211631.69970000003</v>
      </c>
      <c r="R107" s="509">
        <f t="shared" si="61"/>
        <v>544685.40240000002</v>
      </c>
      <c r="S107" s="509">
        <f t="shared" si="61"/>
        <v>244842.47880000001</v>
      </c>
      <c r="U107" s="512">
        <f>U106*0.8475</f>
        <v>5105833.5161999995</v>
      </c>
    </row>
    <row r="111" spans="1:30" x14ac:dyDescent="0.2">
      <c r="A111" s="508" t="s">
        <v>223</v>
      </c>
    </row>
    <row r="114" spans="1:1" x14ac:dyDescent="0.2">
      <c r="A114" t="s">
        <v>217</v>
      </c>
    </row>
    <row r="115" spans="1:1" x14ac:dyDescent="0.2">
      <c r="A115" t="s">
        <v>218</v>
      </c>
    </row>
    <row r="117" spans="1:1" x14ac:dyDescent="0.2">
      <c r="A117" t="s">
        <v>221</v>
      </c>
    </row>
  </sheetData>
  <mergeCells count="3">
    <mergeCell ref="B2:G2"/>
    <mergeCell ref="B12:G12"/>
    <mergeCell ref="C61:H61"/>
  </mergeCells>
  <pageMargins left="0.25" right="0.25" top="0.75" bottom="0.75" header="0.3" footer="0.3"/>
  <pageSetup scale="25" orientation="landscape" horizontalDpi="300" verticalDpi="300" r:id="rId1"/>
  <customProperties>
    <customPr name="_pios_id" r:id="rId2"/>
  </customProperties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9D27B-8050-4A12-813C-55D156FDA404}">
  <sheetPr>
    <pageSetUpPr fitToPage="1"/>
  </sheetPr>
  <dimension ref="A1:Y101"/>
  <sheetViews>
    <sheetView showGridLines="0" topLeftCell="A17" zoomScale="110" zoomScaleNormal="110" workbookViewId="0">
      <selection activeCell="H36" sqref="H36"/>
    </sheetView>
  </sheetViews>
  <sheetFormatPr baseColWidth="10" defaultColWidth="8.83203125" defaultRowHeight="15" x14ac:dyDescent="0.2"/>
  <cols>
    <col min="1" max="1" width="13.6640625" customWidth="1"/>
    <col min="3" max="4" width="6.6640625" customWidth="1"/>
    <col min="5" max="5" width="26.6640625" bestFit="1" customWidth="1"/>
    <col min="6" max="6" width="12.33203125" customWidth="1"/>
    <col min="7" max="8" width="16.33203125" customWidth="1"/>
    <col min="9" max="9" width="14.6640625" customWidth="1"/>
    <col min="10" max="11" width="10.6640625" customWidth="1"/>
    <col min="12" max="12" width="12.5" customWidth="1"/>
    <col min="13" max="13" width="12.6640625" customWidth="1"/>
    <col min="14" max="14" width="14.1640625" customWidth="1"/>
    <col min="15" max="16" width="15.33203125" customWidth="1"/>
    <col min="17" max="17" width="16.33203125" customWidth="1"/>
    <col min="18" max="18" width="14.33203125" customWidth="1"/>
    <col min="19" max="19" width="18.33203125" customWidth="1"/>
    <col min="20" max="20" width="21" style="75" customWidth="1"/>
    <col min="21" max="21" width="20.33203125" bestFit="1" customWidth="1"/>
    <col min="22" max="22" width="14.5" customWidth="1"/>
    <col min="23" max="23" width="18.6640625" customWidth="1"/>
    <col min="24" max="24" width="23.6640625" customWidth="1"/>
    <col min="25" max="25" width="21.83203125" customWidth="1"/>
  </cols>
  <sheetData>
    <row r="1" spans="1:25" s="2" customFormat="1" ht="16" thickBot="1" x14ac:dyDescent="0.25">
      <c r="T1" s="19"/>
    </row>
    <row r="2" spans="1:25" s="2" customFormat="1" ht="31.5" customHeight="1" thickBot="1" x14ac:dyDescent="0.25">
      <c r="A2" s="215" t="s">
        <v>172</v>
      </c>
      <c r="B2" s="604" t="s">
        <v>173</v>
      </c>
      <c r="C2" s="605"/>
      <c r="D2" s="605"/>
      <c r="E2" s="605"/>
      <c r="F2" s="605"/>
      <c r="G2" s="2" t="s">
        <v>174</v>
      </c>
      <c r="T2" s="19"/>
    </row>
    <row r="3" spans="1:25" s="2" customFormat="1" ht="24" x14ac:dyDescent="0.2">
      <c r="C3" s="326" t="s">
        <v>189</v>
      </c>
      <c r="D3" s="327"/>
      <c r="E3" s="326"/>
    </row>
    <row r="4" spans="1:25" s="2" customFormat="1" ht="3.5" customHeight="1" x14ac:dyDescent="0.2">
      <c r="A4" s="14"/>
      <c r="T4" s="19"/>
    </row>
    <row r="11" spans="1:25" s="2" customFormat="1" ht="16" thickBot="1" x14ac:dyDescent="0.25">
      <c r="T11" s="19"/>
    </row>
    <row r="12" spans="1:25" s="2" customFormat="1" ht="31.5" customHeight="1" thickBot="1" x14ac:dyDescent="0.25">
      <c r="A12" s="215" t="str">
        <f>A2</f>
        <v>23.01.26</v>
      </c>
      <c r="B12" s="606" t="s">
        <v>202</v>
      </c>
      <c r="C12" s="607"/>
      <c r="D12" s="607"/>
      <c r="E12" s="607"/>
      <c r="F12" s="607"/>
      <c r="T12" s="19"/>
      <c r="V12" s="326" t="str">
        <f>C3</f>
        <v xml:space="preserve"> DP Period: February-  April 2026</v>
      </c>
    </row>
    <row r="13" spans="1:25" s="2" customFormat="1" x14ac:dyDescent="0.2">
      <c r="C13" s="14" t="s">
        <v>2</v>
      </c>
      <c r="D13" s="14"/>
    </row>
    <row r="14" spans="1:25" s="2" customFormat="1" ht="3.5" customHeight="1" thickBot="1" x14ac:dyDescent="0.25">
      <c r="A14" s="14"/>
      <c r="T14" s="19"/>
    </row>
    <row r="15" spans="1:25" s="2" customFormat="1" ht="43.5" customHeight="1" thickBot="1" x14ac:dyDescent="0.25">
      <c r="A15" s="14"/>
      <c r="E15" s="350" t="s">
        <v>203</v>
      </c>
      <c r="G15" s="256">
        <v>2026</v>
      </c>
      <c r="H15" s="256">
        <v>2026</v>
      </c>
      <c r="I15" s="256">
        <v>2026</v>
      </c>
      <c r="J15" s="256">
        <v>2026</v>
      </c>
      <c r="K15" s="256">
        <v>2026</v>
      </c>
      <c r="L15" s="256">
        <v>2026</v>
      </c>
      <c r="M15" s="256">
        <v>2026</v>
      </c>
      <c r="N15" s="256">
        <v>2026</v>
      </c>
      <c r="O15" s="256">
        <v>2026</v>
      </c>
      <c r="P15" s="256">
        <v>2026</v>
      </c>
      <c r="Q15" s="256">
        <v>2026</v>
      </c>
      <c r="R15" s="257">
        <v>2026</v>
      </c>
      <c r="S15" s="258" t="s">
        <v>155</v>
      </c>
      <c r="T15" s="364">
        <f>U15/0.8475</f>
        <v>6486686.3716814155</v>
      </c>
      <c r="U15" s="365">
        <v>5497466.7000000002</v>
      </c>
      <c r="W15" s="2" t="s">
        <v>168</v>
      </c>
      <c r="X15" s="2">
        <v>0.84750000000000003</v>
      </c>
    </row>
    <row r="16" spans="1:25" s="2" customFormat="1" ht="52.5" customHeight="1" thickBot="1" x14ac:dyDescent="0.25">
      <c r="A16" s="270"/>
      <c r="B16" s="271" t="s">
        <v>12</v>
      </c>
      <c r="C16" s="271"/>
      <c r="D16" s="279"/>
      <c r="E16" s="272" t="s">
        <v>13</v>
      </c>
      <c r="F16" s="273" t="s">
        <v>14</v>
      </c>
      <c r="G16" s="353" t="s">
        <v>133</v>
      </c>
      <c r="H16" s="353" t="s">
        <v>134</v>
      </c>
      <c r="I16" s="353" t="s">
        <v>135</v>
      </c>
      <c r="J16" s="351" t="s">
        <v>136</v>
      </c>
      <c r="K16" s="351" t="s">
        <v>137</v>
      </c>
      <c r="L16" s="351" t="s">
        <v>138</v>
      </c>
      <c r="M16" s="351" t="s">
        <v>139</v>
      </c>
      <c r="N16" s="351" t="s">
        <v>140</v>
      </c>
      <c r="O16" s="351" t="s">
        <v>141</v>
      </c>
      <c r="P16" s="351" t="s">
        <v>142</v>
      </c>
      <c r="Q16" s="351" t="s">
        <v>143</v>
      </c>
      <c r="R16" s="352" t="s">
        <v>144</v>
      </c>
      <c r="S16" s="357" t="s">
        <v>152</v>
      </c>
      <c r="T16" s="358" t="s">
        <v>153</v>
      </c>
      <c r="U16" s="358" t="s">
        <v>154</v>
      </c>
      <c r="V16" s="215" t="s">
        <v>167</v>
      </c>
      <c r="W16" s="275" t="s">
        <v>193</v>
      </c>
      <c r="X16" s="328" t="s">
        <v>194</v>
      </c>
      <c r="Y16" s="275" t="s">
        <v>195</v>
      </c>
    </row>
    <row r="17" spans="1:25" s="2" customFormat="1" x14ac:dyDescent="0.2">
      <c r="A17" s="261" t="s">
        <v>41</v>
      </c>
      <c r="B17" s="261" t="s">
        <v>61</v>
      </c>
      <c r="C17" s="262" t="s">
        <v>66</v>
      </c>
      <c r="D17" s="243"/>
      <c r="E17" s="324" t="s">
        <v>73</v>
      </c>
      <c r="F17" s="229">
        <v>10.81</v>
      </c>
      <c r="G17" s="263">
        <v>0</v>
      </c>
      <c r="H17" s="280">
        <v>9900</v>
      </c>
      <c r="I17" s="265"/>
      <c r="J17" s="264"/>
      <c r="K17" s="265"/>
      <c r="L17" s="266"/>
      <c r="M17" s="267"/>
      <c r="N17" s="268"/>
      <c r="O17" s="242"/>
      <c r="P17" s="266"/>
      <c r="Q17" s="242"/>
      <c r="R17" s="269"/>
      <c r="S17" s="224">
        <v>0</v>
      </c>
      <c r="T17" s="226">
        <v>0</v>
      </c>
      <c r="U17" s="245">
        <v>0</v>
      </c>
      <c r="V17" s="362">
        <f>SUM(G17:R17)</f>
        <v>9900</v>
      </c>
      <c r="W17" s="337">
        <f>F17*V17</f>
        <v>107019</v>
      </c>
      <c r="X17" s="337">
        <f>W17*0.8475</f>
        <v>90698.602500000008</v>
      </c>
      <c r="Y17" s="345">
        <f>V17-S17</f>
        <v>9900</v>
      </c>
    </row>
    <row r="18" spans="1:25" s="2" customFormat="1" x14ac:dyDescent="0.2">
      <c r="A18" s="186" t="s">
        <v>41</v>
      </c>
      <c r="B18" s="186" t="s">
        <v>61</v>
      </c>
      <c r="C18" s="189" t="s">
        <v>66</v>
      </c>
      <c r="D18" s="243"/>
      <c r="E18" s="228" t="s">
        <v>73</v>
      </c>
      <c r="F18" s="229">
        <v>10.81</v>
      </c>
      <c r="G18" s="230">
        <v>0</v>
      </c>
      <c r="H18" s="231"/>
      <c r="I18" s="281">
        <v>16500</v>
      </c>
      <c r="J18" s="231"/>
      <c r="K18" s="238">
        <v>15400</v>
      </c>
      <c r="L18" s="232"/>
      <c r="M18" s="239">
        <v>15400</v>
      </c>
      <c r="N18" s="240"/>
      <c r="O18" s="233">
        <v>15000</v>
      </c>
      <c r="P18" s="232"/>
      <c r="Q18" s="233">
        <v>14300</v>
      </c>
      <c r="R18" s="237"/>
      <c r="S18" s="224">
        <v>86100</v>
      </c>
      <c r="T18" s="226">
        <v>930741</v>
      </c>
      <c r="U18" s="245">
        <v>788802.99750000006</v>
      </c>
      <c r="V18" s="363">
        <f t="shared" ref="V18:V37" si="0">SUM(G18:R18)</f>
        <v>76600</v>
      </c>
      <c r="W18" s="343">
        <f t="shared" ref="W18:W37" si="1">F18*V18</f>
        <v>828046</v>
      </c>
      <c r="X18" s="343">
        <f t="shared" ref="X18:X37" si="2">W18*0.8475</f>
        <v>701768.98499999999</v>
      </c>
      <c r="Y18" s="346">
        <f t="shared" ref="Y18:Y37" si="3">V18-S18</f>
        <v>-9500</v>
      </c>
    </row>
    <row r="19" spans="1:25" s="2" customFormat="1" x14ac:dyDescent="0.2">
      <c r="A19" s="186" t="s">
        <v>41</v>
      </c>
      <c r="B19" s="186" t="s">
        <v>61</v>
      </c>
      <c r="C19" s="189" t="s">
        <v>66</v>
      </c>
      <c r="D19" s="244"/>
      <c r="E19" s="187" t="s">
        <v>69</v>
      </c>
      <c r="F19" s="188">
        <f>10.63*1.01</f>
        <v>10.736300000000002</v>
      </c>
      <c r="G19" s="207">
        <v>0</v>
      </c>
      <c r="H19" s="282">
        <v>7200</v>
      </c>
      <c r="I19" s="209">
        <v>0</v>
      </c>
      <c r="J19" s="209"/>
      <c r="K19" s="209">
        <v>9500</v>
      </c>
      <c r="L19" s="210"/>
      <c r="M19" s="210">
        <v>10600</v>
      </c>
      <c r="N19" s="234"/>
      <c r="O19" s="235"/>
      <c r="P19" s="236">
        <v>10800</v>
      </c>
      <c r="Q19" s="210"/>
      <c r="R19" s="211"/>
      <c r="S19" s="224">
        <v>44100</v>
      </c>
      <c r="T19" s="226">
        <v>473470.83000000007</v>
      </c>
      <c r="U19" s="245">
        <v>401266.52842500008</v>
      </c>
      <c r="V19" s="363">
        <f t="shared" si="0"/>
        <v>38100</v>
      </c>
      <c r="W19" s="343">
        <f t="shared" si="1"/>
        <v>409053.03000000009</v>
      </c>
      <c r="X19" s="343">
        <f t="shared" si="2"/>
        <v>346672.4429250001</v>
      </c>
      <c r="Y19" s="346">
        <f t="shared" si="3"/>
        <v>-6000</v>
      </c>
    </row>
    <row r="20" spans="1:25" s="2" customFormat="1" x14ac:dyDescent="0.2">
      <c r="A20" s="186" t="s">
        <v>41</v>
      </c>
      <c r="B20" s="186" t="s">
        <v>61</v>
      </c>
      <c r="C20" s="189" t="s">
        <v>66</v>
      </c>
      <c r="D20" s="244"/>
      <c r="E20" s="187" t="s">
        <v>67</v>
      </c>
      <c r="F20" s="188">
        <f>10.63*1.01</f>
        <v>10.736300000000002</v>
      </c>
      <c r="G20" s="230">
        <v>0</v>
      </c>
      <c r="H20" s="282">
        <v>3600</v>
      </c>
      <c r="I20" s="209">
        <v>0</v>
      </c>
      <c r="J20" s="209"/>
      <c r="K20" s="209">
        <v>3600</v>
      </c>
      <c r="L20" s="210"/>
      <c r="M20" s="210">
        <v>3960</v>
      </c>
      <c r="N20" s="210"/>
      <c r="O20" s="210">
        <v>3960</v>
      </c>
      <c r="P20" s="210"/>
      <c r="Q20" s="210"/>
      <c r="R20" s="211">
        <v>3960</v>
      </c>
      <c r="S20" s="224">
        <v>22680</v>
      </c>
      <c r="T20" s="226">
        <v>243499.28400000004</v>
      </c>
      <c r="U20" s="245">
        <v>206365.64319000003</v>
      </c>
      <c r="V20" s="363">
        <f t="shared" si="0"/>
        <v>19080</v>
      </c>
      <c r="W20" s="343">
        <f t="shared" si="1"/>
        <v>204848.60400000002</v>
      </c>
      <c r="X20" s="343">
        <f t="shared" si="2"/>
        <v>173609.19189000002</v>
      </c>
      <c r="Y20" s="346">
        <f t="shared" si="3"/>
        <v>-3600</v>
      </c>
    </row>
    <row r="21" spans="1:25" s="2" customFormat="1" x14ac:dyDescent="0.2">
      <c r="A21" s="186" t="s">
        <v>41</v>
      </c>
      <c r="B21" s="186" t="s">
        <v>70</v>
      </c>
      <c r="C21" s="189" t="s">
        <v>66</v>
      </c>
      <c r="D21" s="244"/>
      <c r="E21" s="187" t="s">
        <v>72</v>
      </c>
      <c r="F21" s="188">
        <f>21.66*1.01</f>
        <v>21.8766</v>
      </c>
      <c r="G21" s="283">
        <v>8000</v>
      </c>
      <c r="H21" s="208"/>
      <c r="I21" s="282">
        <v>10000</v>
      </c>
      <c r="J21" s="208"/>
      <c r="K21" s="208">
        <v>10000</v>
      </c>
      <c r="L21" s="255"/>
      <c r="M21" s="213">
        <v>0</v>
      </c>
      <c r="N21" s="213">
        <v>11000</v>
      </c>
      <c r="O21" s="210"/>
      <c r="P21" s="210"/>
      <c r="Q21" s="210">
        <v>12100</v>
      </c>
      <c r="R21" s="211"/>
      <c r="S21" s="224">
        <v>51100</v>
      </c>
      <c r="T21" s="226">
        <v>1117894.26</v>
      </c>
      <c r="U21" s="245">
        <v>947415.38535</v>
      </c>
      <c r="V21" s="363">
        <f t="shared" si="0"/>
        <v>51100</v>
      </c>
      <c r="W21" s="343">
        <f t="shared" si="1"/>
        <v>1117894.26</v>
      </c>
      <c r="X21" s="343">
        <f t="shared" si="2"/>
        <v>947415.38535</v>
      </c>
      <c r="Y21" s="346">
        <f t="shared" si="3"/>
        <v>0</v>
      </c>
    </row>
    <row r="22" spans="1:25" s="2" customFormat="1" x14ac:dyDescent="0.2">
      <c r="A22" s="186" t="s">
        <v>41</v>
      </c>
      <c r="B22" s="186" t="s">
        <v>70</v>
      </c>
      <c r="C22" s="189" t="s">
        <v>66</v>
      </c>
      <c r="D22" s="244"/>
      <c r="E22" s="187" t="s">
        <v>71</v>
      </c>
      <c r="F22" s="188">
        <f>21.66*1.01</f>
        <v>21.8766</v>
      </c>
      <c r="G22" s="209"/>
      <c r="H22" s="208"/>
      <c r="I22" s="208">
        <v>0</v>
      </c>
      <c r="J22" s="208"/>
      <c r="K22" s="208"/>
      <c r="L22" s="213">
        <v>5250</v>
      </c>
      <c r="M22" s="213"/>
      <c r="N22" s="241">
        <v>6300</v>
      </c>
      <c r="O22" s="210">
        <v>0</v>
      </c>
      <c r="P22" s="210">
        <v>0</v>
      </c>
      <c r="Q22" s="210">
        <v>6100</v>
      </c>
      <c r="R22" s="211"/>
      <c r="S22" s="224">
        <v>23050</v>
      </c>
      <c r="T22" s="226">
        <v>504255.63</v>
      </c>
      <c r="U22" s="245">
        <v>427356.64642500004</v>
      </c>
      <c r="V22" s="363">
        <f t="shared" si="0"/>
        <v>17650</v>
      </c>
      <c r="W22" s="343">
        <f t="shared" si="1"/>
        <v>386121.99</v>
      </c>
      <c r="X22" s="343">
        <f t="shared" si="2"/>
        <v>327238.38652499998</v>
      </c>
      <c r="Y22" s="346">
        <f t="shared" si="3"/>
        <v>-5400</v>
      </c>
    </row>
    <row r="23" spans="1:25" s="2" customFormat="1" x14ac:dyDescent="0.2">
      <c r="A23" s="190" t="s">
        <v>41</v>
      </c>
      <c r="B23" s="190" t="s">
        <v>42</v>
      </c>
      <c r="C23" s="190" t="s">
        <v>43</v>
      </c>
      <c r="D23" s="192"/>
      <c r="E23" s="192" t="s">
        <v>160</v>
      </c>
      <c r="F23" s="191">
        <v>19.559999999999999</v>
      </c>
      <c r="G23" s="284">
        <v>2200</v>
      </c>
      <c r="H23" s="284">
        <v>2200</v>
      </c>
      <c r="I23" s="284">
        <v>3300</v>
      </c>
      <c r="J23" s="202">
        <v>3500</v>
      </c>
      <c r="K23" s="202">
        <v>2400</v>
      </c>
      <c r="L23" s="204">
        <v>3500</v>
      </c>
      <c r="M23" s="202">
        <v>3500</v>
      </c>
      <c r="N23" s="202">
        <v>2400</v>
      </c>
      <c r="O23" s="202">
        <v>3500</v>
      </c>
      <c r="P23" s="202">
        <v>3500</v>
      </c>
      <c r="Q23" s="202">
        <v>2400</v>
      </c>
      <c r="R23" s="199">
        <v>3500</v>
      </c>
      <c r="S23" s="224">
        <v>37000</v>
      </c>
      <c r="T23" s="226">
        <v>723720</v>
      </c>
      <c r="U23" s="245">
        <v>613352.70000000007</v>
      </c>
      <c r="V23" s="363">
        <f t="shared" si="0"/>
        <v>35900</v>
      </c>
      <c r="W23" s="343">
        <f t="shared" si="1"/>
        <v>702204</v>
      </c>
      <c r="X23" s="343">
        <f t="shared" si="2"/>
        <v>595117.89</v>
      </c>
      <c r="Y23" s="346">
        <f t="shared" si="3"/>
        <v>-1100</v>
      </c>
    </row>
    <row r="24" spans="1:25" s="2" customFormat="1" x14ac:dyDescent="0.2">
      <c r="A24" s="190" t="s">
        <v>41</v>
      </c>
      <c r="B24" s="190" t="s">
        <v>42</v>
      </c>
      <c r="C24" s="190" t="s">
        <v>43</v>
      </c>
      <c r="D24" s="192"/>
      <c r="E24" s="192" t="s">
        <v>159</v>
      </c>
      <c r="F24" s="191">
        <v>19.559999999999999</v>
      </c>
      <c r="G24" s="284">
        <v>0</v>
      </c>
      <c r="H24" s="284">
        <v>0</v>
      </c>
      <c r="I24" s="284">
        <v>1450</v>
      </c>
      <c r="J24" s="202">
        <v>1450</v>
      </c>
      <c r="K24" s="202">
        <v>1500</v>
      </c>
      <c r="L24" s="202">
        <v>1600</v>
      </c>
      <c r="M24" s="202">
        <v>1600</v>
      </c>
      <c r="N24" s="202">
        <v>1600</v>
      </c>
      <c r="O24" s="202">
        <v>1600</v>
      </c>
      <c r="P24" s="202">
        <v>1600</v>
      </c>
      <c r="Q24" s="202">
        <v>1500</v>
      </c>
      <c r="R24" s="199">
        <v>1475</v>
      </c>
      <c r="S24" s="224">
        <v>18275</v>
      </c>
      <c r="T24" s="226">
        <v>357459</v>
      </c>
      <c r="U24" s="245">
        <v>302946.5025</v>
      </c>
      <c r="V24" s="363">
        <f t="shared" si="0"/>
        <v>15375</v>
      </c>
      <c r="W24" s="343">
        <f t="shared" si="1"/>
        <v>300735</v>
      </c>
      <c r="X24" s="343">
        <f t="shared" si="2"/>
        <v>254872.91250000001</v>
      </c>
      <c r="Y24" s="346">
        <f t="shared" si="3"/>
        <v>-2900</v>
      </c>
    </row>
    <row r="25" spans="1:25" s="2" customFormat="1" ht="15" customHeight="1" x14ac:dyDescent="0.2">
      <c r="A25" s="190" t="s">
        <v>41</v>
      </c>
      <c r="B25" s="190" t="s">
        <v>42</v>
      </c>
      <c r="C25" s="190" t="s">
        <v>43</v>
      </c>
      <c r="D25" s="192"/>
      <c r="E25" s="192" t="s">
        <v>161</v>
      </c>
      <c r="F25" s="191">
        <v>9.9499999999999993</v>
      </c>
      <c r="G25" s="200">
        <v>0</v>
      </c>
      <c r="H25" s="201">
        <v>0</v>
      </c>
      <c r="I25" s="201">
        <v>0</v>
      </c>
      <c r="J25" s="201"/>
      <c r="K25" s="201"/>
      <c r="L25" s="202"/>
      <c r="M25" s="202"/>
      <c r="N25" s="202"/>
      <c r="O25" s="202"/>
      <c r="P25" s="202"/>
      <c r="Q25" s="202"/>
      <c r="R25" s="199"/>
      <c r="S25" s="224">
        <v>0</v>
      </c>
      <c r="T25" s="226">
        <v>0</v>
      </c>
      <c r="U25" s="245">
        <v>0</v>
      </c>
      <c r="V25" s="363">
        <f t="shared" si="0"/>
        <v>0</v>
      </c>
      <c r="W25" s="343">
        <f t="shared" si="1"/>
        <v>0</v>
      </c>
      <c r="X25" s="343">
        <f t="shared" si="2"/>
        <v>0</v>
      </c>
      <c r="Y25" s="346">
        <f t="shared" si="3"/>
        <v>0</v>
      </c>
    </row>
    <row r="26" spans="1:25" s="2" customFormat="1" x14ac:dyDescent="0.2">
      <c r="A26" s="190" t="s">
        <v>41</v>
      </c>
      <c r="B26" s="190" t="s">
        <v>42</v>
      </c>
      <c r="C26" s="190" t="s">
        <v>43</v>
      </c>
      <c r="D26" s="192"/>
      <c r="E26" s="192" t="s">
        <v>162</v>
      </c>
      <c r="F26" s="191">
        <v>9.9499999999999993</v>
      </c>
      <c r="G26" s="284">
        <v>0</v>
      </c>
      <c r="H26" s="284">
        <v>0</v>
      </c>
      <c r="I26" s="284">
        <v>0</v>
      </c>
      <c r="J26" s="202">
        <v>1800</v>
      </c>
      <c r="K26" s="202">
        <v>600</v>
      </c>
      <c r="L26" s="202">
        <v>600</v>
      </c>
      <c r="M26" s="202">
        <v>600</v>
      </c>
      <c r="N26" s="202">
        <v>600</v>
      </c>
      <c r="O26" s="202">
        <v>600</v>
      </c>
      <c r="P26" s="202">
        <v>600</v>
      </c>
      <c r="Q26" s="202">
        <v>600</v>
      </c>
      <c r="R26" s="199">
        <v>600</v>
      </c>
      <c r="S26" s="224">
        <v>9000</v>
      </c>
      <c r="T26" s="226">
        <v>89550</v>
      </c>
      <c r="U26" s="245">
        <v>75893.625</v>
      </c>
      <c r="V26" s="363">
        <f t="shared" si="0"/>
        <v>6600</v>
      </c>
      <c r="W26" s="343">
        <f t="shared" si="1"/>
        <v>65670</v>
      </c>
      <c r="X26" s="343">
        <f t="shared" si="2"/>
        <v>55655.325000000004</v>
      </c>
      <c r="Y26" s="346">
        <f t="shared" si="3"/>
        <v>-2400</v>
      </c>
    </row>
    <row r="27" spans="1:25" s="2" customFormat="1" x14ac:dyDescent="0.2">
      <c r="A27" s="190" t="s">
        <v>41</v>
      </c>
      <c r="B27" s="190" t="s">
        <v>42</v>
      </c>
      <c r="C27" s="190" t="s">
        <v>43</v>
      </c>
      <c r="D27" s="192"/>
      <c r="E27" s="192" t="s">
        <v>147</v>
      </c>
      <c r="F27" s="191">
        <v>13.27</v>
      </c>
      <c r="G27" s="284">
        <v>1800</v>
      </c>
      <c r="H27" s="282">
        <v>1800</v>
      </c>
      <c r="I27" s="282">
        <v>1800</v>
      </c>
      <c r="J27" s="217">
        <v>2000</v>
      </c>
      <c r="K27" s="217">
        <v>2000</v>
      </c>
      <c r="L27" s="216">
        <v>2000</v>
      </c>
      <c r="M27" s="216">
        <v>1800</v>
      </c>
      <c r="N27" s="202"/>
      <c r="O27" s="202"/>
      <c r="P27" s="202"/>
      <c r="Q27" s="202"/>
      <c r="R27" s="199"/>
      <c r="S27" s="224">
        <v>13200</v>
      </c>
      <c r="T27" s="226">
        <v>175164</v>
      </c>
      <c r="U27" s="245">
        <v>148451.49000000002</v>
      </c>
      <c r="V27" s="363">
        <f t="shared" si="0"/>
        <v>13200</v>
      </c>
      <c r="W27" s="343">
        <f t="shared" si="1"/>
        <v>175164</v>
      </c>
      <c r="X27" s="343">
        <f t="shared" si="2"/>
        <v>148451.49000000002</v>
      </c>
      <c r="Y27" s="346">
        <f t="shared" si="3"/>
        <v>0</v>
      </c>
    </row>
    <row r="28" spans="1:25" s="2" customFormat="1" x14ac:dyDescent="0.2">
      <c r="A28" s="131" t="s">
        <v>158</v>
      </c>
      <c r="B28" s="131" t="s">
        <v>78</v>
      </c>
      <c r="C28" s="131" t="s">
        <v>43</v>
      </c>
      <c r="D28" s="127"/>
      <c r="E28" s="127" t="s">
        <v>79</v>
      </c>
      <c r="F28" s="67">
        <v>31.1</v>
      </c>
      <c r="G28" s="286">
        <v>2000</v>
      </c>
      <c r="H28" s="282">
        <v>2000</v>
      </c>
      <c r="I28" s="286">
        <v>2000</v>
      </c>
      <c r="J28" s="294">
        <v>3000</v>
      </c>
      <c r="K28" s="294"/>
      <c r="L28" s="294">
        <v>2000</v>
      </c>
      <c r="M28" s="294">
        <v>2000</v>
      </c>
      <c r="N28" s="294"/>
      <c r="O28" s="294">
        <v>3000</v>
      </c>
      <c r="P28" s="294">
        <v>2000</v>
      </c>
      <c r="Q28" s="294"/>
      <c r="R28" s="295">
        <v>2000</v>
      </c>
      <c r="S28" s="224">
        <v>18000</v>
      </c>
      <c r="T28" s="226">
        <v>559800</v>
      </c>
      <c r="U28" s="245">
        <v>474430.5</v>
      </c>
      <c r="V28" s="363">
        <f t="shared" si="0"/>
        <v>20000</v>
      </c>
      <c r="W28" s="343">
        <f t="shared" si="1"/>
        <v>622000</v>
      </c>
      <c r="X28" s="343">
        <f t="shared" si="2"/>
        <v>527145</v>
      </c>
      <c r="Y28" s="346">
        <f t="shared" si="3"/>
        <v>2000</v>
      </c>
    </row>
    <row r="29" spans="1:25" s="2" customFormat="1" x14ac:dyDescent="0.2">
      <c r="A29" s="190" t="s">
        <v>41</v>
      </c>
      <c r="B29" s="190" t="s">
        <v>42</v>
      </c>
      <c r="C29" s="190" t="s">
        <v>43</v>
      </c>
      <c r="D29" s="192"/>
      <c r="E29" s="192" t="s">
        <v>151</v>
      </c>
      <c r="F29" s="191">
        <v>59.48</v>
      </c>
      <c r="G29" s="287">
        <v>200</v>
      </c>
      <c r="H29" s="282">
        <v>500</v>
      </c>
      <c r="I29" s="287">
        <v>500</v>
      </c>
      <c r="J29" s="203">
        <v>500</v>
      </c>
      <c r="K29" s="203">
        <v>500</v>
      </c>
      <c r="L29" s="202">
        <v>550</v>
      </c>
      <c r="M29" s="202">
        <v>600</v>
      </c>
      <c r="N29" s="202">
        <v>550</v>
      </c>
      <c r="O29" s="202">
        <v>600</v>
      </c>
      <c r="P29" s="202">
        <v>550</v>
      </c>
      <c r="Q29" s="202">
        <v>600</v>
      </c>
      <c r="R29" s="199">
        <v>550</v>
      </c>
      <c r="S29" s="224">
        <v>6500</v>
      </c>
      <c r="T29" s="226">
        <v>386620</v>
      </c>
      <c r="U29" s="245">
        <v>327660.45</v>
      </c>
      <c r="V29" s="363">
        <f t="shared" si="0"/>
        <v>6200</v>
      </c>
      <c r="W29" s="343">
        <f t="shared" si="1"/>
        <v>368776</v>
      </c>
      <c r="X29" s="343">
        <f t="shared" si="2"/>
        <v>312537.66000000003</v>
      </c>
      <c r="Y29" s="346">
        <f t="shared" si="3"/>
        <v>-300</v>
      </c>
    </row>
    <row r="30" spans="1:25" s="2" customFormat="1" x14ac:dyDescent="0.2">
      <c r="A30" s="190" t="s">
        <v>41</v>
      </c>
      <c r="B30" s="190" t="s">
        <v>42</v>
      </c>
      <c r="C30" s="190" t="s">
        <v>43</v>
      </c>
      <c r="D30" s="192"/>
      <c r="E30" s="192" t="s">
        <v>165</v>
      </c>
      <c r="F30" s="191">
        <v>10</v>
      </c>
      <c r="G30" s="200">
        <v>0</v>
      </c>
      <c r="H30" s="201">
        <v>0</v>
      </c>
      <c r="I30" s="201">
        <v>0</v>
      </c>
      <c r="J30" s="201"/>
      <c r="K30" s="201">
        <v>2400</v>
      </c>
      <c r="L30" s="202"/>
      <c r="M30" s="202"/>
      <c r="N30" s="202">
        <v>2400</v>
      </c>
      <c r="O30" s="202"/>
      <c r="P30" s="202"/>
      <c r="Q30" s="202"/>
      <c r="R30" s="199">
        <v>1620</v>
      </c>
      <c r="S30" s="224">
        <v>8820</v>
      </c>
      <c r="T30" s="226">
        <v>88200</v>
      </c>
      <c r="U30" s="245">
        <v>74749.5</v>
      </c>
      <c r="V30" s="363">
        <f t="shared" si="0"/>
        <v>6420</v>
      </c>
      <c r="W30" s="343">
        <f t="shared" si="1"/>
        <v>64200</v>
      </c>
      <c r="X30" s="343">
        <f t="shared" si="2"/>
        <v>54409.5</v>
      </c>
      <c r="Y30" s="346">
        <f t="shared" si="3"/>
        <v>-2400</v>
      </c>
    </row>
    <row r="31" spans="1:25" s="2" customFormat="1" x14ac:dyDescent="0.2">
      <c r="A31" s="190" t="s">
        <v>41</v>
      </c>
      <c r="B31" s="190" t="s">
        <v>42</v>
      </c>
      <c r="C31" s="190" t="s">
        <v>43</v>
      </c>
      <c r="D31" s="192"/>
      <c r="E31" s="192" t="s">
        <v>163</v>
      </c>
      <c r="F31" s="191">
        <v>10</v>
      </c>
      <c r="G31" s="284">
        <v>0</v>
      </c>
      <c r="H31" s="282">
        <v>0</v>
      </c>
      <c r="I31" s="282">
        <v>0</v>
      </c>
      <c r="J31" s="201">
        <v>375</v>
      </c>
      <c r="K31" s="201">
        <v>400</v>
      </c>
      <c r="L31" s="202">
        <v>400</v>
      </c>
      <c r="M31" s="202">
        <v>400</v>
      </c>
      <c r="N31" s="202">
        <v>400</v>
      </c>
      <c r="O31" s="202">
        <v>400</v>
      </c>
      <c r="P31" s="202">
        <v>400</v>
      </c>
      <c r="Q31" s="202">
        <v>400</v>
      </c>
      <c r="R31" s="199">
        <v>425</v>
      </c>
      <c r="S31" s="224">
        <v>4725</v>
      </c>
      <c r="T31" s="226">
        <v>47250</v>
      </c>
      <c r="U31" s="245">
        <v>40044.375</v>
      </c>
      <c r="V31" s="363">
        <f t="shared" si="0"/>
        <v>3600</v>
      </c>
      <c r="W31" s="343">
        <f t="shared" si="1"/>
        <v>36000</v>
      </c>
      <c r="X31" s="343">
        <f t="shared" si="2"/>
        <v>30510</v>
      </c>
      <c r="Y31" s="346">
        <f t="shared" si="3"/>
        <v>-1125</v>
      </c>
    </row>
    <row r="32" spans="1:25" s="2" customFormat="1" x14ac:dyDescent="0.2">
      <c r="A32" s="190" t="s">
        <v>41</v>
      </c>
      <c r="B32" s="190" t="s">
        <v>42</v>
      </c>
      <c r="C32" s="190" t="s">
        <v>43</v>
      </c>
      <c r="D32" s="192"/>
      <c r="E32" s="192" t="s">
        <v>164</v>
      </c>
      <c r="F32" s="191">
        <v>10.88</v>
      </c>
      <c r="G32" s="287">
        <v>0</v>
      </c>
      <c r="H32" s="282">
        <v>0</v>
      </c>
      <c r="I32" s="287">
        <v>0</v>
      </c>
      <c r="J32" s="203"/>
      <c r="K32" s="203">
        <v>2600</v>
      </c>
      <c r="L32" s="202"/>
      <c r="M32" s="202"/>
      <c r="N32" s="202">
        <v>2400</v>
      </c>
      <c r="O32" s="202"/>
      <c r="P32" s="202"/>
      <c r="Q32" s="202">
        <v>1420</v>
      </c>
      <c r="R32" s="199"/>
      <c r="S32" s="224">
        <v>8820</v>
      </c>
      <c r="T32" s="226">
        <v>95961.600000000006</v>
      </c>
      <c r="U32" s="245">
        <v>81327.456000000006</v>
      </c>
      <c r="V32" s="363">
        <f t="shared" si="0"/>
        <v>6420</v>
      </c>
      <c r="W32" s="343">
        <f t="shared" si="1"/>
        <v>69849.600000000006</v>
      </c>
      <c r="X32" s="343">
        <f t="shared" si="2"/>
        <v>59197.536000000007</v>
      </c>
      <c r="Y32" s="346">
        <f t="shared" si="3"/>
        <v>-2400</v>
      </c>
    </row>
    <row r="33" spans="1:25" s="2" customFormat="1" x14ac:dyDescent="0.2">
      <c r="A33" s="190" t="s">
        <v>41</v>
      </c>
      <c r="B33" s="190" t="s">
        <v>42</v>
      </c>
      <c r="C33" s="190" t="s">
        <v>43</v>
      </c>
      <c r="D33" s="192"/>
      <c r="E33" s="192" t="s">
        <v>72</v>
      </c>
      <c r="F33" s="191">
        <v>21</v>
      </c>
      <c r="G33" s="288">
        <v>1000</v>
      </c>
      <c r="H33" s="282"/>
      <c r="I33" s="282"/>
      <c r="J33" s="201"/>
      <c r="K33" s="201"/>
      <c r="L33" s="202"/>
      <c r="M33" s="205"/>
      <c r="N33" s="205"/>
      <c r="O33" s="247"/>
      <c r="P33" s="202"/>
      <c r="Q33" s="202"/>
      <c r="R33" s="199"/>
      <c r="S33" s="224">
        <v>0</v>
      </c>
      <c r="T33" s="226">
        <v>0</v>
      </c>
      <c r="U33" s="245">
        <v>0</v>
      </c>
      <c r="V33" s="363">
        <f t="shared" si="0"/>
        <v>1000</v>
      </c>
      <c r="W33" s="343">
        <f t="shared" si="1"/>
        <v>21000</v>
      </c>
      <c r="X33" s="343">
        <f t="shared" si="2"/>
        <v>17797.5</v>
      </c>
      <c r="Y33" s="346">
        <f t="shared" si="3"/>
        <v>1000</v>
      </c>
    </row>
    <row r="34" spans="1:25" s="2" customFormat="1" x14ac:dyDescent="0.2">
      <c r="A34" s="190" t="s">
        <v>41</v>
      </c>
      <c r="B34" s="190" t="s">
        <v>61</v>
      </c>
      <c r="C34" s="190" t="s">
        <v>43</v>
      </c>
      <c r="D34" s="192"/>
      <c r="E34" s="192" t="s">
        <v>71</v>
      </c>
      <c r="F34" s="191">
        <v>21</v>
      </c>
      <c r="G34" s="200">
        <v>0</v>
      </c>
      <c r="H34" s="201">
        <v>0</v>
      </c>
      <c r="I34" s="201">
        <v>0</v>
      </c>
      <c r="J34" s="201"/>
      <c r="K34" s="201"/>
      <c r="L34" s="206"/>
      <c r="M34" s="205"/>
      <c r="N34" s="205"/>
      <c r="O34" s="202"/>
      <c r="P34" s="202"/>
      <c r="Q34" s="202"/>
      <c r="R34" s="199"/>
      <c r="S34" s="224">
        <v>0</v>
      </c>
      <c r="T34" s="226">
        <v>0</v>
      </c>
      <c r="U34" s="245">
        <v>0</v>
      </c>
      <c r="V34" s="363">
        <f t="shared" si="0"/>
        <v>0</v>
      </c>
      <c r="W34" s="343">
        <f t="shared" si="1"/>
        <v>0</v>
      </c>
      <c r="X34" s="343">
        <f t="shared" si="2"/>
        <v>0</v>
      </c>
      <c r="Y34" s="346">
        <f t="shared" si="3"/>
        <v>0</v>
      </c>
    </row>
    <row r="35" spans="1:25" s="2" customFormat="1" x14ac:dyDescent="0.2">
      <c r="A35" s="190" t="s">
        <v>41</v>
      </c>
      <c r="B35" s="190" t="s">
        <v>42</v>
      </c>
      <c r="C35" s="190" t="s">
        <v>43</v>
      </c>
      <c r="D35" s="192"/>
      <c r="E35" s="192" t="s">
        <v>132</v>
      </c>
      <c r="F35" s="191">
        <v>21</v>
      </c>
      <c r="G35" s="254">
        <v>0</v>
      </c>
      <c r="H35" s="246">
        <v>0</v>
      </c>
      <c r="I35" s="248">
        <v>0</v>
      </c>
      <c r="J35" s="246"/>
      <c r="K35" s="246"/>
      <c r="L35" s="249"/>
      <c r="M35" s="249"/>
      <c r="N35" s="249"/>
      <c r="O35" s="246"/>
      <c r="P35" s="246"/>
      <c r="Q35" s="246"/>
      <c r="R35" s="251"/>
      <c r="S35" s="224">
        <v>0</v>
      </c>
      <c r="T35" s="226">
        <v>0</v>
      </c>
      <c r="U35" s="245">
        <v>0</v>
      </c>
      <c r="V35" s="363">
        <f t="shared" si="0"/>
        <v>0</v>
      </c>
      <c r="W35" s="343">
        <f t="shared" si="1"/>
        <v>0</v>
      </c>
      <c r="X35" s="343">
        <f t="shared" si="2"/>
        <v>0</v>
      </c>
      <c r="Y35" s="346">
        <f t="shared" si="3"/>
        <v>0</v>
      </c>
    </row>
    <row r="36" spans="1:25" s="2" customFormat="1" ht="14.75" customHeight="1" x14ac:dyDescent="0.2">
      <c r="A36" s="190" t="s">
        <v>41</v>
      </c>
      <c r="B36" s="190" t="s">
        <v>42</v>
      </c>
      <c r="C36" s="190" t="s">
        <v>43</v>
      </c>
      <c r="D36" s="190"/>
      <c r="E36" s="190" t="s">
        <v>145</v>
      </c>
      <c r="F36" s="191">
        <v>23</v>
      </c>
      <c r="G36" s="284"/>
      <c r="H36" s="282">
        <v>3000</v>
      </c>
      <c r="I36" s="282"/>
      <c r="J36" s="201">
        <v>2000</v>
      </c>
      <c r="K36" s="201"/>
      <c r="L36" s="202">
        <v>3000</v>
      </c>
      <c r="M36" s="246"/>
      <c r="N36" s="202">
        <v>3000</v>
      </c>
      <c r="O36" s="202"/>
      <c r="P36" s="202">
        <v>3000</v>
      </c>
      <c r="Q36" s="202"/>
      <c r="R36" s="199">
        <v>2000</v>
      </c>
      <c r="S36" s="224">
        <v>16000</v>
      </c>
      <c r="T36" s="226">
        <v>368000</v>
      </c>
      <c r="U36" s="245">
        <v>311880</v>
      </c>
      <c r="V36" s="363">
        <f t="shared" si="0"/>
        <v>16000</v>
      </c>
      <c r="W36" s="343">
        <f t="shared" si="1"/>
        <v>368000</v>
      </c>
      <c r="X36" s="343">
        <f t="shared" si="2"/>
        <v>311880</v>
      </c>
      <c r="Y36" s="346">
        <f t="shared" si="3"/>
        <v>0</v>
      </c>
    </row>
    <row r="37" spans="1:25" s="2" customFormat="1" x14ac:dyDescent="0.2">
      <c r="A37" s="190" t="s">
        <v>41</v>
      </c>
      <c r="B37" s="190" t="s">
        <v>42</v>
      </c>
      <c r="C37" s="190" t="s">
        <v>43</v>
      </c>
      <c r="D37" s="190"/>
      <c r="E37" s="190" t="s">
        <v>146</v>
      </c>
      <c r="F37" s="191">
        <v>23</v>
      </c>
      <c r="G37" s="290">
        <v>0</v>
      </c>
      <c r="H37" s="291">
        <v>1125</v>
      </c>
      <c r="I37" s="291">
        <v>0</v>
      </c>
      <c r="J37" s="201">
        <v>1125</v>
      </c>
      <c r="K37" s="201">
        <v>1300</v>
      </c>
      <c r="L37" s="202">
        <v>1200</v>
      </c>
      <c r="M37" s="202">
        <v>1200</v>
      </c>
      <c r="N37" s="202">
        <v>1200</v>
      </c>
      <c r="O37" s="202">
        <v>1200</v>
      </c>
      <c r="P37" s="202">
        <v>1300</v>
      </c>
      <c r="Q37" s="202">
        <v>1300</v>
      </c>
      <c r="R37" s="199">
        <v>1300</v>
      </c>
      <c r="S37" s="224">
        <v>14500</v>
      </c>
      <c r="T37" s="226">
        <v>333500</v>
      </c>
      <c r="U37" s="245">
        <v>282641.25</v>
      </c>
      <c r="V37" s="363">
        <f t="shared" si="0"/>
        <v>12250</v>
      </c>
      <c r="W37" s="343">
        <f t="shared" si="1"/>
        <v>281750</v>
      </c>
      <c r="X37" s="343">
        <f t="shared" si="2"/>
        <v>238783.125</v>
      </c>
      <c r="Y37" s="346">
        <f t="shared" si="3"/>
        <v>-2250</v>
      </c>
    </row>
    <row r="38" spans="1:25" s="2" customFormat="1" x14ac:dyDescent="0.2">
      <c r="A38" s="14"/>
      <c r="F38" s="97" t="s">
        <v>190</v>
      </c>
      <c r="G38" s="311">
        <f>SUM(G17:G37)</f>
        <v>15200</v>
      </c>
      <c r="H38" s="311">
        <f t="shared" ref="H38:R38" si="4">SUM(H17:H37)</f>
        <v>31325</v>
      </c>
      <c r="I38" s="311">
        <f t="shared" si="4"/>
        <v>35550</v>
      </c>
      <c r="J38" s="310">
        <f t="shared" si="4"/>
        <v>15750</v>
      </c>
      <c r="K38" s="310">
        <f t="shared" si="4"/>
        <v>52200</v>
      </c>
      <c r="L38" s="310">
        <f t="shared" si="4"/>
        <v>20100</v>
      </c>
      <c r="M38" s="310">
        <f t="shared" si="4"/>
        <v>41660</v>
      </c>
      <c r="N38" s="310">
        <f t="shared" si="4"/>
        <v>31850</v>
      </c>
      <c r="O38" s="310">
        <f t="shared" si="4"/>
        <v>29860</v>
      </c>
      <c r="P38" s="310">
        <f t="shared" si="4"/>
        <v>23750</v>
      </c>
      <c r="Q38" s="310">
        <f t="shared" si="4"/>
        <v>40720</v>
      </c>
      <c r="R38" s="366">
        <f t="shared" si="4"/>
        <v>17430</v>
      </c>
      <c r="S38" s="368">
        <v>381870</v>
      </c>
      <c r="T38" s="369">
        <v>6495085.6040000003</v>
      </c>
      <c r="U38" s="370">
        <v>5504585.0493900012</v>
      </c>
      <c r="V38" s="367">
        <f>SUM(V17:V37)</f>
        <v>355395</v>
      </c>
      <c r="W38" s="317">
        <f>SUM(W17:W37)</f>
        <v>6128331.4840000002</v>
      </c>
      <c r="X38" s="317">
        <f>W38*0.8475</f>
        <v>5193760.9326900002</v>
      </c>
      <c r="Y38" s="317">
        <f>SUM(Y17:Y37)</f>
        <v>-26475</v>
      </c>
    </row>
    <row r="39" spans="1:25" s="2" customFormat="1" ht="16" thickBot="1" x14ac:dyDescent="0.25">
      <c r="A39" s="14"/>
      <c r="F39" s="97" t="s">
        <v>39</v>
      </c>
      <c r="G39" s="312">
        <f>G84</f>
        <v>337026.8</v>
      </c>
      <c r="H39" s="312">
        <f t="shared" ref="H39:R39" si="5">H84</f>
        <v>476704.04000000004</v>
      </c>
      <c r="I39" s="312">
        <f t="shared" si="5"/>
        <v>605867</v>
      </c>
      <c r="J39" s="293">
        <f t="shared" si="5"/>
        <v>339937</v>
      </c>
      <c r="K39" s="293">
        <f t="shared" si="5"/>
        <v>750607.53</v>
      </c>
      <c r="L39" s="293">
        <f t="shared" si="5"/>
        <v>442632.15</v>
      </c>
      <c r="M39" s="293">
        <f t="shared" si="5"/>
        <v>581894.52800000005</v>
      </c>
      <c r="N39" s="293">
        <f t="shared" si="5"/>
        <v>646101.18000000005</v>
      </c>
      <c r="O39" s="293">
        <f t="shared" si="5"/>
        <v>470979.74800000002</v>
      </c>
      <c r="P39" s="293">
        <f t="shared" si="5"/>
        <v>419492.04000000004</v>
      </c>
      <c r="Q39" s="293">
        <f t="shared" si="5"/>
        <v>720028.72</v>
      </c>
      <c r="R39" s="293">
        <f t="shared" si="5"/>
        <v>337060.74800000002</v>
      </c>
      <c r="S39" s="319">
        <f>SUM(G38:R38)</f>
        <v>355395</v>
      </c>
      <c r="T39" s="314">
        <f>SUM(G39:R39)</f>
        <v>6128331.4839999992</v>
      </c>
      <c r="U39" s="330">
        <f>T39*0.8475</f>
        <v>5193760.9326899992</v>
      </c>
      <c r="V39" s="318"/>
      <c r="W39" s="319"/>
      <c r="X39" s="319"/>
      <c r="Y39" s="319"/>
    </row>
    <row r="40" spans="1:25" s="2" customFormat="1" x14ac:dyDescent="0.2">
      <c r="A40" s="14"/>
      <c r="F40" s="14"/>
      <c r="G40" s="11"/>
      <c r="R40" s="2" t="s">
        <v>191</v>
      </c>
      <c r="S40" s="332"/>
      <c r="T40" s="296"/>
      <c r="U40" s="20"/>
    </row>
    <row r="41" spans="1:25" s="2" customFormat="1" ht="16" thickBot="1" x14ac:dyDescent="0.25">
      <c r="A41" s="14"/>
      <c r="F41" s="14"/>
      <c r="G41" s="11"/>
      <c r="S41" s="11"/>
      <c r="T41" s="277"/>
      <c r="U41" s="20"/>
    </row>
    <row r="42" spans="1:25" s="2" customFormat="1" ht="33" thickBot="1" x14ac:dyDescent="0.25">
      <c r="A42" s="14"/>
      <c r="E42" s="350" t="s">
        <v>204</v>
      </c>
      <c r="F42" s="14"/>
      <c r="G42" s="353" t="s">
        <v>133</v>
      </c>
      <c r="H42" s="353" t="s">
        <v>134</v>
      </c>
      <c r="I42" s="353" t="s">
        <v>135</v>
      </c>
      <c r="J42" s="351" t="s">
        <v>136</v>
      </c>
      <c r="K42" s="351" t="s">
        <v>137</v>
      </c>
      <c r="L42" s="351" t="s">
        <v>138</v>
      </c>
      <c r="M42" s="351" t="s">
        <v>139</v>
      </c>
      <c r="N42" s="351" t="s">
        <v>140</v>
      </c>
      <c r="O42" s="351" t="s">
        <v>141</v>
      </c>
      <c r="P42" s="351" t="s">
        <v>142</v>
      </c>
      <c r="Q42" s="351" t="s">
        <v>143</v>
      </c>
      <c r="R42" s="352" t="s">
        <v>144</v>
      </c>
      <c r="S42" s="274" t="s">
        <v>198</v>
      </c>
      <c r="T42" s="274" t="s">
        <v>199</v>
      </c>
      <c r="U42" s="274" t="s">
        <v>200</v>
      </c>
      <c r="V42" s="215" t="s">
        <v>167</v>
      </c>
      <c r="W42" s="325" t="s">
        <v>196</v>
      </c>
      <c r="X42" s="329" t="s">
        <v>197</v>
      </c>
      <c r="Y42" s="306" t="s">
        <v>169</v>
      </c>
    </row>
    <row r="43" spans="1:25" s="2" customFormat="1" x14ac:dyDescent="0.2">
      <c r="A43" s="64" t="s">
        <v>74</v>
      </c>
      <c r="B43" s="45" t="s">
        <v>70</v>
      </c>
      <c r="C43" s="45" t="s">
        <v>89</v>
      </c>
      <c r="D43" s="45"/>
      <c r="E43" s="45" t="s">
        <v>81</v>
      </c>
      <c r="F43" s="182">
        <v>10.74</v>
      </c>
      <c r="G43" s="285">
        <v>0</v>
      </c>
      <c r="H43" s="285">
        <v>0</v>
      </c>
      <c r="I43" s="285">
        <v>0</v>
      </c>
      <c r="J43" s="45"/>
      <c r="K43" s="45"/>
      <c r="L43" s="45"/>
      <c r="M43" s="45"/>
      <c r="N43" s="45"/>
      <c r="O43" s="45"/>
      <c r="P43" s="45"/>
      <c r="Q43" s="45"/>
      <c r="R43" s="45"/>
      <c r="S43" s="334">
        <v>0</v>
      </c>
      <c r="T43" s="334">
        <v>0</v>
      </c>
      <c r="U43" s="335">
        <v>0</v>
      </c>
      <c r="V43" s="336">
        <f>SUM(G43:R43)</f>
        <v>0</v>
      </c>
      <c r="W43" s="337">
        <f>F43*V43</f>
        <v>0</v>
      </c>
      <c r="X43" s="338">
        <f>W43*0.8475</f>
        <v>0</v>
      </c>
      <c r="Y43" s="339"/>
    </row>
    <row r="44" spans="1:25" s="2" customFormat="1" x14ac:dyDescent="0.2">
      <c r="A44" s="64" t="s">
        <v>74</v>
      </c>
      <c r="B44" s="45" t="s">
        <v>61</v>
      </c>
      <c r="C44" s="45" t="s">
        <v>80</v>
      </c>
      <c r="D44" s="45"/>
      <c r="E44" s="45" t="s">
        <v>81</v>
      </c>
      <c r="F44" s="182">
        <v>10.74</v>
      </c>
      <c r="G44" s="285">
        <v>0</v>
      </c>
      <c r="H44" s="285">
        <v>0</v>
      </c>
      <c r="I44" s="285">
        <v>0</v>
      </c>
      <c r="J44" s="45"/>
      <c r="K44" s="45"/>
      <c r="L44" s="45"/>
      <c r="M44" s="183"/>
      <c r="N44" s="45"/>
      <c r="O44" s="45"/>
      <c r="P44" s="45"/>
      <c r="Q44" s="45"/>
      <c r="R44" s="193"/>
      <c r="S44" s="340">
        <v>0</v>
      </c>
      <c r="T44" s="340">
        <v>0</v>
      </c>
      <c r="U44" s="341">
        <v>0</v>
      </c>
      <c r="V44" s="342">
        <f t="shared" ref="V44:V51" si="6">SUM(G44:R44)</f>
        <v>0</v>
      </c>
      <c r="W44" s="343">
        <f t="shared" ref="W44:W51" si="7">F44*V44</f>
        <v>0</v>
      </c>
      <c r="X44" s="344">
        <f t="shared" ref="X44:X51" si="8">W44*0.8475</f>
        <v>0</v>
      </c>
      <c r="Y44" s="339"/>
    </row>
    <row r="45" spans="1:25" s="2" customFormat="1" ht="14" customHeight="1" x14ac:dyDescent="0.2">
      <c r="A45" s="64" t="s">
        <v>74</v>
      </c>
      <c r="B45" s="45" t="s">
        <v>61</v>
      </c>
      <c r="C45" s="45" t="s">
        <v>83</v>
      </c>
      <c r="D45" s="45"/>
      <c r="E45" s="45" t="s">
        <v>81</v>
      </c>
      <c r="F45" s="182">
        <v>10.74</v>
      </c>
      <c r="G45" s="285">
        <v>1800</v>
      </c>
      <c r="H45" s="285"/>
      <c r="I45" s="285">
        <v>1800</v>
      </c>
      <c r="J45" s="45"/>
      <c r="K45" s="45"/>
      <c r="L45" s="45"/>
      <c r="M45" s="45"/>
      <c r="N45" s="45"/>
      <c r="O45" s="45"/>
      <c r="P45" s="45"/>
      <c r="Q45" s="45"/>
      <c r="R45" s="193"/>
      <c r="S45" s="340">
        <v>0</v>
      </c>
      <c r="T45" s="340">
        <v>0</v>
      </c>
      <c r="U45" s="341">
        <v>0</v>
      </c>
      <c r="V45" s="342">
        <f t="shared" si="6"/>
        <v>3600</v>
      </c>
      <c r="W45" s="343">
        <f t="shared" si="7"/>
        <v>38664</v>
      </c>
      <c r="X45" s="344">
        <f t="shared" si="8"/>
        <v>32767.74</v>
      </c>
      <c r="Y45" s="339"/>
    </row>
    <row r="46" spans="1:25" s="2" customFormat="1" x14ac:dyDescent="0.2">
      <c r="A46" s="64" t="s">
        <v>74</v>
      </c>
      <c r="B46" s="45" t="s">
        <v>70</v>
      </c>
      <c r="C46" s="45" t="s">
        <v>87</v>
      </c>
      <c r="D46" s="45"/>
      <c r="E46" s="45" t="s">
        <v>88</v>
      </c>
      <c r="F46" s="182">
        <v>13.27</v>
      </c>
      <c r="G46" s="285">
        <v>0</v>
      </c>
      <c r="H46" s="285">
        <v>0</v>
      </c>
      <c r="I46" s="285">
        <v>0</v>
      </c>
      <c r="J46" s="45"/>
      <c r="K46" s="45"/>
      <c r="L46" s="45"/>
      <c r="M46" s="45"/>
      <c r="N46" s="184"/>
      <c r="O46" s="45"/>
      <c r="P46" s="45"/>
      <c r="Q46" s="45"/>
      <c r="R46" s="193"/>
      <c r="S46" s="340">
        <v>0</v>
      </c>
      <c r="T46" s="340">
        <v>0</v>
      </c>
      <c r="U46" s="341">
        <v>0</v>
      </c>
      <c r="V46" s="342">
        <f t="shared" si="6"/>
        <v>0</v>
      </c>
      <c r="W46" s="343">
        <f t="shared" si="7"/>
        <v>0</v>
      </c>
      <c r="X46" s="344">
        <f t="shared" si="8"/>
        <v>0</v>
      </c>
      <c r="Y46" s="339"/>
    </row>
    <row r="47" spans="1:25" s="2" customFormat="1" x14ac:dyDescent="0.2">
      <c r="A47" s="64" t="s">
        <v>74</v>
      </c>
      <c r="B47" s="45" t="s">
        <v>70</v>
      </c>
      <c r="C47" s="45" t="s">
        <v>87</v>
      </c>
      <c r="D47" s="45"/>
      <c r="E47" s="45" t="s">
        <v>148</v>
      </c>
      <c r="F47" s="182">
        <v>59.48</v>
      </c>
      <c r="G47" s="285"/>
      <c r="H47" s="285"/>
      <c r="I47" s="285"/>
      <c r="J47" s="45"/>
      <c r="K47" s="45"/>
      <c r="L47" s="45"/>
      <c r="M47" s="45"/>
      <c r="N47" s="45"/>
      <c r="O47" s="45"/>
      <c r="P47" s="45"/>
      <c r="Q47" s="45"/>
      <c r="R47" s="193"/>
      <c r="S47" s="340">
        <v>0</v>
      </c>
      <c r="T47" s="340">
        <v>0</v>
      </c>
      <c r="U47" s="341">
        <v>0</v>
      </c>
      <c r="V47" s="342">
        <f t="shared" si="6"/>
        <v>0</v>
      </c>
      <c r="W47" s="343">
        <f t="shared" si="7"/>
        <v>0</v>
      </c>
      <c r="X47" s="344">
        <f t="shared" si="8"/>
        <v>0</v>
      </c>
      <c r="Y47" s="339"/>
    </row>
    <row r="48" spans="1:25" s="2" customFormat="1" x14ac:dyDescent="0.2">
      <c r="A48" s="64" t="s">
        <v>74</v>
      </c>
      <c r="B48" s="45" t="s">
        <v>70</v>
      </c>
      <c r="C48" s="45" t="s">
        <v>80</v>
      </c>
      <c r="D48" s="45"/>
      <c r="E48" s="45" t="s">
        <v>149</v>
      </c>
      <c r="F48" s="182">
        <v>59.48</v>
      </c>
      <c r="G48" s="286">
        <v>80</v>
      </c>
      <c r="H48" s="286">
        <v>80</v>
      </c>
      <c r="I48" s="286">
        <v>80</v>
      </c>
      <c r="J48" s="45"/>
      <c r="K48" s="45"/>
      <c r="L48" s="45"/>
      <c r="M48" s="45"/>
      <c r="N48" s="45"/>
      <c r="O48" s="45"/>
      <c r="P48" s="45"/>
      <c r="Q48" s="45"/>
      <c r="R48" s="193"/>
      <c r="S48" s="340">
        <v>0</v>
      </c>
      <c r="T48" s="340">
        <v>0</v>
      </c>
      <c r="U48" s="341">
        <v>0</v>
      </c>
      <c r="V48" s="342">
        <f t="shared" si="6"/>
        <v>240</v>
      </c>
      <c r="W48" s="343">
        <f t="shared" si="7"/>
        <v>14275.199999999999</v>
      </c>
      <c r="X48" s="344">
        <f t="shared" si="8"/>
        <v>12098.232</v>
      </c>
      <c r="Y48" s="339"/>
    </row>
    <row r="49" spans="1:25" s="2" customFormat="1" ht="14.75" customHeight="1" x14ac:dyDescent="0.2">
      <c r="A49" s="64" t="s">
        <v>74</v>
      </c>
      <c r="B49" s="45" t="s">
        <v>70</v>
      </c>
      <c r="C49" s="45" t="s">
        <v>75</v>
      </c>
      <c r="D49" s="45"/>
      <c r="E49" s="45" t="s">
        <v>149</v>
      </c>
      <c r="F49" s="182">
        <v>59.48</v>
      </c>
      <c r="G49" s="285"/>
      <c r="H49" s="285"/>
      <c r="I49" s="285"/>
      <c r="J49" s="45"/>
      <c r="K49" s="45"/>
      <c r="L49" s="45"/>
      <c r="M49" s="45"/>
      <c r="N49" s="45"/>
      <c r="O49" s="45"/>
      <c r="P49" s="45"/>
      <c r="Q49" s="45"/>
      <c r="R49" s="193"/>
      <c r="S49" s="340">
        <v>0</v>
      </c>
      <c r="T49" s="340">
        <v>0</v>
      </c>
      <c r="U49" s="341">
        <v>0</v>
      </c>
      <c r="V49" s="342">
        <f t="shared" si="6"/>
        <v>0</v>
      </c>
      <c r="W49" s="343">
        <f t="shared" si="7"/>
        <v>0</v>
      </c>
      <c r="X49" s="344">
        <f t="shared" si="8"/>
        <v>0</v>
      </c>
      <c r="Y49" s="339"/>
    </row>
    <row r="50" spans="1:25" s="2" customFormat="1" x14ac:dyDescent="0.2">
      <c r="A50" s="64" t="s">
        <v>74</v>
      </c>
      <c r="B50" s="45" t="s">
        <v>70</v>
      </c>
      <c r="C50" s="45" t="s">
        <v>77</v>
      </c>
      <c r="D50" s="45"/>
      <c r="E50" s="45" t="s">
        <v>150</v>
      </c>
      <c r="F50" s="182">
        <f>21.66*1.01</f>
        <v>21.8766</v>
      </c>
      <c r="G50" s="285">
        <v>0</v>
      </c>
      <c r="H50" s="285">
        <v>0</v>
      </c>
      <c r="I50" s="285">
        <v>0</v>
      </c>
      <c r="J50" s="45"/>
      <c r="K50" s="45"/>
      <c r="L50" s="45"/>
      <c r="M50" s="45"/>
      <c r="N50" s="45"/>
      <c r="O50" s="45"/>
      <c r="P50" s="45"/>
      <c r="Q50" s="45"/>
      <c r="R50" s="193"/>
      <c r="S50" s="340">
        <v>0</v>
      </c>
      <c r="T50" s="340">
        <v>0</v>
      </c>
      <c r="U50" s="341">
        <v>0</v>
      </c>
      <c r="V50" s="342">
        <f t="shared" si="6"/>
        <v>0</v>
      </c>
      <c r="W50" s="343">
        <f t="shared" si="7"/>
        <v>0</v>
      </c>
      <c r="X50" s="344">
        <f t="shared" si="8"/>
        <v>0</v>
      </c>
      <c r="Y50" s="339"/>
    </row>
    <row r="51" spans="1:25" s="2" customFormat="1" x14ac:dyDescent="0.2">
      <c r="A51" s="64" t="s">
        <v>74</v>
      </c>
      <c r="B51" s="45" t="s">
        <v>70</v>
      </c>
      <c r="C51" s="45" t="s">
        <v>89</v>
      </c>
      <c r="D51" s="45"/>
      <c r="E51" s="45" t="s">
        <v>150</v>
      </c>
      <c r="F51" s="182">
        <f>21.66*1.01</f>
        <v>21.8766</v>
      </c>
      <c r="G51" s="285"/>
      <c r="H51" s="285"/>
      <c r="I51" s="285"/>
      <c r="J51" s="45"/>
      <c r="K51" s="45"/>
      <c r="L51" s="45"/>
      <c r="M51" s="45"/>
      <c r="N51" s="45"/>
      <c r="O51" s="45"/>
      <c r="P51" s="45"/>
      <c r="Q51" s="45"/>
      <c r="R51" s="193"/>
      <c r="S51" s="340">
        <v>0</v>
      </c>
      <c r="T51" s="340">
        <v>0</v>
      </c>
      <c r="U51" s="341">
        <v>0</v>
      </c>
      <c r="V51" s="342">
        <f t="shared" si="6"/>
        <v>0</v>
      </c>
      <c r="W51" s="343">
        <f t="shared" si="7"/>
        <v>0</v>
      </c>
      <c r="X51" s="344">
        <f t="shared" si="8"/>
        <v>0</v>
      </c>
      <c r="Y51" s="339"/>
    </row>
    <row r="52" spans="1:25" s="2" customFormat="1" ht="15.5" customHeight="1" x14ac:dyDescent="0.2">
      <c r="S52" s="221">
        <v>0</v>
      </c>
      <c r="T52" s="221">
        <v>0</v>
      </c>
      <c r="U52" s="221">
        <v>0</v>
      </c>
      <c r="V52" s="316">
        <f>SUM(V30:V51)</f>
        <v>404925</v>
      </c>
      <c r="W52" s="317">
        <f>SUM(W30:W51)</f>
        <v>7022070.284</v>
      </c>
      <c r="X52" s="317">
        <f>W52*0.8475</f>
        <v>5951204.5656900005</v>
      </c>
      <c r="Y52" s="317">
        <f>SUM(Y30:Y51)</f>
        <v>-33650</v>
      </c>
    </row>
    <row r="53" spans="1:25" s="2" customFormat="1" ht="16" thickBot="1" x14ac:dyDescent="0.25">
      <c r="A53" s="14"/>
      <c r="G53" s="40"/>
      <c r="H53" s="40"/>
      <c r="I53" s="40"/>
      <c r="J53" s="40"/>
      <c r="K53" s="40"/>
      <c r="L53" s="40"/>
      <c r="M53" s="111"/>
      <c r="N53" s="112"/>
      <c r="S53" s="319"/>
      <c r="T53" s="314"/>
      <c r="U53" s="330"/>
      <c r="V53" s="318"/>
      <c r="W53" s="319"/>
      <c r="X53" s="319"/>
      <c r="Y53" s="319"/>
    </row>
    <row r="54" spans="1:25" s="152" customFormat="1" ht="20" thickBot="1" x14ac:dyDescent="0.25">
      <c r="A54" s="14"/>
      <c r="G54" s="153"/>
      <c r="H54" s="41"/>
      <c r="I54" s="41"/>
      <c r="J54" s="41"/>
      <c r="K54" s="41"/>
      <c r="L54" s="41"/>
      <c r="M54" s="111"/>
      <c r="P54" s="2"/>
      <c r="Q54" s="2"/>
      <c r="R54" s="2" t="s">
        <v>192</v>
      </c>
      <c r="S54" s="196">
        <f>S38+S52</f>
        <v>381870</v>
      </c>
      <c r="T54" s="197">
        <f>T38+T52</f>
        <v>6495085.6040000003</v>
      </c>
      <c r="U54" s="198">
        <f>U38+U52</f>
        <v>5504585.0493900012</v>
      </c>
      <c r="V54" s="152" t="s">
        <v>157</v>
      </c>
    </row>
    <row r="55" spans="1:25" s="152" customFormat="1" ht="19" x14ac:dyDescent="0.2">
      <c r="A55" s="14"/>
      <c r="G55" s="153"/>
      <c r="H55" s="41"/>
      <c r="I55" s="41"/>
      <c r="J55" s="41"/>
      <c r="K55" s="41"/>
      <c r="L55" s="41"/>
      <c r="M55" s="111"/>
      <c r="P55" s="2"/>
      <c r="Q55" s="2"/>
      <c r="R55" s="2"/>
      <c r="S55" s="298"/>
      <c r="T55" s="299"/>
      <c r="U55" s="300"/>
    </row>
    <row r="56" spans="1:25" s="152" customFormat="1" ht="19" x14ac:dyDescent="0.2">
      <c r="A56" s="140"/>
      <c r="F56" s="154"/>
      <c r="H56" s="2"/>
      <c r="I56" s="2"/>
      <c r="J56" s="2"/>
      <c r="K56" s="2"/>
      <c r="L56" s="2"/>
      <c r="M56" s="2"/>
      <c r="P56" s="2"/>
      <c r="Q56" s="2"/>
      <c r="R56" s="2"/>
      <c r="S56" s="2"/>
      <c r="V56" s="2" t="s">
        <v>166</v>
      </c>
      <c r="W56" s="322">
        <f>W38-T38</f>
        <v>-366754.12000000011</v>
      </c>
      <c r="X56" s="323">
        <f>X38-U38</f>
        <v>-310824.11670000106</v>
      </c>
    </row>
    <row r="57" spans="1:25" s="152" customFormat="1" ht="21" customHeight="1" x14ac:dyDescent="0.2">
      <c r="A57" t="str">
        <f>A2</f>
        <v>23.01.26</v>
      </c>
      <c r="C57" s="608" t="s">
        <v>206</v>
      </c>
      <c r="D57" s="609"/>
      <c r="E57" s="609"/>
      <c r="F57" s="609"/>
      <c r="G57" s="609"/>
      <c r="H57" s="223"/>
      <c r="I57" s="223"/>
      <c r="J57" s="223"/>
      <c r="K57" s="223"/>
      <c r="L57" s="223"/>
      <c r="M57" s="2"/>
      <c r="O57" s="2"/>
      <c r="P57" s="2"/>
      <c r="Q57" s="2"/>
      <c r="R57" s="2"/>
    </row>
    <row r="58" spans="1:25" s="2" customFormat="1" ht="24" x14ac:dyDescent="0.2">
      <c r="A58"/>
      <c r="D58" s="14" t="s">
        <v>2</v>
      </c>
      <c r="F58" s="1"/>
      <c r="G58" s="223"/>
      <c r="H58" s="223"/>
      <c r="I58" s="223"/>
      <c r="J58" s="223"/>
      <c r="K58" s="223"/>
      <c r="L58" s="223"/>
      <c r="V58" s="326" t="str">
        <f>C3</f>
        <v xml:space="preserve"> DP Period: February-  April 2026</v>
      </c>
    </row>
    <row r="59" spans="1:25" s="2" customFormat="1" x14ac:dyDescent="0.2">
      <c r="D59" s="14"/>
    </row>
    <row r="60" spans="1:25" s="2" customFormat="1" ht="3.5" customHeight="1" thickBot="1" x14ac:dyDescent="0.25">
      <c r="A60" s="14"/>
      <c r="T60" s="19"/>
    </row>
    <row r="61" spans="1:25" s="2" customFormat="1" ht="43.5" customHeight="1" thickBot="1" x14ac:dyDescent="0.25">
      <c r="A61" s="14"/>
      <c r="E61" s="350" t="s">
        <v>203</v>
      </c>
      <c r="G61" s="256">
        <v>2026</v>
      </c>
      <c r="H61" s="256">
        <v>2026</v>
      </c>
      <c r="I61" s="256">
        <v>2026</v>
      </c>
      <c r="J61" s="256">
        <v>2026</v>
      </c>
      <c r="K61" s="256">
        <v>2026</v>
      </c>
      <c r="L61" s="256">
        <v>2026</v>
      </c>
      <c r="M61" s="256">
        <v>2026</v>
      </c>
      <c r="N61" s="256">
        <v>2026</v>
      </c>
      <c r="O61" s="256">
        <v>2026</v>
      </c>
      <c r="P61" s="256">
        <v>2026</v>
      </c>
      <c r="Q61" s="256">
        <v>2026</v>
      </c>
      <c r="R61" s="257">
        <v>2026</v>
      </c>
      <c r="S61" s="258" t="s">
        <v>155</v>
      </c>
      <c r="T61" s="259">
        <f>U61/0.8475</f>
        <v>6486686.3716814155</v>
      </c>
      <c r="U61" s="260">
        <v>5497466.7000000002</v>
      </c>
    </row>
    <row r="62" spans="1:25" s="2" customFormat="1" ht="26" customHeight="1" thickBot="1" x14ac:dyDescent="0.25">
      <c r="A62" s="270"/>
      <c r="B62" s="271" t="s">
        <v>12</v>
      </c>
      <c r="C62" s="271"/>
      <c r="D62" s="279"/>
      <c r="E62" s="272" t="s">
        <v>13</v>
      </c>
      <c r="F62" s="273" t="s">
        <v>14</v>
      </c>
      <c r="G62" s="353" t="s">
        <v>175</v>
      </c>
      <c r="H62" s="353" t="s">
        <v>176</v>
      </c>
      <c r="I62" s="353" t="s">
        <v>177</v>
      </c>
      <c r="J62" s="351" t="s">
        <v>178</v>
      </c>
      <c r="K62" s="351" t="s">
        <v>179</v>
      </c>
      <c r="L62" s="351" t="s">
        <v>180</v>
      </c>
      <c r="M62" s="351" t="s">
        <v>181</v>
      </c>
      <c r="N62" s="351" t="s">
        <v>182</v>
      </c>
      <c r="O62" s="351" t="s">
        <v>183</v>
      </c>
      <c r="P62" s="351" t="s">
        <v>205</v>
      </c>
      <c r="Q62" s="351" t="s">
        <v>184</v>
      </c>
      <c r="R62" s="352" t="s">
        <v>185</v>
      </c>
      <c r="S62" s="423" t="s">
        <v>152</v>
      </c>
      <c r="T62" s="424" t="s">
        <v>153</v>
      </c>
      <c r="U62" s="448" t="s">
        <v>154</v>
      </c>
      <c r="V62" s="306" t="s">
        <v>170</v>
      </c>
      <c r="W62" s="354" t="s">
        <v>188</v>
      </c>
      <c r="X62" s="305" t="s">
        <v>186</v>
      </c>
      <c r="Y62" s="354" t="s">
        <v>187</v>
      </c>
    </row>
    <row r="63" spans="1:25" s="2" customFormat="1" x14ac:dyDescent="0.2">
      <c r="A63" s="261" t="s">
        <v>41</v>
      </c>
      <c r="B63" s="261" t="s">
        <v>61</v>
      </c>
      <c r="C63" s="262" t="s">
        <v>66</v>
      </c>
      <c r="D63" s="243"/>
      <c r="E63" s="228" t="s">
        <v>73</v>
      </c>
      <c r="F63" s="229">
        <v>10.81</v>
      </c>
      <c r="G63" s="263">
        <f t="shared" ref="G63:G83" si="9">$F17*G17</f>
        <v>0</v>
      </c>
      <c r="H63" s="280">
        <f t="shared" ref="H63:R63" si="10">$F17*H17</f>
        <v>107019</v>
      </c>
      <c r="I63" s="265">
        <f t="shared" si="10"/>
        <v>0</v>
      </c>
      <c r="J63" s="263">
        <f t="shared" si="10"/>
        <v>0</v>
      </c>
      <c r="K63" s="263">
        <f t="shared" si="10"/>
        <v>0</v>
      </c>
      <c r="L63" s="263">
        <f t="shared" si="10"/>
        <v>0</v>
      </c>
      <c r="M63" s="263">
        <f t="shared" si="10"/>
        <v>0</v>
      </c>
      <c r="N63" s="263">
        <f t="shared" si="10"/>
        <v>0</v>
      </c>
      <c r="O63" s="263">
        <f t="shared" si="10"/>
        <v>0</v>
      </c>
      <c r="P63" s="263">
        <f t="shared" si="10"/>
        <v>0</v>
      </c>
      <c r="Q63" s="263">
        <f t="shared" si="10"/>
        <v>0</v>
      </c>
      <c r="R63" s="263">
        <f t="shared" si="10"/>
        <v>0</v>
      </c>
      <c r="S63" s="225">
        <v>0</v>
      </c>
      <c r="T63" s="226">
        <v>0</v>
      </c>
      <c r="U63" s="227">
        <v>0</v>
      </c>
      <c r="V63" s="363">
        <f>SUM(G63:R63)</f>
        <v>107019</v>
      </c>
      <c r="W63" s="356">
        <f>V63-T63</f>
        <v>107019</v>
      </c>
      <c r="X63" s="355">
        <f>V63*0.8475</f>
        <v>90698.602500000008</v>
      </c>
      <c r="Y63" s="343">
        <f>X63-U63</f>
        <v>90698.602500000008</v>
      </c>
    </row>
    <row r="64" spans="1:25" s="2" customFormat="1" x14ac:dyDescent="0.2">
      <c r="A64" s="186" t="s">
        <v>41</v>
      </c>
      <c r="B64" s="186" t="s">
        <v>61</v>
      </c>
      <c r="C64" s="189" t="s">
        <v>66</v>
      </c>
      <c r="D64" s="243"/>
      <c r="E64" s="228" t="s">
        <v>73</v>
      </c>
      <c r="F64" s="229">
        <v>10.81</v>
      </c>
      <c r="G64" s="230">
        <f t="shared" si="9"/>
        <v>0</v>
      </c>
      <c r="H64" s="231">
        <f t="shared" ref="H64:R64" si="11">$F18*H18</f>
        <v>0</v>
      </c>
      <c r="I64" s="281">
        <f t="shared" si="11"/>
        <v>178365</v>
      </c>
      <c r="J64" s="263">
        <f t="shared" si="11"/>
        <v>0</v>
      </c>
      <c r="K64" s="263">
        <f t="shared" si="11"/>
        <v>166474</v>
      </c>
      <c r="L64" s="263">
        <f t="shared" si="11"/>
        <v>0</v>
      </c>
      <c r="M64" s="263">
        <f t="shared" si="11"/>
        <v>166474</v>
      </c>
      <c r="N64" s="263">
        <f t="shared" si="11"/>
        <v>0</v>
      </c>
      <c r="O64" s="263">
        <f t="shared" si="11"/>
        <v>162150</v>
      </c>
      <c r="P64" s="263">
        <f t="shared" si="11"/>
        <v>0</v>
      </c>
      <c r="Q64" s="263">
        <f t="shared" si="11"/>
        <v>154583</v>
      </c>
      <c r="R64" s="263">
        <f t="shared" si="11"/>
        <v>0</v>
      </c>
      <c r="S64" s="225">
        <v>86100</v>
      </c>
      <c r="T64" s="226">
        <v>930741</v>
      </c>
      <c r="U64" s="227">
        <v>788802.99750000006</v>
      </c>
      <c r="V64" s="363">
        <f t="shared" ref="V64:V83" si="12">SUM(G64:R64)</f>
        <v>828046</v>
      </c>
      <c r="W64" s="356">
        <f t="shared" ref="W64:W83" si="13">V64-T64</f>
        <v>-102695</v>
      </c>
      <c r="X64" s="355">
        <f t="shared" ref="X64:X83" si="14">V64*0.8475</f>
        <v>701768.98499999999</v>
      </c>
      <c r="Y64" s="343">
        <f t="shared" ref="Y64:Y83" si="15">X64-U64</f>
        <v>-87034.01250000007</v>
      </c>
    </row>
    <row r="65" spans="1:25" s="2" customFormat="1" x14ac:dyDescent="0.2">
      <c r="A65" s="186" t="s">
        <v>41</v>
      </c>
      <c r="B65" s="186" t="s">
        <v>61</v>
      </c>
      <c r="C65" s="189" t="s">
        <v>66</v>
      </c>
      <c r="D65" s="244"/>
      <c r="E65" s="187" t="s">
        <v>69</v>
      </c>
      <c r="F65" s="188">
        <f>10.63*1.01</f>
        <v>10.736300000000002</v>
      </c>
      <c r="G65" s="207">
        <f t="shared" si="9"/>
        <v>0</v>
      </c>
      <c r="H65" s="282">
        <f t="shared" ref="H65:R65" si="16">$F19*H19</f>
        <v>77301.360000000015</v>
      </c>
      <c r="I65" s="209">
        <f t="shared" si="16"/>
        <v>0</v>
      </c>
      <c r="J65" s="263">
        <f t="shared" si="16"/>
        <v>0</v>
      </c>
      <c r="K65" s="263">
        <f t="shared" si="16"/>
        <v>101994.85000000002</v>
      </c>
      <c r="L65" s="263">
        <f t="shared" si="16"/>
        <v>0</v>
      </c>
      <c r="M65" s="263">
        <f t="shared" si="16"/>
        <v>113804.78000000001</v>
      </c>
      <c r="N65" s="263">
        <f t="shared" si="16"/>
        <v>0</v>
      </c>
      <c r="O65" s="263">
        <f t="shared" si="16"/>
        <v>0</v>
      </c>
      <c r="P65" s="263">
        <f t="shared" si="16"/>
        <v>115952.04000000002</v>
      </c>
      <c r="Q65" s="263">
        <f t="shared" si="16"/>
        <v>0</v>
      </c>
      <c r="R65" s="263">
        <f t="shared" si="16"/>
        <v>0</v>
      </c>
      <c r="S65" s="225">
        <v>44100</v>
      </c>
      <c r="T65" s="226">
        <v>473470.83000000007</v>
      </c>
      <c r="U65" s="227">
        <v>401266.52842500008</v>
      </c>
      <c r="V65" s="363">
        <f t="shared" si="12"/>
        <v>409053.03000000009</v>
      </c>
      <c r="W65" s="356">
        <f t="shared" si="13"/>
        <v>-64417.799999999988</v>
      </c>
      <c r="X65" s="355">
        <f t="shared" si="14"/>
        <v>346672.4429250001</v>
      </c>
      <c r="Y65" s="343">
        <f t="shared" si="15"/>
        <v>-54594.085499999986</v>
      </c>
    </row>
    <row r="66" spans="1:25" s="2" customFormat="1" x14ac:dyDescent="0.2">
      <c r="A66" s="186" t="s">
        <v>41</v>
      </c>
      <c r="B66" s="186" t="s">
        <v>61</v>
      </c>
      <c r="C66" s="189" t="s">
        <v>66</v>
      </c>
      <c r="D66" s="244"/>
      <c r="E66" s="187" t="s">
        <v>67</v>
      </c>
      <c r="F66" s="188">
        <f>10.63*1.01</f>
        <v>10.736300000000002</v>
      </c>
      <c r="G66" s="230">
        <f t="shared" si="9"/>
        <v>0</v>
      </c>
      <c r="H66" s="282">
        <f t="shared" ref="H66:R66" si="17">$F20*H20</f>
        <v>38650.680000000008</v>
      </c>
      <c r="I66" s="209">
        <f t="shared" si="17"/>
        <v>0</v>
      </c>
      <c r="J66" s="263">
        <f t="shared" si="17"/>
        <v>0</v>
      </c>
      <c r="K66" s="263">
        <f t="shared" si="17"/>
        <v>38650.680000000008</v>
      </c>
      <c r="L66" s="263">
        <f t="shared" si="17"/>
        <v>0</v>
      </c>
      <c r="M66" s="263">
        <f t="shared" si="17"/>
        <v>42515.748000000007</v>
      </c>
      <c r="N66" s="263">
        <f t="shared" si="17"/>
        <v>0</v>
      </c>
      <c r="O66" s="263">
        <f t="shared" si="17"/>
        <v>42515.748000000007</v>
      </c>
      <c r="P66" s="263">
        <f t="shared" si="17"/>
        <v>0</v>
      </c>
      <c r="Q66" s="263">
        <f t="shared" si="17"/>
        <v>0</v>
      </c>
      <c r="R66" s="263">
        <f t="shared" si="17"/>
        <v>42515.748000000007</v>
      </c>
      <c r="S66" s="225">
        <v>22680</v>
      </c>
      <c r="T66" s="226">
        <v>243499.28400000004</v>
      </c>
      <c r="U66" s="227">
        <v>206365.64319000003</v>
      </c>
      <c r="V66" s="363">
        <f t="shared" si="12"/>
        <v>204848.60400000005</v>
      </c>
      <c r="W66" s="356">
        <f t="shared" si="13"/>
        <v>-38650.679999999993</v>
      </c>
      <c r="X66" s="355">
        <f t="shared" si="14"/>
        <v>173609.19189000005</v>
      </c>
      <c r="Y66" s="343">
        <f t="shared" si="15"/>
        <v>-32756.451299999986</v>
      </c>
    </row>
    <row r="67" spans="1:25" s="2" customFormat="1" x14ac:dyDescent="0.2">
      <c r="A67" s="186" t="s">
        <v>41</v>
      </c>
      <c r="B67" s="186" t="s">
        <v>70</v>
      </c>
      <c r="C67" s="189" t="s">
        <v>66</v>
      </c>
      <c r="D67" s="244"/>
      <c r="E67" s="187" t="s">
        <v>72</v>
      </c>
      <c r="F67" s="188">
        <f>21.66*1.01</f>
        <v>21.8766</v>
      </c>
      <c r="G67" s="283">
        <f t="shared" si="9"/>
        <v>175012.8</v>
      </c>
      <c r="H67" s="208">
        <f t="shared" ref="H67:R67" si="18">$F21*H21</f>
        <v>0</v>
      </c>
      <c r="I67" s="282">
        <f t="shared" si="18"/>
        <v>218766</v>
      </c>
      <c r="J67" s="263">
        <f t="shared" si="18"/>
        <v>0</v>
      </c>
      <c r="K67" s="263">
        <f t="shared" si="18"/>
        <v>218766</v>
      </c>
      <c r="L67" s="263">
        <f t="shared" si="18"/>
        <v>0</v>
      </c>
      <c r="M67" s="263">
        <f t="shared" si="18"/>
        <v>0</v>
      </c>
      <c r="N67" s="263">
        <f t="shared" si="18"/>
        <v>240642.6</v>
      </c>
      <c r="O67" s="263">
        <f t="shared" si="18"/>
        <v>0</v>
      </c>
      <c r="P67" s="263">
        <f t="shared" si="18"/>
        <v>0</v>
      </c>
      <c r="Q67" s="263">
        <f t="shared" si="18"/>
        <v>264706.86</v>
      </c>
      <c r="R67" s="263">
        <f t="shared" si="18"/>
        <v>0</v>
      </c>
      <c r="S67" s="225">
        <v>51100</v>
      </c>
      <c r="T67" s="226">
        <v>1117894.26</v>
      </c>
      <c r="U67" s="227">
        <v>947415.38535</v>
      </c>
      <c r="V67" s="363">
        <f t="shared" si="12"/>
        <v>1117894.26</v>
      </c>
      <c r="W67" s="356">
        <f t="shared" si="13"/>
        <v>0</v>
      </c>
      <c r="X67" s="355">
        <f t="shared" si="14"/>
        <v>947415.38535</v>
      </c>
      <c r="Y67" s="343">
        <f t="shared" si="15"/>
        <v>0</v>
      </c>
    </row>
    <row r="68" spans="1:25" s="2" customFormat="1" x14ac:dyDescent="0.2">
      <c r="A68" s="186" t="s">
        <v>41</v>
      </c>
      <c r="B68" s="186" t="s">
        <v>70</v>
      </c>
      <c r="C68" s="189" t="s">
        <v>66</v>
      </c>
      <c r="D68" s="244"/>
      <c r="E68" s="187" t="s">
        <v>71</v>
      </c>
      <c r="F68" s="188">
        <f>21.66*1.01</f>
        <v>21.8766</v>
      </c>
      <c r="G68" s="209">
        <f t="shared" si="9"/>
        <v>0</v>
      </c>
      <c r="H68" s="208">
        <f t="shared" ref="H68:R68" si="19">$F22*H22</f>
        <v>0</v>
      </c>
      <c r="I68" s="208">
        <f t="shared" si="19"/>
        <v>0</v>
      </c>
      <c r="J68" s="263">
        <f t="shared" si="19"/>
        <v>0</v>
      </c>
      <c r="K68" s="263">
        <f t="shared" si="19"/>
        <v>0</v>
      </c>
      <c r="L68" s="263">
        <f t="shared" si="19"/>
        <v>114852.15</v>
      </c>
      <c r="M68" s="263">
        <f t="shared" si="19"/>
        <v>0</v>
      </c>
      <c r="N68" s="263">
        <f t="shared" si="19"/>
        <v>137822.57999999999</v>
      </c>
      <c r="O68" s="263">
        <f t="shared" si="19"/>
        <v>0</v>
      </c>
      <c r="P68" s="263">
        <f t="shared" si="19"/>
        <v>0</v>
      </c>
      <c r="Q68" s="263">
        <f t="shared" si="19"/>
        <v>133447.26</v>
      </c>
      <c r="R68" s="263">
        <f t="shared" si="19"/>
        <v>0</v>
      </c>
      <c r="S68" s="225">
        <v>23050</v>
      </c>
      <c r="T68" s="226">
        <v>504255.63</v>
      </c>
      <c r="U68" s="227">
        <v>427356.64642500004</v>
      </c>
      <c r="V68" s="363">
        <f t="shared" si="12"/>
        <v>386121.99</v>
      </c>
      <c r="W68" s="356">
        <f t="shared" si="13"/>
        <v>-118133.64000000001</v>
      </c>
      <c r="X68" s="355">
        <f t="shared" si="14"/>
        <v>327238.38652499998</v>
      </c>
      <c r="Y68" s="343">
        <f t="shared" si="15"/>
        <v>-100118.25990000006</v>
      </c>
    </row>
    <row r="69" spans="1:25" s="2" customFormat="1" x14ac:dyDescent="0.2">
      <c r="A69" s="190" t="s">
        <v>41</v>
      </c>
      <c r="B69" s="190" t="s">
        <v>42</v>
      </c>
      <c r="C69" s="190" t="s">
        <v>43</v>
      </c>
      <c r="D69" s="192"/>
      <c r="E69" s="192" t="s">
        <v>160</v>
      </c>
      <c r="F69" s="191">
        <v>19.559999999999999</v>
      </c>
      <c r="G69" s="284">
        <f t="shared" si="9"/>
        <v>43032</v>
      </c>
      <c r="H69" s="284">
        <f t="shared" ref="H69:R69" si="20">$F23*H23</f>
        <v>43032</v>
      </c>
      <c r="I69" s="284">
        <f t="shared" si="20"/>
        <v>64547.999999999993</v>
      </c>
      <c r="J69" s="303">
        <f t="shared" si="20"/>
        <v>68460</v>
      </c>
      <c r="K69" s="303">
        <f t="shared" si="20"/>
        <v>46944</v>
      </c>
      <c r="L69" s="303">
        <f t="shared" si="20"/>
        <v>68460</v>
      </c>
      <c r="M69" s="303">
        <f t="shared" si="20"/>
        <v>68460</v>
      </c>
      <c r="N69" s="303">
        <f t="shared" si="20"/>
        <v>46944</v>
      </c>
      <c r="O69" s="303">
        <f t="shared" si="20"/>
        <v>68460</v>
      </c>
      <c r="P69" s="303">
        <f t="shared" si="20"/>
        <v>68460</v>
      </c>
      <c r="Q69" s="303">
        <f t="shared" si="20"/>
        <v>46944</v>
      </c>
      <c r="R69" s="303">
        <f t="shared" si="20"/>
        <v>68460</v>
      </c>
      <c r="S69" s="225">
        <v>37000</v>
      </c>
      <c r="T69" s="226">
        <v>723720</v>
      </c>
      <c r="U69" s="227">
        <v>613352.70000000007</v>
      </c>
      <c r="V69" s="363">
        <f t="shared" si="12"/>
        <v>702204</v>
      </c>
      <c r="W69" s="356">
        <f t="shared" si="13"/>
        <v>-21516</v>
      </c>
      <c r="X69" s="355">
        <f t="shared" si="14"/>
        <v>595117.89</v>
      </c>
      <c r="Y69" s="343">
        <f t="shared" si="15"/>
        <v>-18234.810000000056</v>
      </c>
    </row>
    <row r="70" spans="1:25" s="2" customFormat="1" x14ac:dyDescent="0.2">
      <c r="A70" s="190" t="s">
        <v>41</v>
      </c>
      <c r="B70" s="190" t="s">
        <v>42</v>
      </c>
      <c r="C70" s="190" t="s">
        <v>43</v>
      </c>
      <c r="D70" s="192"/>
      <c r="E70" s="192" t="s">
        <v>159</v>
      </c>
      <c r="F70" s="191">
        <v>19.559999999999999</v>
      </c>
      <c r="G70" s="284">
        <f t="shared" si="9"/>
        <v>0</v>
      </c>
      <c r="H70" s="284">
        <f t="shared" ref="H70:R70" si="21">$F24*H24</f>
        <v>0</v>
      </c>
      <c r="I70" s="284">
        <f t="shared" si="21"/>
        <v>28361.999999999996</v>
      </c>
      <c r="J70" s="303">
        <f t="shared" si="21"/>
        <v>28361.999999999996</v>
      </c>
      <c r="K70" s="303">
        <f t="shared" si="21"/>
        <v>29339.999999999996</v>
      </c>
      <c r="L70" s="303">
        <f t="shared" si="21"/>
        <v>31295.999999999996</v>
      </c>
      <c r="M70" s="303">
        <f t="shared" si="21"/>
        <v>31295.999999999996</v>
      </c>
      <c r="N70" s="303">
        <f t="shared" si="21"/>
        <v>31295.999999999996</v>
      </c>
      <c r="O70" s="303">
        <f t="shared" si="21"/>
        <v>31295.999999999996</v>
      </c>
      <c r="P70" s="303">
        <f t="shared" si="21"/>
        <v>31295.999999999996</v>
      </c>
      <c r="Q70" s="303">
        <f t="shared" si="21"/>
        <v>29339.999999999996</v>
      </c>
      <c r="R70" s="303">
        <f t="shared" si="21"/>
        <v>28850.999999999996</v>
      </c>
      <c r="S70" s="225">
        <v>18275</v>
      </c>
      <c r="T70" s="226">
        <v>357459</v>
      </c>
      <c r="U70" s="227">
        <v>302946.5025</v>
      </c>
      <c r="V70" s="363">
        <f t="shared" si="12"/>
        <v>300734.99999999994</v>
      </c>
      <c r="W70" s="356">
        <f t="shared" si="13"/>
        <v>-56724.000000000058</v>
      </c>
      <c r="X70" s="355">
        <f t="shared" si="14"/>
        <v>254872.91249999995</v>
      </c>
      <c r="Y70" s="343">
        <f t="shared" si="15"/>
        <v>-48073.590000000055</v>
      </c>
    </row>
    <row r="71" spans="1:25" s="2" customFormat="1" ht="15" customHeight="1" x14ac:dyDescent="0.2">
      <c r="A71" s="190" t="s">
        <v>41</v>
      </c>
      <c r="B71" s="190" t="s">
        <v>42</v>
      </c>
      <c r="C71" s="190" t="s">
        <v>43</v>
      </c>
      <c r="D71" s="192"/>
      <c r="E71" s="192" t="s">
        <v>161</v>
      </c>
      <c r="F71" s="191">
        <v>9.9499999999999993</v>
      </c>
      <c r="G71" s="200">
        <f t="shared" si="9"/>
        <v>0</v>
      </c>
      <c r="H71" s="201">
        <f t="shared" ref="H71:R71" si="22">$F25*H25</f>
        <v>0</v>
      </c>
      <c r="I71" s="201">
        <f t="shared" si="22"/>
        <v>0</v>
      </c>
      <c r="J71" s="303">
        <f t="shared" si="22"/>
        <v>0</v>
      </c>
      <c r="K71" s="303">
        <f t="shared" si="22"/>
        <v>0</v>
      </c>
      <c r="L71" s="303">
        <f t="shared" si="22"/>
        <v>0</v>
      </c>
      <c r="M71" s="303">
        <f t="shared" si="22"/>
        <v>0</v>
      </c>
      <c r="N71" s="303">
        <f t="shared" si="22"/>
        <v>0</v>
      </c>
      <c r="O71" s="303">
        <f t="shared" si="22"/>
        <v>0</v>
      </c>
      <c r="P71" s="303">
        <f t="shared" si="22"/>
        <v>0</v>
      </c>
      <c r="Q71" s="303">
        <f t="shared" si="22"/>
        <v>0</v>
      </c>
      <c r="R71" s="303">
        <f t="shared" si="22"/>
        <v>0</v>
      </c>
      <c r="S71" s="225">
        <v>0</v>
      </c>
      <c r="T71" s="226">
        <v>0</v>
      </c>
      <c r="U71" s="227">
        <v>0</v>
      </c>
      <c r="V71" s="363">
        <f t="shared" si="12"/>
        <v>0</v>
      </c>
      <c r="W71" s="356">
        <f t="shared" si="13"/>
        <v>0</v>
      </c>
      <c r="X71" s="355">
        <f t="shared" si="14"/>
        <v>0</v>
      </c>
      <c r="Y71" s="343">
        <f t="shared" si="15"/>
        <v>0</v>
      </c>
    </row>
    <row r="72" spans="1:25" s="2" customFormat="1" x14ac:dyDescent="0.2">
      <c r="A72" s="190" t="s">
        <v>41</v>
      </c>
      <c r="B72" s="190" t="s">
        <v>42</v>
      </c>
      <c r="C72" s="190" t="s">
        <v>43</v>
      </c>
      <c r="D72" s="192"/>
      <c r="E72" s="192" t="s">
        <v>162</v>
      </c>
      <c r="F72" s="191">
        <v>9.9499999999999993</v>
      </c>
      <c r="G72" s="284">
        <f t="shared" si="9"/>
        <v>0</v>
      </c>
      <c r="H72" s="284">
        <f t="shared" ref="H72:R72" si="23">$F26*H26</f>
        <v>0</v>
      </c>
      <c r="I72" s="284">
        <f t="shared" si="23"/>
        <v>0</v>
      </c>
      <c r="J72" s="303">
        <f t="shared" si="23"/>
        <v>17910</v>
      </c>
      <c r="K72" s="303">
        <f t="shared" si="23"/>
        <v>5970</v>
      </c>
      <c r="L72" s="303">
        <f t="shared" si="23"/>
        <v>5970</v>
      </c>
      <c r="M72" s="303">
        <f t="shared" si="23"/>
        <v>5970</v>
      </c>
      <c r="N72" s="303">
        <f t="shared" si="23"/>
        <v>5970</v>
      </c>
      <c r="O72" s="303">
        <f t="shared" si="23"/>
        <v>5970</v>
      </c>
      <c r="P72" s="303">
        <f t="shared" si="23"/>
        <v>5970</v>
      </c>
      <c r="Q72" s="303">
        <f t="shared" si="23"/>
        <v>5970</v>
      </c>
      <c r="R72" s="303">
        <f t="shared" si="23"/>
        <v>5970</v>
      </c>
      <c r="S72" s="225">
        <v>9000</v>
      </c>
      <c r="T72" s="226">
        <v>89550</v>
      </c>
      <c r="U72" s="227">
        <v>75893.625</v>
      </c>
      <c r="V72" s="363">
        <f t="shared" si="12"/>
        <v>65670</v>
      </c>
      <c r="W72" s="356">
        <f t="shared" si="13"/>
        <v>-23880</v>
      </c>
      <c r="X72" s="355">
        <f t="shared" si="14"/>
        <v>55655.325000000004</v>
      </c>
      <c r="Y72" s="343">
        <f t="shared" si="15"/>
        <v>-20238.299999999996</v>
      </c>
    </row>
    <row r="73" spans="1:25" s="2" customFormat="1" x14ac:dyDescent="0.2">
      <c r="A73" s="190" t="s">
        <v>41</v>
      </c>
      <c r="B73" s="190" t="s">
        <v>42</v>
      </c>
      <c r="C73" s="190" t="s">
        <v>43</v>
      </c>
      <c r="D73" s="192"/>
      <c r="E73" s="192" t="s">
        <v>147</v>
      </c>
      <c r="F73" s="191">
        <v>13.27</v>
      </c>
      <c r="G73" s="284">
        <f t="shared" si="9"/>
        <v>23886</v>
      </c>
      <c r="H73" s="282">
        <f t="shared" ref="H73:R73" si="24">$F27*H27</f>
        <v>23886</v>
      </c>
      <c r="I73" s="282">
        <f t="shared" si="24"/>
        <v>23886</v>
      </c>
      <c r="J73" s="303">
        <f t="shared" si="24"/>
        <v>26540</v>
      </c>
      <c r="K73" s="303">
        <f t="shared" si="24"/>
        <v>26540</v>
      </c>
      <c r="L73" s="303">
        <f t="shared" si="24"/>
        <v>26540</v>
      </c>
      <c r="M73" s="303">
        <f t="shared" si="24"/>
        <v>23886</v>
      </c>
      <c r="N73" s="303">
        <f t="shared" si="24"/>
        <v>0</v>
      </c>
      <c r="O73" s="303">
        <f t="shared" si="24"/>
        <v>0</v>
      </c>
      <c r="P73" s="303">
        <f t="shared" si="24"/>
        <v>0</v>
      </c>
      <c r="Q73" s="303">
        <f t="shared" si="24"/>
        <v>0</v>
      </c>
      <c r="R73" s="303">
        <f t="shared" si="24"/>
        <v>0</v>
      </c>
      <c r="S73" s="225">
        <v>13200</v>
      </c>
      <c r="T73" s="226">
        <v>175164</v>
      </c>
      <c r="U73" s="227">
        <v>148451.49000000002</v>
      </c>
      <c r="V73" s="363">
        <f t="shared" si="12"/>
        <v>175164</v>
      </c>
      <c r="W73" s="356">
        <f t="shared" si="13"/>
        <v>0</v>
      </c>
      <c r="X73" s="355">
        <f t="shared" si="14"/>
        <v>148451.49000000002</v>
      </c>
      <c r="Y73" s="343">
        <f t="shared" si="15"/>
        <v>0</v>
      </c>
    </row>
    <row r="74" spans="1:25" s="2" customFormat="1" x14ac:dyDescent="0.2">
      <c r="A74" s="131" t="s">
        <v>158</v>
      </c>
      <c r="B74" s="131" t="s">
        <v>78</v>
      </c>
      <c r="C74" s="131" t="s">
        <v>43</v>
      </c>
      <c r="D74" s="127"/>
      <c r="E74" s="127" t="s">
        <v>79</v>
      </c>
      <c r="F74" s="67">
        <v>31.1</v>
      </c>
      <c r="G74" s="286">
        <f t="shared" si="9"/>
        <v>62200</v>
      </c>
      <c r="H74" s="282">
        <f t="shared" ref="H74:R74" si="25">$F28*H28</f>
        <v>62200</v>
      </c>
      <c r="I74" s="286">
        <f t="shared" si="25"/>
        <v>62200</v>
      </c>
      <c r="J74" s="303">
        <f t="shared" si="25"/>
        <v>93300</v>
      </c>
      <c r="K74" s="303">
        <f t="shared" si="25"/>
        <v>0</v>
      </c>
      <c r="L74" s="303">
        <f t="shared" si="25"/>
        <v>62200</v>
      </c>
      <c r="M74" s="303">
        <f t="shared" si="25"/>
        <v>62200</v>
      </c>
      <c r="N74" s="303">
        <f t="shared" si="25"/>
        <v>0</v>
      </c>
      <c r="O74" s="303">
        <f t="shared" si="25"/>
        <v>93300</v>
      </c>
      <c r="P74" s="303">
        <f t="shared" si="25"/>
        <v>62200</v>
      </c>
      <c r="Q74" s="303">
        <f t="shared" si="25"/>
        <v>0</v>
      </c>
      <c r="R74" s="303">
        <f t="shared" si="25"/>
        <v>62200</v>
      </c>
      <c r="S74" s="225">
        <v>18000</v>
      </c>
      <c r="T74" s="226">
        <v>559800</v>
      </c>
      <c r="U74" s="227">
        <v>474430.5</v>
      </c>
      <c r="V74" s="363">
        <f t="shared" si="12"/>
        <v>622000</v>
      </c>
      <c r="W74" s="356">
        <f t="shared" si="13"/>
        <v>62200</v>
      </c>
      <c r="X74" s="355">
        <f t="shared" si="14"/>
        <v>527145</v>
      </c>
      <c r="Y74" s="343">
        <f t="shared" si="15"/>
        <v>52714.5</v>
      </c>
    </row>
    <row r="75" spans="1:25" s="2" customFormat="1" x14ac:dyDescent="0.2">
      <c r="A75" s="190" t="s">
        <v>41</v>
      </c>
      <c r="B75" s="190" t="s">
        <v>42</v>
      </c>
      <c r="C75" s="190" t="s">
        <v>43</v>
      </c>
      <c r="D75" s="192"/>
      <c r="E75" s="192" t="s">
        <v>151</v>
      </c>
      <c r="F75" s="191">
        <v>59.48</v>
      </c>
      <c r="G75" s="287">
        <f t="shared" si="9"/>
        <v>11896</v>
      </c>
      <c r="H75" s="282">
        <f t="shared" ref="H75:R75" si="26">$F29*H29</f>
        <v>29740</v>
      </c>
      <c r="I75" s="287">
        <f t="shared" si="26"/>
        <v>29740</v>
      </c>
      <c r="J75" s="303">
        <f t="shared" si="26"/>
        <v>29740</v>
      </c>
      <c r="K75" s="303">
        <f t="shared" si="26"/>
        <v>29740</v>
      </c>
      <c r="L75" s="303">
        <f t="shared" si="26"/>
        <v>32714</v>
      </c>
      <c r="M75" s="303">
        <f t="shared" si="26"/>
        <v>35688</v>
      </c>
      <c r="N75" s="303">
        <f t="shared" si="26"/>
        <v>32714</v>
      </c>
      <c r="O75" s="303">
        <f t="shared" si="26"/>
        <v>35688</v>
      </c>
      <c r="P75" s="303">
        <f t="shared" si="26"/>
        <v>32714</v>
      </c>
      <c r="Q75" s="303">
        <f t="shared" si="26"/>
        <v>35688</v>
      </c>
      <c r="R75" s="303">
        <f t="shared" si="26"/>
        <v>32714</v>
      </c>
      <c r="S75" s="225">
        <v>6500</v>
      </c>
      <c r="T75" s="226">
        <v>386620</v>
      </c>
      <c r="U75" s="227">
        <v>327660.45</v>
      </c>
      <c r="V75" s="363">
        <f t="shared" si="12"/>
        <v>368776</v>
      </c>
      <c r="W75" s="356">
        <f t="shared" si="13"/>
        <v>-17844</v>
      </c>
      <c r="X75" s="355">
        <f t="shared" si="14"/>
        <v>312537.66000000003</v>
      </c>
      <c r="Y75" s="343">
        <f t="shared" si="15"/>
        <v>-15122.789999999979</v>
      </c>
    </row>
    <row r="76" spans="1:25" s="2" customFormat="1" x14ac:dyDescent="0.2">
      <c r="A76" s="190" t="s">
        <v>41</v>
      </c>
      <c r="B76" s="190" t="s">
        <v>42</v>
      </c>
      <c r="C76" s="190" t="s">
        <v>43</v>
      </c>
      <c r="D76" s="192"/>
      <c r="E76" s="192" t="s">
        <v>165</v>
      </c>
      <c r="F76" s="191">
        <v>10</v>
      </c>
      <c r="G76" s="200">
        <f t="shared" si="9"/>
        <v>0</v>
      </c>
      <c r="H76" s="201">
        <f t="shared" ref="H76:R76" si="27">$F30*H30</f>
        <v>0</v>
      </c>
      <c r="I76" s="201">
        <f t="shared" si="27"/>
        <v>0</v>
      </c>
      <c r="J76" s="303">
        <f t="shared" si="27"/>
        <v>0</v>
      </c>
      <c r="K76" s="303">
        <f t="shared" si="27"/>
        <v>24000</v>
      </c>
      <c r="L76" s="303">
        <f t="shared" si="27"/>
        <v>0</v>
      </c>
      <c r="M76" s="303">
        <f t="shared" si="27"/>
        <v>0</v>
      </c>
      <c r="N76" s="303">
        <f t="shared" si="27"/>
        <v>24000</v>
      </c>
      <c r="O76" s="303">
        <f t="shared" si="27"/>
        <v>0</v>
      </c>
      <c r="P76" s="303">
        <f t="shared" si="27"/>
        <v>0</v>
      </c>
      <c r="Q76" s="303">
        <f t="shared" si="27"/>
        <v>0</v>
      </c>
      <c r="R76" s="303">
        <f t="shared" si="27"/>
        <v>16200</v>
      </c>
      <c r="S76" s="225">
        <v>8820</v>
      </c>
      <c r="T76" s="226">
        <v>88200</v>
      </c>
      <c r="U76" s="227">
        <v>74749.5</v>
      </c>
      <c r="V76" s="363">
        <f t="shared" si="12"/>
        <v>64200</v>
      </c>
      <c r="W76" s="356">
        <f t="shared" si="13"/>
        <v>-24000</v>
      </c>
      <c r="X76" s="355">
        <f t="shared" si="14"/>
        <v>54409.5</v>
      </c>
      <c r="Y76" s="343">
        <f t="shared" si="15"/>
        <v>-20340</v>
      </c>
    </row>
    <row r="77" spans="1:25" s="2" customFormat="1" x14ac:dyDescent="0.2">
      <c r="A77" s="190" t="s">
        <v>41</v>
      </c>
      <c r="B77" s="190" t="s">
        <v>42</v>
      </c>
      <c r="C77" s="190" t="s">
        <v>43</v>
      </c>
      <c r="D77" s="192"/>
      <c r="E77" s="192" t="s">
        <v>163</v>
      </c>
      <c r="F77" s="191">
        <v>10</v>
      </c>
      <c r="G77" s="284">
        <f t="shared" si="9"/>
        <v>0</v>
      </c>
      <c r="H77" s="282">
        <f t="shared" ref="H77:R77" si="28">$F31*H31</f>
        <v>0</v>
      </c>
      <c r="I77" s="282">
        <f t="shared" si="28"/>
        <v>0</v>
      </c>
      <c r="J77" s="303">
        <f t="shared" si="28"/>
        <v>3750</v>
      </c>
      <c r="K77" s="303">
        <f t="shared" si="28"/>
        <v>4000</v>
      </c>
      <c r="L77" s="303">
        <f t="shared" si="28"/>
        <v>4000</v>
      </c>
      <c r="M77" s="303">
        <f t="shared" si="28"/>
        <v>4000</v>
      </c>
      <c r="N77" s="303">
        <f t="shared" si="28"/>
        <v>4000</v>
      </c>
      <c r="O77" s="303">
        <f t="shared" si="28"/>
        <v>4000</v>
      </c>
      <c r="P77" s="303">
        <f t="shared" si="28"/>
        <v>4000</v>
      </c>
      <c r="Q77" s="303">
        <f t="shared" si="28"/>
        <v>4000</v>
      </c>
      <c r="R77" s="303">
        <f t="shared" si="28"/>
        <v>4250</v>
      </c>
      <c r="S77" s="225">
        <v>4725</v>
      </c>
      <c r="T77" s="226">
        <v>47250</v>
      </c>
      <c r="U77" s="227">
        <v>40044.375</v>
      </c>
      <c r="V77" s="363">
        <f t="shared" si="12"/>
        <v>36000</v>
      </c>
      <c r="W77" s="356">
        <f t="shared" si="13"/>
        <v>-11250</v>
      </c>
      <c r="X77" s="355">
        <f t="shared" si="14"/>
        <v>30510</v>
      </c>
      <c r="Y77" s="343">
        <f t="shared" si="15"/>
        <v>-9534.375</v>
      </c>
    </row>
    <row r="78" spans="1:25" s="2" customFormat="1" x14ac:dyDescent="0.2">
      <c r="A78" s="190" t="s">
        <v>41</v>
      </c>
      <c r="B78" s="190" t="s">
        <v>42</v>
      </c>
      <c r="C78" s="190" t="s">
        <v>43</v>
      </c>
      <c r="D78" s="192"/>
      <c r="E78" s="192" t="s">
        <v>164</v>
      </c>
      <c r="F78" s="191">
        <v>10.88</v>
      </c>
      <c r="G78" s="287">
        <f t="shared" si="9"/>
        <v>0</v>
      </c>
      <c r="H78" s="282">
        <f t="shared" ref="H78:R78" si="29">$F32*H32</f>
        <v>0</v>
      </c>
      <c r="I78" s="287">
        <f t="shared" si="29"/>
        <v>0</v>
      </c>
      <c r="J78" s="303">
        <f t="shared" si="29"/>
        <v>0</v>
      </c>
      <c r="K78" s="303">
        <f t="shared" si="29"/>
        <v>28288.000000000004</v>
      </c>
      <c r="L78" s="303">
        <f t="shared" si="29"/>
        <v>0</v>
      </c>
      <c r="M78" s="303">
        <f t="shared" si="29"/>
        <v>0</v>
      </c>
      <c r="N78" s="303">
        <f t="shared" si="29"/>
        <v>26112.000000000004</v>
      </c>
      <c r="O78" s="303">
        <f t="shared" si="29"/>
        <v>0</v>
      </c>
      <c r="P78" s="303">
        <f t="shared" si="29"/>
        <v>0</v>
      </c>
      <c r="Q78" s="303">
        <f t="shared" si="29"/>
        <v>15449.6</v>
      </c>
      <c r="R78" s="303">
        <f t="shared" si="29"/>
        <v>0</v>
      </c>
      <c r="S78" s="225">
        <v>8820</v>
      </c>
      <c r="T78" s="226">
        <v>95961.600000000006</v>
      </c>
      <c r="U78" s="227">
        <v>81327.456000000006</v>
      </c>
      <c r="V78" s="363">
        <f t="shared" si="12"/>
        <v>69849.600000000006</v>
      </c>
      <c r="W78" s="356">
        <f t="shared" si="13"/>
        <v>-26112</v>
      </c>
      <c r="X78" s="355">
        <f t="shared" si="14"/>
        <v>59197.536000000007</v>
      </c>
      <c r="Y78" s="343">
        <f t="shared" si="15"/>
        <v>-22129.919999999998</v>
      </c>
    </row>
    <row r="79" spans="1:25" s="2" customFormat="1" x14ac:dyDescent="0.2">
      <c r="A79" s="190" t="s">
        <v>41</v>
      </c>
      <c r="B79" s="190" t="s">
        <v>42</v>
      </c>
      <c r="C79" s="190" t="s">
        <v>43</v>
      </c>
      <c r="D79" s="192"/>
      <c r="E79" s="192" t="s">
        <v>72</v>
      </c>
      <c r="F79" s="191">
        <v>21</v>
      </c>
      <c r="G79" s="288">
        <f t="shared" si="9"/>
        <v>21000</v>
      </c>
      <c r="H79" s="282">
        <f t="shared" ref="H79:R79" si="30">$F33*H33</f>
        <v>0</v>
      </c>
      <c r="I79" s="282">
        <f t="shared" si="30"/>
        <v>0</v>
      </c>
      <c r="J79" s="303">
        <f t="shared" si="30"/>
        <v>0</v>
      </c>
      <c r="K79" s="303">
        <f t="shared" si="30"/>
        <v>0</v>
      </c>
      <c r="L79" s="303">
        <f t="shared" si="30"/>
        <v>0</v>
      </c>
      <c r="M79" s="303">
        <f t="shared" si="30"/>
        <v>0</v>
      </c>
      <c r="N79" s="303">
        <f t="shared" si="30"/>
        <v>0</v>
      </c>
      <c r="O79" s="303">
        <f t="shared" si="30"/>
        <v>0</v>
      </c>
      <c r="P79" s="303">
        <f t="shared" si="30"/>
        <v>0</v>
      </c>
      <c r="Q79" s="303">
        <f t="shared" si="30"/>
        <v>0</v>
      </c>
      <c r="R79" s="303">
        <f t="shared" si="30"/>
        <v>0</v>
      </c>
      <c r="S79" s="225">
        <v>0</v>
      </c>
      <c r="T79" s="226">
        <v>0</v>
      </c>
      <c r="U79" s="227">
        <v>0</v>
      </c>
      <c r="V79" s="363">
        <f t="shared" si="12"/>
        <v>21000</v>
      </c>
      <c r="W79" s="356">
        <f t="shared" si="13"/>
        <v>21000</v>
      </c>
      <c r="X79" s="355">
        <f t="shared" si="14"/>
        <v>17797.5</v>
      </c>
      <c r="Y79" s="343">
        <f t="shared" si="15"/>
        <v>17797.5</v>
      </c>
    </row>
    <row r="80" spans="1:25" s="2" customFormat="1" x14ac:dyDescent="0.2">
      <c r="A80" s="190" t="s">
        <v>41</v>
      </c>
      <c r="B80" s="190" t="s">
        <v>61</v>
      </c>
      <c r="C80" s="190" t="s">
        <v>43</v>
      </c>
      <c r="D80" s="192"/>
      <c r="E80" s="192" t="s">
        <v>71</v>
      </c>
      <c r="F80" s="191">
        <v>21</v>
      </c>
      <c r="G80" s="200">
        <f t="shared" si="9"/>
        <v>0</v>
      </c>
      <c r="H80" s="201">
        <f t="shared" ref="H80:R80" si="31">$F34*H34</f>
        <v>0</v>
      </c>
      <c r="I80" s="201">
        <f t="shared" si="31"/>
        <v>0</v>
      </c>
      <c r="J80" s="303">
        <f t="shared" si="31"/>
        <v>0</v>
      </c>
      <c r="K80" s="303">
        <f t="shared" si="31"/>
        <v>0</v>
      </c>
      <c r="L80" s="303">
        <f t="shared" si="31"/>
        <v>0</v>
      </c>
      <c r="M80" s="303">
        <f t="shared" si="31"/>
        <v>0</v>
      </c>
      <c r="N80" s="303">
        <f t="shared" si="31"/>
        <v>0</v>
      </c>
      <c r="O80" s="303">
        <f t="shared" si="31"/>
        <v>0</v>
      </c>
      <c r="P80" s="303">
        <f t="shared" si="31"/>
        <v>0</v>
      </c>
      <c r="Q80" s="303">
        <f t="shared" si="31"/>
        <v>0</v>
      </c>
      <c r="R80" s="303">
        <f t="shared" si="31"/>
        <v>0</v>
      </c>
      <c r="S80" s="225">
        <v>0</v>
      </c>
      <c r="T80" s="226">
        <v>0</v>
      </c>
      <c r="U80" s="227">
        <v>0</v>
      </c>
      <c r="V80" s="363">
        <f t="shared" si="12"/>
        <v>0</v>
      </c>
      <c r="W80" s="356">
        <f t="shared" si="13"/>
        <v>0</v>
      </c>
      <c r="X80" s="355">
        <f t="shared" si="14"/>
        <v>0</v>
      </c>
      <c r="Y80" s="343">
        <f t="shared" si="15"/>
        <v>0</v>
      </c>
    </row>
    <row r="81" spans="1:25" s="2" customFormat="1" x14ac:dyDescent="0.2">
      <c r="A81" s="190" t="s">
        <v>41</v>
      </c>
      <c r="B81" s="190" t="s">
        <v>42</v>
      </c>
      <c r="C81" s="190" t="s">
        <v>43</v>
      </c>
      <c r="D81" s="192"/>
      <c r="E81" s="192" t="s">
        <v>132</v>
      </c>
      <c r="F81" s="191">
        <v>21</v>
      </c>
      <c r="G81" s="254">
        <f t="shared" si="9"/>
        <v>0</v>
      </c>
      <c r="H81" s="246">
        <f t="shared" ref="H81:R81" si="32">$F35*H35</f>
        <v>0</v>
      </c>
      <c r="I81" s="248">
        <f t="shared" si="32"/>
        <v>0</v>
      </c>
      <c r="J81" s="303">
        <f t="shared" si="32"/>
        <v>0</v>
      </c>
      <c r="K81" s="303">
        <f t="shared" si="32"/>
        <v>0</v>
      </c>
      <c r="L81" s="303">
        <f t="shared" si="32"/>
        <v>0</v>
      </c>
      <c r="M81" s="303">
        <f t="shared" si="32"/>
        <v>0</v>
      </c>
      <c r="N81" s="303">
        <f t="shared" si="32"/>
        <v>0</v>
      </c>
      <c r="O81" s="303">
        <f t="shared" si="32"/>
        <v>0</v>
      </c>
      <c r="P81" s="303">
        <f t="shared" si="32"/>
        <v>0</v>
      </c>
      <c r="Q81" s="303">
        <f t="shared" si="32"/>
        <v>0</v>
      </c>
      <c r="R81" s="303">
        <f t="shared" si="32"/>
        <v>0</v>
      </c>
      <c r="S81" s="225">
        <v>0</v>
      </c>
      <c r="T81" s="226">
        <v>0</v>
      </c>
      <c r="U81" s="227">
        <v>0</v>
      </c>
      <c r="V81" s="363">
        <f t="shared" si="12"/>
        <v>0</v>
      </c>
      <c r="W81" s="356">
        <f t="shared" si="13"/>
        <v>0</v>
      </c>
      <c r="X81" s="355">
        <f t="shared" si="14"/>
        <v>0</v>
      </c>
      <c r="Y81" s="343">
        <f t="shared" si="15"/>
        <v>0</v>
      </c>
    </row>
    <row r="82" spans="1:25" s="2" customFormat="1" ht="14.75" customHeight="1" x14ac:dyDescent="0.2">
      <c r="A82" s="190" t="s">
        <v>41</v>
      </c>
      <c r="B82" s="190" t="s">
        <v>42</v>
      </c>
      <c r="C82" s="190" t="s">
        <v>43</v>
      </c>
      <c r="D82" s="190"/>
      <c r="E82" s="190" t="s">
        <v>145</v>
      </c>
      <c r="F82" s="191">
        <v>23</v>
      </c>
      <c r="G82" s="284">
        <f t="shared" si="9"/>
        <v>0</v>
      </c>
      <c r="H82" s="282">
        <f t="shared" ref="H82:R82" si="33">$F36*H36</f>
        <v>69000</v>
      </c>
      <c r="I82" s="282">
        <f t="shared" si="33"/>
        <v>0</v>
      </c>
      <c r="J82" s="303">
        <f t="shared" si="33"/>
        <v>46000</v>
      </c>
      <c r="K82" s="303">
        <f t="shared" si="33"/>
        <v>0</v>
      </c>
      <c r="L82" s="303">
        <f t="shared" si="33"/>
        <v>69000</v>
      </c>
      <c r="M82" s="303">
        <f t="shared" si="33"/>
        <v>0</v>
      </c>
      <c r="N82" s="303">
        <f t="shared" si="33"/>
        <v>69000</v>
      </c>
      <c r="O82" s="303">
        <f t="shared" si="33"/>
        <v>0</v>
      </c>
      <c r="P82" s="303">
        <f t="shared" si="33"/>
        <v>69000</v>
      </c>
      <c r="Q82" s="303">
        <f t="shared" si="33"/>
        <v>0</v>
      </c>
      <c r="R82" s="303">
        <f t="shared" si="33"/>
        <v>46000</v>
      </c>
      <c r="S82" s="225">
        <v>16000</v>
      </c>
      <c r="T82" s="226">
        <v>368000</v>
      </c>
      <c r="U82" s="227">
        <v>311880</v>
      </c>
      <c r="V82" s="363">
        <f t="shared" si="12"/>
        <v>368000</v>
      </c>
      <c r="W82" s="356">
        <f t="shared" si="13"/>
        <v>0</v>
      </c>
      <c r="X82" s="355">
        <f t="shared" si="14"/>
        <v>311880</v>
      </c>
      <c r="Y82" s="343">
        <f t="shared" si="15"/>
        <v>0</v>
      </c>
    </row>
    <row r="83" spans="1:25" s="2" customFormat="1" x14ac:dyDescent="0.2">
      <c r="A83" s="190" t="s">
        <v>41</v>
      </c>
      <c r="B83" s="190" t="s">
        <v>42</v>
      </c>
      <c r="C83" s="190" t="s">
        <v>43</v>
      </c>
      <c r="D83" s="190"/>
      <c r="E83" s="190" t="s">
        <v>146</v>
      </c>
      <c r="F83" s="191">
        <v>23</v>
      </c>
      <c r="G83" s="290">
        <f t="shared" si="9"/>
        <v>0</v>
      </c>
      <c r="H83" s="291">
        <f t="shared" ref="H83:R83" si="34">$F37*H37</f>
        <v>25875</v>
      </c>
      <c r="I83" s="291">
        <f t="shared" si="34"/>
        <v>0</v>
      </c>
      <c r="J83" s="303">
        <f t="shared" si="34"/>
        <v>25875</v>
      </c>
      <c r="K83" s="303">
        <f t="shared" si="34"/>
        <v>29900</v>
      </c>
      <c r="L83" s="303">
        <f t="shared" si="34"/>
        <v>27600</v>
      </c>
      <c r="M83" s="303">
        <f t="shared" si="34"/>
        <v>27600</v>
      </c>
      <c r="N83" s="303">
        <f t="shared" si="34"/>
        <v>27600</v>
      </c>
      <c r="O83" s="303">
        <f t="shared" si="34"/>
        <v>27600</v>
      </c>
      <c r="P83" s="303">
        <f t="shared" si="34"/>
        <v>29900</v>
      </c>
      <c r="Q83" s="303">
        <f t="shared" si="34"/>
        <v>29900</v>
      </c>
      <c r="R83" s="303">
        <f t="shared" si="34"/>
        <v>29900</v>
      </c>
      <c r="S83" s="373">
        <v>14500</v>
      </c>
      <c r="T83" s="361">
        <v>333500</v>
      </c>
      <c r="U83" s="374">
        <v>282641.25</v>
      </c>
      <c r="V83" s="363">
        <f t="shared" si="12"/>
        <v>281750</v>
      </c>
      <c r="W83" s="356">
        <f t="shared" si="13"/>
        <v>-51750</v>
      </c>
      <c r="X83" s="355">
        <f t="shared" si="14"/>
        <v>238783.125</v>
      </c>
      <c r="Y83" s="343">
        <f t="shared" si="15"/>
        <v>-43858.125</v>
      </c>
    </row>
    <row r="84" spans="1:25" s="2" customFormat="1" x14ac:dyDescent="0.2">
      <c r="A84" s="14"/>
      <c r="F84" s="97" t="s">
        <v>39</v>
      </c>
      <c r="G84" s="311">
        <f>SUM(G63:G83)</f>
        <v>337026.8</v>
      </c>
      <c r="H84" s="311">
        <f t="shared" ref="H84:R84" si="35">SUM(H63:H83)</f>
        <v>476704.04000000004</v>
      </c>
      <c r="I84" s="311">
        <f t="shared" si="35"/>
        <v>605867</v>
      </c>
      <c r="J84" s="349">
        <f t="shared" si="35"/>
        <v>339937</v>
      </c>
      <c r="K84" s="349">
        <f t="shared" si="35"/>
        <v>750607.53</v>
      </c>
      <c r="L84" s="349">
        <f t="shared" si="35"/>
        <v>442632.15</v>
      </c>
      <c r="M84" s="349">
        <f t="shared" si="35"/>
        <v>581894.52800000005</v>
      </c>
      <c r="N84" s="349">
        <f t="shared" si="35"/>
        <v>646101.18000000005</v>
      </c>
      <c r="O84" s="349">
        <f t="shared" si="35"/>
        <v>470979.74800000002</v>
      </c>
      <c r="P84" s="349">
        <f t="shared" si="35"/>
        <v>419492.04000000004</v>
      </c>
      <c r="Q84" s="349">
        <f t="shared" si="35"/>
        <v>720028.72</v>
      </c>
      <c r="R84" s="371">
        <f t="shared" si="35"/>
        <v>337060.74800000002</v>
      </c>
      <c r="S84" s="359">
        <f>SUM(S63:S83)</f>
        <v>381870</v>
      </c>
      <c r="T84" s="360">
        <f>SUM(T63:T83)</f>
        <v>6495085.6039999994</v>
      </c>
      <c r="U84" s="375">
        <v>5504585.0493900012</v>
      </c>
      <c r="V84" s="367">
        <f>SUM(V63:V83)</f>
        <v>6128331.4840000002</v>
      </c>
      <c r="W84" s="317">
        <f>SUM(W64:W83)</f>
        <v>-473773.12000000005</v>
      </c>
      <c r="X84" s="317">
        <f>SUM(X63:X83)</f>
        <v>5193760.9326900011</v>
      </c>
      <c r="Y84" s="317">
        <f>SUM(Y64:Y83)</f>
        <v>-401522.71920000023</v>
      </c>
    </row>
    <row r="85" spans="1:25" s="2" customFormat="1" ht="16" thickBot="1" x14ac:dyDescent="0.25">
      <c r="A85" s="14"/>
      <c r="F85" s="97"/>
      <c r="G85" s="289"/>
      <c r="H85" s="289"/>
      <c r="I85" s="289"/>
      <c r="J85" s="289"/>
      <c r="K85" s="289"/>
      <c r="L85" s="289"/>
      <c r="M85" s="289"/>
      <c r="N85" s="289"/>
      <c r="O85" s="289"/>
      <c r="P85" s="289"/>
      <c r="Q85" s="289"/>
      <c r="R85" s="289"/>
      <c r="S85" s="313">
        <v>6064131.4839999992</v>
      </c>
      <c r="T85" s="314" t="s">
        <v>156</v>
      </c>
      <c r="U85" s="315" t="s">
        <v>156</v>
      </c>
      <c r="V85" s="372"/>
      <c r="W85" s="319"/>
      <c r="X85" s="319"/>
      <c r="Y85" s="319"/>
    </row>
    <row r="86" spans="1:25" s="2" customFormat="1" x14ac:dyDescent="0.2">
      <c r="A86" s="14"/>
      <c r="F86" s="97"/>
      <c r="G86" s="289"/>
      <c r="H86" s="289"/>
      <c r="I86" s="289"/>
      <c r="J86" s="289"/>
      <c r="K86" s="289"/>
      <c r="L86" s="289"/>
      <c r="M86" s="289"/>
      <c r="N86" s="289"/>
      <c r="O86" s="289"/>
      <c r="P86" s="289"/>
      <c r="Q86" s="289"/>
      <c r="R86" s="289"/>
      <c r="S86" s="221"/>
      <c r="T86" s="253"/>
      <c r="U86" s="253"/>
      <c r="V86" s="331"/>
      <c r="W86" s="333"/>
      <c r="X86" s="333"/>
      <c r="Y86" s="331"/>
    </row>
    <row r="87" spans="1:25" s="2" customFormat="1" ht="16" thickBot="1" x14ac:dyDescent="0.25">
      <c r="A87" s="14"/>
      <c r="F87" s="14"/>
      <c r="G87" s="289"/>
      <c r="H87" s="289"/>
      <c r="I87" s="289"/>
      <c r="J87" s="289"/>
      <c r="K87" s="289"/>
      <c r="L87" s="289"/>
      <c r="M87" s="289"/>
      <c r="N87" s="289"/>
      <c r="O87" s="289"/>
      <c r="P87" s="289"/>
      <c r="Q87" s="289"/>
      <c r="R87" s="289"/>
      <c r="S87" s="302"/>
      <c r="T87" s="296"/>
      <c r="U87" s="20"/>
    </row>
    <row r="88" spans="1:25" s="2" customFormat="1" ht="33" thickBot="1" x14ac:dyDescent="0.25">
      <c r="A88" s="14"/>
      <c r="E88" s="350" t="s">
        <v>204</v>
      </c>
      <c r="F88" s="14"/>
      <c r="G88" s="353" t="s">
        <v>175</v>
      </c>
      <c r="H88" s="353" t="s">
        <v>176</v>
      </c>
      <c r="I88" s="353" t="s">
        <v>177</v>
      </c>
      <c r="J88" s="351" t="s">
        <v>178</v>
      </c>
      <c r="K88" s="351" t="s">
        <v>179</v>
      </c>
      <c r="L88" s="351" t="s">
        <v>180</v>
      </c>
      <c r="M88" s="351" t="s">
        <v>181</v>
      </c>
      <c r="N88" s="351" t="s">
        <v>182</v>
      </c>
      <c r="O88" s="351" t="s">
        <v>183</v>
      </c>
      <c r="P88" s="351" t="s">
        <v>205</v>
      </c>
      <c r="Q88" s="351" t="s">
        <v>184</v>
      </c>
      <c r="R88" s="352" t="s">
        <v>185</v>
      </c>
      <c r="S88" s="445" t="s">
        <v>152</v>
      </c>
      <c r="T88" s="446" t="s">
        <v>153</v>
      </c>
      <c r="U88" s="447" t="s">
        <v>154</v>
      </c>
      <c r="V88" s="215" t="s">
        <v>167</v>
      </c>
      <c r="W88" s="325" t="s">
        <v>196</v>
      </c>
      <c r="X88" s="329" t="s">
        <v>197</v>
      </c>
      <c r="Y88" s="306" t="s">
        <v>169</v>
      </c>
    </row>
    <row r="89" spans="1:25" s="2" customFormat="1" x14ac:dyDescent="0.2">
      <c r="A89" s="64" t="s">
        <v>74</v>
      </c>
      <c r="B89" s="45" t="s">
        <v>70</v>
      </c>
      <c r="C89" s="45" t="s">
        <v>89</v>
      </c>
      <c r="D89" s="45"/>
      <c r="E89" s="45" t="s">
        <v>81</v>
      </c>
      <c r="F89" s="182">
        <v>10.74</v>
      </c>
      <c r="G89" s="320">
        <f t="shared" ref="G89:R89" si="36">$F43*G43</f>
        <v>0</v>
      </c>
      <c r="H89" s="320">
        <f t="shared" si="36"/>
        <v>0</v>
      </c>
      <c r="I89" s="320">
        <f t="shared" si="36"/>
        <v>0</v>
      </c>
      <c r="J89" s="292">
        <f t="shared" si="36"/>
        <v>0</v>
      </c>
      <c r="K89" s="292">
        <f t="shared" si="36"/>
        <v>0</v>
      </c>
      <c r="L89" s="292">
        <f t="shared" si="36"/>
        <v>0</v>
      </c>
      <c r="M89" s="292">
        <f t="shared" si="36"/>
        <v>0</v>
      </c>
      <c r="N89" s="292">
        <f t="shared" si="36"/>
        <v>0</v>
      </c>
      <c r="O89" s="292">
        <f t="shared" si="36"/>
        <v>0</v>
      </c>
      <c r="P89" s="292">
        <f t="shared" si="36"/>
        <v>0</v>
      </c>
      <c r="Q89" s="292">
        <f t="shared" si="36"/>
        <v>0</v>
      </c>
      <c r="R89" s="376">
        <f t="shared" si="36"/>
        <v>0</v>
      </c>
      <c r="S89" s="340">
        <v>0</v>
      </c>
      <c r="T89" s="334">
        <v>0</v>
      </c>
      <c r="U89" s="378">
        <v>0</v>
      </c>
      <c r="V89" s="336">
        <f>SUM(G89:R89)</f>
        <v>0</v>
      </c>
      <c r="W89" s="337">
        <f>F89*V89</f>
        <v>0</v>
      </c>
      <c r="X89" s="338">
        <f>W89*0.8475</f>
        <v>0</v>
      </c>
      <c r="Y89" s="339"/>
    </row>
    <row r="90" spans="1:25" s="2" customFormat="1" x14ac:dyDescent="0.2">
      <c r="A90" s="64" t="s">
        <v>74</v>
      </c>
      <c r="B90" s="45" t="s">
        <v>61</v>
      </c>
      <c r="C90" s="45" t="s">
        <v>80</v>
      </c>
      <c r="D90" s="45"/>
      <c r="E90" s="45" t="s">
        <v>81</v>
      </c>
      <c r="F90" s="182">
        <v>10.74</v>
      </c>
      <c r="G90" s="320">
        <f t="shared" ref="G90:R90" si="37">$F44*G44</f>
        <v>0</v>
      </c>
      <c r="H90" s="320">
        <f t="shared" si="37"/>
        <v>0</v>
      </c>
      <c r="I90" s="320">
        <f t="shared" si="37"/>
        <v>0</v>
      </c>
      <c r="J90" s="292">
        <f t="shared" si="37"/>
        <v>0</v>
      </c>
      <c r="K90" s="292">
        <f t="shared" si="37"/>
        <v>0</v>
      </c>
      <c r="L90" s="292">
        <f t="shared" si="37"/>
        <v>0</v>
      </c>
      <c r="M90" s="292">
        <f t="shared" si="37"/>
        <v>0</v>
      </c>
      <c r="N90" s="292">
        <f t="shared" si="37"/>
        <v>0</v>
      </c>
      <c r="O90" s="292">
        <f t="shared" si="37"/>
        <v>0</v>
      </c>
      <c r="P90" s="292">
        <f t="shared" si="37"/>
        <v>0</v>
      </c>
      <c r="Q90" s="292">
        <f t="shared" si="37"/>
        <v>0</v>
      </c>
      <c r="R90" s="376">
        <f t="shared" si="37"/>
        <v>0</v>
      </c>
      <c r="S90" s="340">
        <v>0</v>
      </c>
      <c r="T90" s="340">
        <v>0</v>
      </c>
      <c r="U90" s="379">
        <v>0</v>
      </c>
      <c r="V90" s="336">
        <f t="shared" ref="V90:V97" si="38">SUM(G90:R90)</f>
        <v>0</v>
      </c>
      <c r="W90" s="343">
        <f t="shared" ref="W90:W97" si="39">F90*V90</f>
        <v>0</v>
      </c>
      <c r="X90" s="344">
        <f t="shared" ref="X90:X97" si="40">W90*0.8475</f>
        <v>0</v>
      </c>
      <c r="Y90" s="339"/>
    </row>
    <row r="91" spans="1:25" s="2" customFormat="1" ht="14" customHeight="1" x14ac:dyDescent="0.2">
      <c r="A91" s="64" t="s">
        <v>74</v>
      </c>
      <c r="B91" s="45" t="s">
        <v>61</v>
      </c>
      <c r="C91" s="45" t="s">
        <v>83</v>
      </c>
      <c r="D91" s="45"/>
      <c r="E91" s="45" t="s">
        <v>81</v>
      </c>
      <c r="F91" s="182">
        <v>10.74</v>
      </c>
      <c r="G91" s="320">
        <f t="shared" ref="G91:R91" si="41">$F45*G45</f>
        <v>19332</v>
      </c>
      <c r="H91" s="320">
        <f t="shared" si="41"/>
        <v>0</v>
      </c>
      <c r="I91" s="320">
        <f t="shared" si="41"/>
        <v>19332</v>
      </c>
      <c r="J91" s="292">
        <f t="shared" si="41"/>
        <v>0</v>
      </c>
      <c r="K91" s="292">
        <f t="shared" si="41"/>
        <v>0</v>
      </c>
      <c r="L91" s="292">
        <f t="shared" si="41"/>
        <v>0</v>
      </c>
      <c r="M91" s="292">
        <f t="shared" si="41"/>
        <v>0</v>
      </c>
      <c r="N91" s="292">
        <f t="shared" si="41"/>
        <v>0</v>
      </c>
      <c r="O91" s="292">
        <f t="shared" si="41"/>
        <v>0</v>
      </c>
      <c r="P91" s="292">
        <f t="shared" si="41"/>
        <v>0</v>
      </c>
      <c r="Q91" s="292">
        <f t="shared" si="41"/>
        <v>0</v>
      </c>
      <c r="R91" s="376">
        <f t="shared" si="41"/>
        <v>0</v>
      </c>
      <c r="S91" s="340">
        <v>0</v>
      </c>
      <c r="T91" s="340">
        <v>0</v>
      </c>
      <c r="U91" s="379">
        <v>0</v>
      </c>
      <c r="V91" s="336">
        <f t="shared" si="38"/>
        <v>38664</v>
      </c>
      <c r="W91" s="343">
        <f t="shared" si="39"/>
        <v>415251.36</v>
      </c>
      <c r="X91" s="344">
        <f t="shared" si="40"/>
        <v>351925.52759999997</v>
      </c>
      <c r="Y91" s="339"/>
    </row>
    <row r="92" spans="1:25" s="2" customFormat="1" x14ac:dyDescent="0.2">
      <c r="A92" s="64" t="s">
        <v>74</v>
      </c>
      <c r="B92" s="45" t="s">
        <v>70</v>
      </c>
      <c r="C92" s="45" t="s">
        <v>87</v>
      </c>
      <c r="D92" s="45"/>
      <c r="E92" s="45" t="s">
        <v>88</v>
      </c>
      <c r="F92" s="182">
        <v>13.27</v>
      </c>
      <c r="G92" s="320">
        <f t="shared" ref="G92:R92" si="42">$F46*G46</f>
        <v>0</v>
      </c>
      <c r="H92" s="320">
        <f t="shared" si="42"/>
        <v>0</v>
      </c>
      <c r="I92" s="320">
        <f t="shared" si="42"/>
        <v>0</v>
      </c>
      <c r="J92" s="292">
        <f t="shared" si="42"/>
        <v>0</v>
      </c>
      <c r="K92" s="292">
        <f t="shared" si="42"/>
        <v>0</v>
      </c>
      <c r="L92" s="292">
        <f t="shared" si="42"/>
        <v>0</v>
      </c>
      <c r="M92" s="292">
        <f t="shared" si="42"/>
        <v>0</v>
      </c>
      <c r="N92" s="292">
        <f t="shared" si="42"/>
        <v>0</v>
      </c>
      <c r="O92" s="292">
        <f t="shared" si="42"/>
        <v>0</v>
      </c>
      <c r="P92" s="292">
        <f t="shared" si="42"/>
        <v>0</v>
      </c>
      <c r="Q92" s="292">
        <f t="shared" si="42"/>
        <v>0</v>
      </c>
      <c r="R92" s="376">
        <f t="shared" si="42"/>
        <v>0</v>
      </c>
      <c r="S92" s="340">
        <v>0</v>
      </c>
      <c r="T92" s="340">
        <v>0</v>
      </c>
      <c r="U92" s="379">
        <v>0</v>
      </c>
      <c r="V92" s="336">
        <f t="shared" si="38"/>
        <v>0</v>
      </c>
      <c r="W92" s="343">
        <f t="shared" si="39"/>
        <v>0</v>
      </c>
      <c r="X92" s="344">
        <f t="shared" si="40"/>
        <v>0</v>
      </c>
      <c r="Y92" s="339"/>
    </row>
    <row r="93" spans="1:25" s="2" customFormat="1" x14ac:dyDescent="0.2">
      <c r="A93" s="64" t="s">
        <v>74</v>
      </c>
      <c r="B93" s="45" t="s">
        <v>70</v>
      </c>
      <c r="C93" s="45" t="s">
        <v>87</v>
      </c>
      <c r="D93" s="45"/>
      <c r="E93" s="45" t="s">
        <v>148</v>
      </c>
      <c r="F93" s="182">
        <v>59.48</v>
      </c>
      <c r="G93" s="320">
        <f t="shared" ref="G93:R93" si="43">$F47*G47</f>
        <v>0</v>
      </c>
      <c r="H93" s="320">
        <f t="shared" si="43"/>
        <v>0</v>
      </c>
      <c r="I93" s="320">
        <f t="shared" si="43"/>
        <v>0</v>
      </c>
      <c r="J93" s="292">
        <f t="shared" si="43"/>
        <v>0</v>
      </c>
      <c r="K93" s="292">
        <f t="shared" si="43"/>
        <v>0</v>
      </c>
      <c r="L93" s="292">
        <f t="shared" si="43"/>
        <v>0</v>
      </c>
      <c r="M93" s="292">
        <f t="shared" si="43"/>
        <v>0</v>
      </c>
      <c r="N93" s="292">
        <f t="shared" si="43"/>
        <v>0</v>
      </c>
      <c r="O93" s="292">
        <f t="shared" si="43"/>
        <v>0</v>
      </c>
      <c r="P93" s="292">
        <f t="shared" si="43"/>
        <v>0</v>
      </c>
      <c r="Q93" s="292">
        <f t="shared" si="43"/>
        <v>0</v>
      </c>
      <c r="R93" s="376">
        <f t="shared" si="43"/>
        <v>0</v>
      </c>
      <c r="S93" s="340">
        <v>0</v>
      </c>
      <c r="T93" s="340">
        <v>0</v>
      </c>
      <c r="U93" s="379">
        <v>0</v>
      </c>
      <c r="V93" s="336">
        <f t="shared" si="38"/>
        <v>0</v>
      </c>
      <c r="W93" s="343">
        <f t="shared" si="39"/>
        <v>0</v>
      </c>
      <c r="X93" s="344">
        <f t="shared" si="40"/>
        <v>0</v>
      </c>
      <c r="Y93" s="339"/>
    </row>
    <row r="94" spans="1:25" s="2" customFormat="1" x14ac:dyDescent="0.2">
      <c r="A94" s="64" t="s">
        <v>74</v>
      </c>
      <c r="B94" s="45" t="s">
        <v>70</v>
      </c>
      <c r="C94" s="45" t="s">
        <v>80</v>
      </c>
      <c r="D94" s="45"/>
      <c r="E94" s="45" t="s">
        <v>149</v>
      </c>
      <c r="F94" s="182">
        <v>59.48</v>
      </c>
      <c r="G94" s="321">
        <f t="shared" ref="G94:R94" si="44">$F48*G48</f>
        <v>4758.3999999999996</v>
      </c>
      <c r="H94" s="321">
        <f t="shared" si="44"/>
        <v>4758.3999999999996</v>
      </c>
      <c r="I94" s="321">
        <f t="shared" si="44"/>
        <v>4758.3999999999996</v>
      </c>
      <c r="J94" s="292">
        <f t="shared" si="44"/>
        <v>0</v>
      </c>
      <c r="K94" s="292">
        <f t="shared" si="44"/>
        <v>0</v>
      </c>
      <c r="L94" s="292">
        <f t="shared" si="44"/>
        <v>0</v>
      </c>
      <c r="M94" s="292">
        <f t="shared" si="44"/>
        <v>0</v>
      </c>
      <c r="N94" s="292">
        <f t="shared" si="44"/>
        <v>0</v>
      </c>
      <c r="O94" s="292">
        <f t="shared" si="44"/>
        <v>0</v>
      </c>
      <c r="P94" s="292">
        <f t="shared" si="44"/>
        <v>0</v>
      </c>
      <c r="Q94" s="292">
        <f t="shared" si="44"/>
        <v>0</v>
      </c>
      <c r="R94" s="376">
        <f t="shared" si="44"/>
        <v>0</v>
      </c>
      <c r="S94" s="340">
        <v>0</v>
      </c>
      <c r="T94" s="340">
        <v>0</v>
      </c>
      <c r="U94" s="379">
        <v>0</v>
      </c>
      <c r="V94" s="336">
        <f t="shared" si="38"/>
        <v>14275.199999999999</v>
      </c>
      <c r="W94" s="343">
        <f t="shared" si="39"/>
        <v>849088.89599999983</v>
      </c>
      <c r="X94" s="344">
        <f t="shared" si="40"/>
        <v>719602.83935999987</v>
      </c>
      <c r="Y94" s="339"/>
    </row>
    <row r="95" spans="1:25" s="2" customFormat="1" ht="14.75" customHeight="1" x14ac:dyDescent="0.2">
      <c r="A95" s="64" t="s">
        <v>74</v>
      </c>
      <c r="B95" s="45" t="s">
        <v>70</v>
      </c>
      <c r="C95" s="45" t="s">
        <v>75</v>
      </c>
      <c r="D95" s="45"/>
      <c r="E95" s="45" t="s">
        <v>149</v>
      </c>
      <c r="F95" s="182">
        <v>59.48</v>
      </c>
      <c r="G95" s="320">
        <f t="shared" ref="G95:R95" si="45">$F49*G49</f>
        <v>0</v>
      </c>
      <c r="H95" s="320">
        <f t="shared" si="45"/>
        <v>0</v>
      </c>
      <c r="I95" s="320">
        <f t="shared" si="45"/>
        <v>0</v>
      </c>
      <c r="J95" s="292">
        <f t="shared" si="45"/>
        <v>0</v>
      </c>
      <c r="K95" s="292">
        <f t="shared" si="45"/>
        <v>0</v>
      </c>
      <c r="L95" s="292">
        <f t="shared" si="45"/>
        <v>0</v>
      </c>
      <c r="M95" s="292">
        <f t="shared" si="45"/>
        <v>0</v>
      </c>
      <c r="N95" s="292">
        <f t="shared" si="45"/>
        <v>0</v>
      </c>
      <c r="O95" s="292">
        <f t="shared" si="45"/>
        <v>0</v>
      </c>
      <c r="P95" s="292">
        <f t="shared" si="45"/>
        <v>0</v>
      </c>
      <c r="Q95" s="292">
        <f t="shared" si="45"/>
        <v>0</v>
      </c>
      <c r="R95" s="376">
        <f t="shared" si="45"/>
        <v>0</v>
      </c>
      <c r="S95" s="340">
        <v>0</v>
      </c>
      <c r="T95" s="340">
        <v>0</v>
      </c>
      <c r="U95" s="379">
        <v>0</v>
      </c>
      <c r="V95" s="336">
        <f t="shared" si="38"/>
        <v>0</v>
      </c>
      <c r="W95" s="343">
        <f t="shared" si="39"/>
        <v>0</v>
      </c>
      <c r="X95" s="344">
        <f t="shared" si="40"/>
        <v>0</v>
      </c>
      <c r="Y95" s="339"/>
    </row>
    <row r="96" spans="1:25" s="2" customFormat="1" x14ac:dyDescent="0.2">
      <c r="A96" s="64" t="s">
        <v>74</v>
      </c>
      <c r="B96" s="45" t="s">
        <v>70</v>
      </c>
      <c r="C96" s="45" t="s">
        <v>77</v>
      </c>
      <c r="D96" s="45"/>
      <c r="E96" s="45" t="s">
        <v>150</v>
      </c>
      <c r="F96" s="182">
        <f>21.66*1.01</f>
        <v>21.8766</v>
      </c>
      <c r="G96" s="320">
        <f t="shared" ref="G96:R96" si="46">$F50*G50</f>
        <v>0</v>
      </c>
      <c r="H96" s="320">
        <f t="shared" si="46"/>
        <v>0</v>
      </c>
      <c r="I96" s="320">
        <f t="shared" si="46"/>
        <v>0</v>
      </c>
      <c r="J96" s="292">
        <f t="shared" si="46"/>
        <v>0</v>
      </c>
      <c r="K96" s="292">
        <f t="shared" si="46"/>
        <v>0</v>
      </c>
      <c r="L96" s="292">
        <f t="shared" si="46"/>
        <v>0</v>
      </c>
      <c r="M96" s="292">
        <f t="shared" si="46"/>
        <v>0</v>
      </c>
      <c r="N96" s="292">
        <f t="shared" si="46"/>
        <v>0</v>
      </c>
      <c r="O96" s="292">
        <f t="shared" si="46"/>
        <v>0</v>
      </c>
      <c r="P96" s="292">
        <f t="shared" si="46"/>
        <v>0</v>
      </c>
      <c r="Q96" s="292">
        <f t="shared" si="46"/>
        <v>0</v>
      </c>
      <c r="R96" s="376">
        <f t="shared" si="46"/>
        <v>0</v>
      </c>
      <c r="S96" s="340">
        <v>0</v>
      </c>
      <c r="T96" s="340">
        <v>0</v>
      </c>
      <c r="U96" s="379">
        <v>0</v>
      </c>
      <c r="V96" s="336">
        <f t="shared" si="38"/>
        <v>0</v>
      </c>
      <c r="W96" s="343">
        <f t="shared" si="39"/>
        <v>0</v>
      </c>
      <c r="X96" s="344">
        <f t="shared" si="40"/>
        <v>0</v>
      </c>
      <c r="Y96" s="339"/>
    </row>
    <row r="97" spans="1:25" s="2" customFormat="1" x14ac:dyDescent="0.2">
      <c r="A97" s="64" t="s">
        <v>74</v>
      </c>
      <c r="B97" s="45" t="s">
        <v>70</v>
      </c>
      <c r="C97" s="45" t="s">
        <v>89</v>
      </c>
      <c r="D97" s="45"/>
      <c r="E97" s="45" t="s">
        <v>150</v>
      </c>
      <c r="F97" s="182">
        <f>21.66*1.01</f>
        <v>21.8766</v>
      </c>
      <c r="G97" s="320">
        <f t="shared" ref="G97:R97" si="47">$F51*G51</f>
        <v>0</v>
      </c>
      <c r="H97" s="320">
        <f t="shared" si="47"/>
        <v>0</v>
      </c>
      <c r="I97" s="320">
        <f t="shared" si="47"/>
        <v>0</v>
      </c>
      <c r="J97" s="292">
        <f t="shared" si="47"/>
        <v>0</v>
      </c>
      <c r="K97" s="292">
        <f t="shared" si="47"/>
        <v>0</v>
      </c>
      <c r="L97" s="292">
        <f t="shared" si="47"/>
        <v>0</v>
      </c>
      <c r="M97" s="292">
        <f t="shared" si="47"/>
        <v>0</v>
      </c>
      <c r="N97" s="292">
        <f t="shared" si="47"/>
        <v>0</v>
      </c>
      <c r="O97" s="292">
        <f t="shared" si="47"/>
        <v>0</v>
      </c>
      <c r="P97" s="292">
        <f t="shared" si="47"/>
        <v>0</v>
      </c>
      <c r="Q97" s="292">
        <f t="shared" si="47"/>
        <v>0</v>
      </c>
      <c r="R97" s="376">
        <f t="shared" si="47"/>
        <v>0</v>
      </c>
      <c r="S97" s="340">
        <v>0</v>
      </c>
      <c r="T97" s="340">
        <v>0</v>
      </c>
      <c r="U97" s="379">
        <v>0</v>
      </c>
      <c r="V97" s="336">
        <f t="shared" si="38"/>
        <v>0</v>
      </c>
      <c r="W97" s="343">
        <f t="shared" si="39"/>
        <v>0</v>
      </c>
      <c r="X97" s="344">
        <f t="shared" si="40"/>
        <v>0</v>
      </c>
      <c r="Y97" s="339"/>
    </row>
    <row r="98" spans="1:25" s="2" customFormat="1" ht="15.5" customHeight="1" x14ac:dyDescent="0.2">
      <c r="F98" s="2" t="s">
        <v>201</v>
      </c>
      <c r="G98" s="347">
        <f>SUM(G89:G97)</f>
        <v>24090.400000000001</v>
      </c>
      <c r="H98" s="347">
        <f t="shared" ref="H98:R98" si="48">SUM(H89:H97)</f>
        <v>4758.3999999999996</v>
      </c>
      <c r="I98" s="347">
        <f t="shared" si="48"/>
        <v>24090.400000000001</v>
      </c>
      <c r="J98" s="348">
        <f t="shared" si="48"/>
        <v>0</v>
      </c>
      <c r="K98" s="348">
        <f t="shared" si="48"/>
        <v>0</v>
      </c>
      <c r="L98" s="348">
        <f t="shared" si="48"/>
        <v>0</v>
      </c>
      <c r="M98" s="348">
        <f t="shared" si="48"/>
        <v>0</v>
      </c>
      <c r="N98" s="348">
        <f t="shared" si="48"/>
        <v>0</v>
      </c>
      <c r="O98" s="348">
        <f t="shared" si="48"/>
        <v>0</v>
      </c>
      <c r="P98" s="348">
        <f t="shared" si="48"/>
        <v>0</v>
      </c>
      <c r="Q98" s="348">
        <f t="shared" si="48"/>
        <v>0</v>
      </c>
      <c r="R98" s="377">
        <f t="shared" si="48"/>
        <v>0</v>
      </c>
      <c r="S98" s="380">
        <v>0</v>
      </c>
      <c r="T98" s="221">
        <v>0</v>
      </c>
      <c r="U98" s="381">
        <v>0</v>
      </c>
      <c r="V98" s="316">
        <f>SUM(V89:V97)</f>
        <v>52939.199999999997</v>
      </c>
      <c r="W98" s="317">
        <f>SUM(W76:W97)</f>
        <v>698455.13599999971</v>
      </c>
      <c r="X98" s="317">
        <f>W98*0.8475</f>
        <v>591940.72775999981</v>
      </c>
      <c r="Y98" s="317">
        <f>SUM(Y76:Y97)</f>
        <v>-479587.63920000021</v>
      </c>
    </row>
    <row r="99" spans="1:25" s="2" customFormat="1" ht="16" thickBot="1" x14ac:dyDescent="0.25">
      <c r="A99" s="14"/>
      <c r="G99" s="40"/>
      <c r="H99" s="40"/>
      <c r="I99" s="40"/>
      <c r="J99" s="40"/>
      <c r="K99" s="40"/>
      <c r="L99" s="40"/>
      <c r="M99" s="111"/>
      <c r="N99" s="112"/>
      <c r="S99" s="382">
        <v>0</v>
      </c>
      <c r="T99" s="383">
        <v>0</v>
      </c>
      <c r="U99" s="384">
        <v>0</v>
      </c>
      <c r="V99" s="318"/>
      <c r="W99" s="319"/>
      <c r="X99" s="319"/>
      <c r="Y99" s="319"/>
    </row>
    <row r="100" spans="1:25" s="152" customFormat="1" ht="20" thickBot="1" x14ac:dyDescent="0.25">
      <c r="A100" s="14"/>
      <c r="G100" s="153"/>
      <c r="H100" s="41"/>
      <c r="I100" s="41"/>
      <c r="J100" s="41"/>
      <c r="K100" s="41"/>
      <c r="L100" s="41"/>
      <c r="M100" s="111"/>
      <c r="P100" s="2"/>
      <c r="Q100" s="2"/>
      <c r="R100" s="2"/>
      <c r="S100" s="385">
        <f>S84+S98</f>
        <v>381870</v>
      </c>
      <c r="T100" s="386">
        <f>T84+T98</f>
        <v>6495085.6039999994</v>
      </c>
      <c r="U100" s="387">
        <f>U84+U98</f>
        <v>5504585.0493900012</v>
      </c>
    </row>
    <row r="101" spans="1:25" s="152" customFormat="1" ht="19" x14ac:dyDescent="0.2">
      <c r="A101" s="14"/>
      <c r="G101" s="153"/>
      <c r="H101" s="41"/>
      <c r="I101" s="41"/>
      <c r="J101" s="41"/>
      <c r="K101" s="41"/>
      <c r="L101" s="41"/>
      <c r="M101" s="111"/>
      <c r="P101" s="2"/>
      <c r="Q101" s="2"/>
      <c r="R101" s="2"/>
      <c r="V101"/>
    </row>
  </sheetData>
  <mergeCells count="3">
    <mergeCell ref="B2:F2"/>
    <mergeCell ref="B12:F12"/>
    <mergeCell ref="C57:G57"/>
  </mergeCells>
  <pageMargins left="0.25" right="0.25" top="0.75" bottom="0.75" header="0.3" footer="0.3"/>
  <pageSetup scale="25" orientation="landscape" horizontalDpi="300" verticalDpi="300" r:id="rId1"/>
  <customProperties>
    <customPr name="_pios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4F9E1-2B5F-4ADF-8962-7A057815C297}">
  <sheetPr>
    <tabColor theme="7" tint="0.59999389629810485"/>
    <pageSetUpPr fitToPage="1"/>
  </sheetPr>
  <dimension ref="A1:W92"/>
  <sheetViews>
    <sheetView showGridLines="0" topLeftCell="J1" zoomScale="90" zoomScaleNormal="90" workbookViewId="0">
      <selection activeCell="W2" sqref="W2"/>
    </sheetView>
  </sheetViews>
  <sheetFormatPr baseColWidth="10" defaultColWidth="8.83203125" defaultRowHeight="15" x14ac:dyDescent="0.2"/>
  <cols>
    <col min="1" max="1" width="13.6640625" customWidth="1"/>
    <col min="3" max="4" width="6.6640625" customWidth="1"/>
    <col min="5" max="5" width="26.6640625" bestFit="1" customWidth="1"/>
    <col min="6" max="6" width="12.33203125" customWidth="1"/>
    <col min="7" max="7" width="13.5" customWidth="1"/>
    <col min="8" max="8" width="18.83203125" customWidth="1"/>
    <col min="9" max="9" width="12.5" customWidth="1"/>
    <col min="10" max="11" width="10.6640625" customWidth="1"/>
    <col min="12" max="12" width="12.5" customWidth="1"/>
    <col min="13" max="13" width="12.6640625" customWidth="1"/>
    <col min="14" max="14" width="14.1640625" customWidth="1"/>
    <col min="15" max="15" width="12.6640625" customWidth="1"/>
    <col min="16" max="16" width="12.33203125" customWidth="1"/>
    <col min="17" max="17" width="17.33203125" customWidth="1"/>
    <col min="18" max="18" width="14.33203125" customWidth="1"/>
    <col min="19" max="19" width="18.33203125" customWidth="1"/>
    <col min="20" max="20" width="21" style="75" customWidth="1"/>
    <col min="21" max="21" width="20.33203125" bestFit="1" customWidth="1"/>
    <col min="22" max="22" width="14.5" customWidth="1"/>
    <col min="23" max="23" width="23.33203125" customWidth="1"/>
    <col min="24" max="24" width="23.6640625" customWidth="1"/>
    <col min="25" max="25" width="15" customWidth="1"/>
  </cols>
  <sheetData>
    <row r="1" spans="1:23" s="2" customFormat="1" ht="24" customHeight="1" thickBot="1" x14ac:dyDescent="0.25">
      <c r="B1" s="14" t="s">
        <v>171</v>
      </c>
      <c r="N1" s="14"/>
      <c r="O1" s="14"/>
      <c r="P1" s="14"/>
      <c r="Q1" s="14"/>
      <c r="R1" s="14"/>
      <c r="S1" s="14"/>
      <c r="T1" s="19"/>
    </row>
    <row r="2" spans="1:23" s="2" customFormat="1" ht="25.5" customHeight="1" thickBot="1" x14ac:dyDescent="0.25">
      <c r="B2" s="610" t="s">
        <v>210</v>
      </c>
      <c r="C2" s="611"/>
      <c r="D2" s="611"/>
      <c r="E2" s="611"/>
      <c r="F2" s="611"/>
      <c r="H2" s="408" t="s">
        <v>207</v>
      </c>
      <c r="I2" s="409"/>
      <c r="N2" s="14" t="s">
        <v>208</v>
      </c>
      <c r="O2" s="14"/>
      <c r="P2" s="14"/>
      <c r="Q2" s="14"/>
      <c r="R2" s="14"/>
      <c r="S2" s="14"/>
      <c r="T2" s="19"/>
    </row>
    <row r="3" spans="1:23" s="2" customFormat="1" ht="19" x14ac:dyDescent="0.2">
      <c r="B3" s="440" t="s">
        <v>2</v>
      </c>
      <c r="D3" s="14"/>
    </row>
    <row r="4" spans="1:23" s="2" customFormat="1" ht="16" thickBot="1" x14ac:dyDescent="0.25">
      <c r="A4" s="14"/>
      <c r="T4" s="19"/>
    </row>
    <row r="5" spans="1:23" s="2" customFormat="1" ht="43.5" customHeight="1" thickBot="1" x14ac:dyDescent="0.25">
      <c r="A5" s="14"/>
      <c r="G5" s="256">
        <v>2026</v>
      </c>
      <c r="H5" s="256">
        <v>2026</v>
      </c>
      <c r="I5" s="256">
        <v>2026</v>
      </c>
      <c r="J5" s="256">
        <v>2026</v>
      </c>
      <c r="K5" s="256">
        <v>2026</v>
      </c>
      <c r="L5" s="256">
        <v>2026</v>
      </c>
      <c r="M5" s="256">
        <v>2026</v>
      </c>
      <c r="N5" s="256">
        <v>2026</v>
      </c>
      <c r="O5" s="256">
        <v>2026</v>
      </c>
      <c r="P5" s="256">
        <v>2026</v>
      </c>
      <c r="Q5" s="256">
        <v>2026</v>
      </c>
      <c r="R5" s="257">
        <v>2026</v>
      </c>
      <c r="S5" s="258" t="s">
        <v>155</v>
      </c>
      <c r="T5" s="259">
        <f>U5/0.8475</f>
        <v>6486686.3716814155</v>
      </c>
      <c r="U5" s="260">
        <v>5497466.7000000002</v>
      </c>
    </row>
    <row r="6" spans="1:23" s="2" customFormat="1" ht="52.5" customHeight="1" thickBot="1" x14ac:dyDescent="0.25">
      <c r="A6" s="270"/>
      <c r="B6" s="271" t="s">
        <v>12</v>
      </c>
      <c r="C6" s="271"/>
      <c r="D6" s="279"/>
      <c r="E6" s="272" t="s">
        <v>13</v>
      </c>
      <c r="F6" s="273" t="s">
        <v>14</v>
      </c>
      <c r="G6" s="426" t="s">
        <v>133</v>
      </c>
      <c r="H6" s="426" t="s">
        <v>134</v>
      </c>
      <c r="I6" s="426" t="s">
        <v>135</v>
      </c>
      <c r="J6" s="426" t="s">
        <v>136</v>
      </c>
      <c r="K6" s="426" t="s">
        <v>137</v>
      </c>
      <c r="L6" s="426" t="s">
        <v>138</v>
      </c>
      <c r="M6" s="426" t="s">
        <v>139</v>
      </c>
      <c r="N6" s="427" t="s">
        <v>140</v>
      </c>
      <c r="O6" s="427" t="s">
        <v>141</v>
      </c>
      <c r="P6" s="427" t="s">
        <v>142</v>
      </c>
      <c r="Q6" s="427" t="s">
        <v>143</v>
      </c>
      <c r="R6" s="428" t="s">
        <v>144</v>
      </c>
      <c r="S6" s="456" t="s">
        <v>152</v>
      </c>
      <c r="T6" s="457" t="s">
        <v>153</v>
      </c>
      <c r="U6" s="458" t="s">
        <v>154</v>
      </c>
    </row>
    <row r="7" spans="1:23" s="2" customFormat="1" x14ac:dyDescent="0.2">
      <c r="A7" s="261" t="s">
        <v>41</v>
      </c>
      <c r="B7" s="261" t="s">
        <v>61</v>
      </c>
      <c r="C7" s="262" t="s">
        <v>66</v>
      </c>
      <c r="D7" s="243"/>
      <c r="E7" s="228" t="s">
        <v>73</v>
      </c>
      <c r="F7" s="395">
        <v>10.81</v>
      </c>
      <c r="G7" s="429"/>
      <c r="H7" s="430"/>
      <c r="I7" s="430"/>
      <c r="J7" s="430"/>
      <c r="K7" s="430"/>
      <c r="L7" s="431"/>
      <c r="M7" s="432"/>
      <c r="N7" s="433"/>
      <c r="O7" s="431"/>
      <c r="P7" s="431"/>
      <c r="Q7" s="431"/>
      <c r="R7" s="441"/>
      <c r="S7" s="225">
        <v>0</v>
      </c>
      <c r="T7" s="226">
        <v>0</v>
      </c>
      <c r="U7" s="227">
        <v>0</v>
      </c>
      <c r="V7" s="11"/>
      <c r="W7" s="278"/>
    </row>
    <row r="8" spans="1:23" s="2" customFormat="1" x14ac:dyDescent="0.2">
      <c r="A8" s="186" t="s">
        <v>41</v>
      </c>
      <c r="B8" s="186" t="s">
        <v>61</v>
      </c>
      <c r="C8" s="189" t="s">
        <v>66</v>
      </c>
      <c r="D8" s="243"/>
      <c r="E8" s="228" t="s">
        <v>73</v>
      </c>
      <c r="F8" s="395">
        <v>10.81</v>
      </c>
      <c r="G8" s="399">
        <v>12000</v>
      </c>
      <c r="H8" s="208"/>
      <c r="I8" s="208">
        <v>14000</v>
      </c>
      <c r="J8" s="208"/>
      <c r="K8" s="208">
        <v>15400</v>
      </c>
      <c r="L8" s="210"/>
      <c r="M8" s="213">
        <v>15400</v>
      </c>
      <c r="N8" s="214"/>
      <c r="O8" s="210">
        <v>15000</v>
      </c>
      <c r="P8" s="210"/>
      <c r="Q8" s="210">
        <v>14300</v>
      </c>
      <c r="R8" s="211"/>
      <c r="S8" s="225">
        <v>86100</v>
      </c>
      <c r="T8" s="226">
        <v>930741</v>
      </c>
      <c r="U8" s="227">
        <v>788802.99750000006</v>
      </c>
      <c r="V8" s="11"/>
      <c r="W8" s="278"/>
    </row>
    <row r="9" spans="1:23" s="2" customFormat="1" x14ac:dyDescent="0.2">
      <c r="A9" s="186" t="s">
        <v>41</v>
      </c>
      <c r="B9" s="186" t="s">
        <v>61</v>
      </c>
      <c r="C9" s="189" t="s">
        <v>66</v>
      </c>
      <c r="D9" s="244"/>
      <c r="E9" s="187" t="s">
        <v>69</v>
      </c>
      <c r="F9" s="396">
        <f>10.63*1.01</f>
        <v>10.736300000000002</v>
      </c>
      <c r="G9" s="399">
        <v>4800</v>
      </c>
      <c r="H9" s="208"/>
      <c r="I9" s="209">
        <v>8400</v>
      </c>
      <c r="J9" s="209"/>
      <c r="K9" s="209">
        <v>9500</v>
      </c>
      <c r="L9" s="210"/>
      <c r="M9" s="210">
        <v>10600</v>
      </c>
      <c r="N9" s="212"/>
      <c r="O9" s="250"/>
      <c r="P9" s="210">
        <v>10800</v>
      </c>
      <c r="Q9" s="210"/>
      <c r="R9" s="211"/>
      <c r="S9" s="225">
        <v>44100</v>
      </c>
      <c r="T9" s="226">
        <v>473470.83000000007</v>
      </c>
      <c r="U9" s="227">
        <v>401266.52842500008</v>
      </c>
      <c r="V9" s="11"/>
      <c r="W9" s="278"/>
    </row>
    <row r="10" spans="1:23" s="2" customFormat="1" x14ac:dyDescent="0.2">
      <c r="A10" s="186" t="s">
        <v>41</v>
      </c>
      <c r="B10" s="186" t="s">
        <v>61</v>
      </c>
      <c r="C10" s="189" t="s">
        <v>66</v>
      </c>
      <c r="D10" s="244"/>
      <c r="E10" s="187" t="s">
        <v>67</v>
      </c>
      <c r="F10" s="396">
        <f>10.63*1.01</f>
        <v>10.736300000000002</v>
      </c>
      <c r="G10" s="399">
        <v>3600</v>
      </c>
      <c r="H10" s="208"/>
      <c r="I10" s="209">
        <v>3600</v>
      </c>
      <c r="J10" s="209"/>
      <c r="K10" s="209">
        <v>3600</v>
      </c>
      <c r="L10" s="210"/>
      <c r="M10" s="210">
        <v>3960</v>
      </c>
      <c r="N10" s="210"/>
      <c r="O10" s="210">
        <v>3960</v>
      </c>
      <c r="P10" s="210"/>
      <c r="Q10" s="210"/>
      <c r="R10" s="211">
        <v>3960</v>
      </c>
      <c r="S10" s="225">
        <v>22680</v>
      </c>
      <c r="T10" s="226">
        <v>243499.28400000004</v>
      </c>
      <c r="U10" s="227">
        <v>206365.64319000003</v>
      </c>
      <c r="V10" s="11"/>
      <c r="W10" s="278"/>
    </row>
    <row r="11" spans="1:23" s="2" customFormat="1" x14ac:dyDescent="0.2">
      <c r="A11" s="186" t="s">
        <v>41</v>
      </c>
      <c r="B11" s="186" t="s">
        <v>70</v>
      </c>
      <c r="C11" s="189" t="s">
        <v>66</v>
      </c>
      <c r="D11" s="244"/>
      <c r="E11" s="187" t="s">
        <v>72</v>
      </c>
      <c r="F11" s="396">
        <f>21.66*1.01</f>
        <v>21.8766</v>
      </c>
      <c r="G11" s="400">
        <v>8000</v>
      </c>
      <c r="H11" s="208"/>
      <c r="I11" s="208">
        <v>10000</v>
      </c>
      <c r="J11" s="208"/>
      <c r="K11" s="208">
        <v>10000</v>
      </c>
      <c r="L11" s="213"/>
      <c r="M11" s="213">
        <v>0</v>
      </c>
      <c r="N11" s="213">
        <v>11000</v>
      </c>
      <c r="O11" s="210"/>
      <c r="P11" s="210"/>
      <c r="Q11" s="210">
        <v>12100</v>
      </c>
      <c r="R11" s="211"/>
      <c r="S11" s="225">
        <v>51100</v>
      </c>
      <c r="T11" s="226">
        <v>1117894.26</v>
      </c>
      <c r="U11" s="227">
        <v>947415.38535</v>
      </c>
      <c r="V11" s="11"/>
      <c r="W11" s="278"/>
    </row>
    <row r="12" spans="1:23" s="2" customFormat="1" x14ac:dyDescent="0.2">
      <c r="A12" s="186" t="s">
        <v>41</v>
      </c>
      <c r="B12" s="186" t="s">
        <v>70</v>
      </c>
      <c r="C12" s="189" t="s">
        <v>66</v>
      </c>
      <c r="D12" s="244"/>
      <c r="E12" s="187" t="s">
        <v>71</v>
      </c>
      <c r="F12" s="396">
        <f>21.66*1.01</f>
        <v>21.8766</v>
      </c>
      <c r="G12" s="400"/>
      <c r="H12" s="208"/>
      <c r="I12" s="208">
        <v>5400</v>
      </c>
      <c r="J12" s="208"/>
      <c r="K12" s="208"/>
      <c r="L12" s="213">
        <v>5250</v>
      </c>
      <c r="M12" s="213"/>
      <c r="N12" s="213">
        <v>6300</v>
      </c>
      <c r="O12" s="210">
        <v>0</v>
      </c>
      <c r="P12" s="210">
        <v>0</v>
      </c>
      <c r="Q12" s="210">
        <v>6100</v>
      </c>
      <c r="R12" s="211"/>
      <c r="S12" s="225">
        <v>23050</v>
      </c>
      <c r="T12" s="226">
        <v>504255.63</v>
      </c>
      <c r="U12" s="227">
        <v>427356.64642500004</v>
      </c>
      <c r="V12" s="11"/>
      <c r="W12" s="278"/>
    </row>
    <row r="13" spans="1:23" s="2" customFormat="1" x14ac:dyDescent="0.2">
      <c r="A13" s="190" t="s">
        <v>41</v>
      </c>
      <c r="B13" s="190" t="s">
        <v>42</v>
      </c>
      <c r="C13" s="190" t="s">
        <v>43</v>
      </c>
      <c r="D13" s="192"/>
      <c r="E13" s="192" t="s">
        <v>160</v>
      </c>
      <c r="F13" s="397">
        <v>19.559999999999999</v>
      </c>
      <c r="G13" s="434">
        <v>3300</v>
      </c>
      <c r="H13" s="202">
        <v>2200</v>
      </c>
      <c r="I13" s="202">
        <v>3300</v>
      </c>
      <c r="J13" s="202">
        <v>3500</v>
      </c>
      <c r="K13" s="202">
        <v>2400</v>
      </c>
      <c r="L13" s="204">
        <v>3500</v>
      </c>
      <c r="M13" s="202">
        <v>3500</v>
      </c>
      <c r="N13" s="202">
        <v>2400</v>
      </c>
      <c r="O13" s="202">
        <v>3500</v>
      </c>
      <c r="P13" s="202">
        <v>3500</v>
      </c>
      <c r="Q13" s="202">
        <v>2400</v>
      </c>
      <c r="R13" s="199">
        <v>3500</v>
      </c>
      <c r="S13" s="225">
        <v>37000</v>
      </c>
      <c r="T13" s="226">
        <v>723720</v>
      </c>
      <c r="U13" s="227">
        <v>613352.70000000007</v>
      </c>
      <c r="V13" s="11"/>
      <c r="W13" s="278"/>
    </row>
    <row r="14" spans="1:23" s="2" customFormat="1" x14ac:dyDescent="0.2">
      <c r="A14" s="190" t="s">
        <v>41</v>
      </c>
      <c r="B14" s="190" t="s">
        <v>42</v>
      </c>
      <c r="C14" s="190" t="s">
        <v>43</v>
      </c>
      <c r="D14" s="192"/>
      <c r="E14" s="192" t="s">
        <v>159</v>
      </c>
      <c r="F14" s="397">
        <v>19.559999999999999</v>
      </c>
      <c r="G14" s="434">
        <v>1450</v>
      </c>
      <c r="H14" s="202">
        <v>1450</v>
      </c>
      <c r="I14" s="202">
        <v>1450</v>
      </c>
      <c r="J14" s="202">
        <v>1450</v>
      </c>
      <c r="K14" s="202">
        <v>1500</v>
      </c>
      <c r="L14" s="202">
        <v>1600</v>
      </c>
      <c r="M14" s="202">
        <v>1600</v>
      </c>
      <c r="N14" s="202">
        <v>1600</v>
      </c>
      <c r="O14" s="202">
        <v>1600</v>
      </c>
      <c r="P14" s="202">
        <v>1600</v>
      </c>
      <c r="Q14" s="202">
        <v>1500</v>
      </c>
      <c r="R14" s="199">
        <v>1475</v>
      </c>
      <c r="S14" s="225">
        <v>18275</v>
      </c>
      <c r="T14" s="226">
        <v>357459</v>
      </c>
      <c r="U14" s="227">
        <v>302946.5025</v>
      </c>
      <c r="V14" s="11"/>
      <c r="W14" s="278"/>
    </row>
    <row r="15" spans="1:23" s="2" customFormat="1" ht="15" customHeight="1" x14ac:dyDescent="0.2">
      <c r="A15" s="190" t="s">
        <v>41</v>
      </c>
      <c r="B15" s="190" t="s">
        <v>42</v>
      </c>
      <c r="C15" s="190" t="s">
        <v>43</v>
      </c>
      <c r="D15" s="192"/>
      <c r="E15" s="192" t="s">
        <v>161</v>
      </c>
      <c r="F15" s="397">
        <v>9.9499999999999993</v>
      </c>
      <c r="G15" s="401"/>
      <c r="H15" s="201"/>
      <c r="I15" s="201"/>
      <c r="J15" s="201"/>
      <c r="K15" s="201"/>
      <c r="L15" s="202"/>
      <c r="M15" s="202"/>
      <c r="N15" s="202"/>
      <c r="O15" s="202"/>
      <c r="P15" s="202"/>
      <c r="Q15" s="202"/>
      <c r="R15" s="199"/>
      <c r="S15" s="225">
        <v>0</v>
      </c>
      <c r="T15" s="226">
        <v>0</v>
      </c>
      <c r="U15" s="227">
        <v>0</v>
      </c>
      <c r="V15" s="11"/>
      <c r="W15" s="278"/>
    </row>
    <row r="16" spans="1:23" s="2" customFormat="1" x14ac:dyDescent="0.2">
      <c r="A16" s="190" t="s">
        <v>41</v>
      </c>
      <c r="B16" s="190" t="s">
        <v>42</v>
      </c>
      <c r="C16" s="190" t="s">
        <v>43</v>
      </c>
      <c r="D16" s="192"/>
      <c r="E16" s="192" t="s">
        <v>162</v>
      </c>
      <c r="F16" s="397">
        <v>9.9499999999999993</v>
      </c>
      <c r="G16" s="434"/>
      <c r="H16" s="202">
        <v>600</v>
      </c>
      <c r="I16" s="216">
        <v>1800</v>
      </c>
      <c r="J16" s="202">
        <v>1800</v>
      </c>
      <c r="K16" s="202">
        <v>600</v>
      </c>
      <c r="L16" s="202">
        <v>600</v>
      </c>
      <c r="M16" s="202">
        <v>600</v>
      </c>
      <c r="N16" s="202">
        <v>600</v>
      </c>
      <c r="O16" s="202">
        <v>600</v>
      </c>
      <c r="P16" s="202">
        <v>600</v>
      </c>
      <c r="Q16" s="202">
        <v>600</v>
      </c>
      <c r="R16" s="199">
        <v>600</v>
      </c>
      <c r="S16" s="225">
        <v>9000</v>
      </c>
      <c r="T16" s="226">
        <v>89550</v>
      </c>
      <c r="U16" s="227">
        <v>75893.625</v>
      </c>
      <c r="V16" s="11"/>
      <c r="W16" s="278"/>
    </row>
    <row r="17" spans="1:23" s="2" customFormat="1" x14ac:dyDescent="0.2">
      <c r="A17" s="190" t="s">
        <v>41</v>
      </c>
      <c r="B17" s="190" t="s">
        <v>42</v>
      </c>
      <c r="C17" s="190" t="s">
        <v>43</v>
      </c>
      <c r="D17" s="192"/>
      <c r="E17" s="192" t="s">
        <v>147</v>
      </c>
      <c r="F17" s="397">
        <v>13.27</v>
      </c>
      <c r="G17" s="435">
        <v>1800</v>
      </c>
      <c r="H17" s="217">
        <v>1800</v>
      </c>
      <c r="I17" s="217">
        <v>1800</v>
      </c>
      <c r="J17" s="217">
        <v>2000</v>
      </c>
      <c r="K17" s="217">
        <v>2000</v>
      </c>
      <c r="L17" s="216">
        <v>2000</v>
      </c>
      <c r="M17" s="216">
        <v>1800</v>
      </c>
      <c r="N17" s="202"/>
      <c r="O17" s="202"/>
      <c r="P17" s="202"/>
      <c r="Q17" s="202"/>
      <c r="R17" s="199"/>
      <c r="S17" s="225">
        <v>13200</v>
      </c>
      <c r="T17" s="226">
        <v>175164</v>
      </c>
      <c r="U17" s="227">
        <v>148451.49000000002</v>
      </c>
      <c r="V17" s="11"/>
      <c r="W17" s="278"/>
    </row>
    <row r="18" spans="1:23" s="2" customFormat="1" x14ac:dyDescent="0.2">
      <c r="A18" s="131" t="s">
        <v>158</v>
      </c>
      <c r="B18" s="131" t="s">
        <v>78</v>
      </c>
      <c r="C18" s="131" t="s">
        <v>43</v>
      </c>
      <c r="D18" s="127"/>
      <c r="E18" s="127" t="s">
        <v>79</v>
      </c>
      <c r="F18" s="398">
        <v>31.1</v>
      </c>
      <c r="G18" s="436">
        <v>2000</v>
      </c>
      <c r="H18" s="217"/>
      <c r="I18" s="294">
        <v>2000</v>
      </c>
      <c r="J18" s="294">
        <v>3000</v>
      </c>
      <c r="K18" s="294"/>
      <c r="L18" s="294">
        <v>2000</v>
      </c>
      <c r="M18" s="294">
        <v>2000</v>
      </c>
      <c r="N18" s="294"/>
      <c r="O18" s="294">
        <v>3000</v>
      </c>
      <c r="P18" s="294">
        <v>2000</v>
      </c>
      <c r="Q18" s="294"/>
      <c r="R18" s="295">
        <v>2000</v>
      </c>
      <c r="S18" s="225">
        <v>18000</v>
      </c>
      <c r="T18" s="226">
        <v>559800</v>
      </c>
      <c r="U18" s="227">
        <v>474430.5</v>
      </c>
      <c r="V18" s="11"/>
      <c r="W18" s="278"/>
    </row>
    <row r="19" spans="1:23" s="2" customFormat="1" x14ac:dyDescent="0.2">
      <c r="A19" s="190" t="s">
        <v>41</v>
      </c>
      <c r="B19" s="190" t="s">
        <v>42</v>
      </c>
      <c r="C19" s="190" t="s">
        <v>43</v>
      </c>
      <c r="D19" s="192"/>
      <c r="E19" s="192" t="s">
        <v>151</v>
      </c>
      <c r="F19" s="397">
        <v>59.48</v>
      </c>
      <c r="G19" s="437">
        <v>500</v>
      </c>
      <c r="H19" s="201">
        <v>500</v>
      </c>
      <c r="I19" s="203">
        <v>500</v>
      </c>
      <c r="J19" s="203">
        <v>500</v>
      </c>
      <c r="K19" s="203">
        <v>500</v>
      </c>
      <c r="L19" s="202">
        <v>550</v>
      </c>
      <c r="M19" s="202">
        <v>600</v>
      </c>
      <c r="N19" s="202">
        <v>550</v>
      </c>
      <c r="O19" s="202">
        <v>600</v>
      </c>
      <c r="P19" s="202">
        <v>550</v>
      </c>
      <c r="Q19" s="202">
        <v>600</v>
      </c>
      <c r="R19" s="199">
        <v>550</v>
      </c>
      <c r="S19" s="225">
        <v>6500</v>
      </c>
      <c r="T19" s="226">
        <v>386620</v>
      </c>
      <c r="U19" s="227">
        <v>327660.45</v>
      </c>
      <c r="V19" s="11"/>
      <c r="W19" s="278"/>
    </row>
    <row r="20" spans="1:23" s="2" customFormat="1" x14ac:dyDescent="0.2">
      <c r="A20" s="190" t="s">
        <v>41</v>
      </c>
      <c r="B20" s="190" t="s">
        <v>42</v>
      </c>
      <c r="C20" s="190" t="s">
        <v>43</v>
      </c>
      <c r="D20" s="192"/>
      <c r="E20" s="192" t="s">
        <v>165</v>
      </c>
      <c r="F20" s="397">
        <v>10</v>
      </c>
      <c r="G20" s="401"/>
      <c r="H20" s="201">
        <v>2400</v>
      </c>
      <c r="I20" s="201"/>
      <c r="J20" s="201"/>
      <c r="K20" s="201">
        <v>2400</v>
      </c>
      <c r="L20" s="202"/>
      <c r="M20" s="202"/>
      <c r="N20" s="202">
        <v>2400</v>
      </c>
      <c r="O20" s="202"/>
      <c r="P20" s="202"/>
      <c r="Q20" s="202"/>
      <c r="R20" s="199">
        <v>1620</v>
      </c>
      <c r="S20" s="225">
        <v>8820</v>
      </c>
      <c r="T20" s="226">
        <v>88200</v>
      </c>
      <c r="U20" s="227">
        <v>74749.5</v>
      </c>
      <c r="V20" s="11"/>
      <c r="W20" s="278"/>
    </row>
    <row r="21" spans="1:23" s="2" customFormat="1" x14ac:dyDescent="0.2">
      <c r="A21" s="190" t="s">
        <v>41</v>
      </c>
      <c r="B21" s="190" t="s">
        <v>42</v>
      </c>
      <c r="C21" s="190" t="s">
        <v>43</v>
      </c>
      <c r="D21" s="192"/>
      <c r="E21" s="192" t="s">
        <v>163</v>
      </c>
      <c r="F21" s="397">
        <v>10</v>
      </c>
      <c r="G21" s="434">
        <v>375</v>
      </c>
      <c r="H21" s="201">
        <v>375</v>
      </c>
      <c r="I21" s="201">
        <v>375</v>
      </c>
      <c r="J21" s="201">
        <v>375</v>
      </c>
      <c r="K21" s="201">
        <v>400</v>
      </c>
      <c r="L21" s="202">
        <v>400</v>
      </c>
      <c r="M21" s="202">
        <v>400</v>
      </c>
      <c r="N21" s="202">
        <v>400</v>
      </c>
      <c r="O21" s="202">
        <v>400</v>
      </c>
      <c r="P21" s="202">
        <v>400</v>
      </c>
      <c r="Q21" s="202">
        <v>400</v>
      </c>
      <c r="R21" s="199">
        <v>425</v>
      </c>
      <c r="S21" s="225">
        <v>4725</v>
      </c>
      <c r="T21" s="226">
        <v>47250</v>
      </c>
      <c r="U21" s="227">
        <v>40044.375</v>
      </c>
      <c r="V21" s="11"/>
      <c r="W21" s="278"/>
    </row>
    <row r="22" spans="1:23" s="2" customFormat="1" x14ac:dyDescent="0.2">
      <c r="A22" s="190" t="s">
        <v>41</v>
      </c>
      <c r="B22" s="190" t="s">
        <v>42</v>
      </c>
      <c r="C22" s="190" t="s">
        <v>43</v>
      </c>
      <c r="D22" s="192"/>
      <c r="E22" s="192" t="s">
        <v>164</v>
      </c>
      <c r="F22" s="397">
        <v>10.88</v>
      </c>
      <c r="G22" s="437"/>
      <c r="H22" s="201">
        <v>2400</v>
      </c>
      <c r="I22" s="203"/>
      <c r="J22" s="203"/>
      <c r="K22" s="203">
        <v>2600</v>
      </c>
      <c r="L22" s="202"/>
      <c r="M22" s="202"/>
      <c r="N22" s="202">
        <v>2400</v>
      </c>
      <c r="O22" s="202"/>
      <c r="P22" s="202"/>
      <c r="Q22" s="202">
        <v>1420</v>
      </c>
      <c r="R22" s="199"/>
      <c r="S22" s="225">
        <v>8820</v>
      </c>
      <c r="T22" s="226">
        <v>95961.600000000006</v>
      </c>
      <c r="U22" s="227">
        <v>81327.456000000006</v>
      </c>
      <c r="V22" s="11"/>
      <c r="W22" s="278"/>
    </row>
    <row r="23" spans="1:23" s="2" customFormat="1" x14ac:dyDescent="0.2">
      <c r="A23" s="190" t="s">
        <v>41</v>
      </c>
      <c r="B23" s="190" t="s">
        <v>42</v>
      </c>
      <c r="C23" s="190" t="s">
        <v>43</v>
      </c>
      <c r="D23" s="192"/>
      <c r="E23" s="192" t="s">
        <v>72</v>
      </c>
      <c r="F23" s="397">
        <v>21</v>
      </c>
      <c r="G23" s="401"/>
      <c r="H23" s="201"/>
      <c r="I23" s="201"/>
      <c r="J23" s="201"/>
      <c r="K23" s="201"/>
      <c r="L23" s="202"/>
      <c r="M23" s="205"/>
      <c r="N23" s="205"/>
      <c r="O23" s="202"/>
      <c r="P23" s="202"/>
      <c r="Q23" s="202"/>
      <c r="R23" s="199"/>
      <c r="S23" s="225">
        <v>0</v>
      </c>
      <c r="T23" s="226">
        <v>0</v>
      </c>
      <c r="U23" s="227">
        <v>0</v>
      </c>
      <c r="V23" s="11"/>
      <c r="W23" s="278"/>
    </row>
    <row r="24" spans="1:23" s="2" customFormat="1" x14ac:dyDescent="0.2">
      <c r="A24" s="190" t="s">
        <v>41</v>
      </c>
      <c r="B24" s="190" t="s">
        <v>61</v>
      </c>
      <c r="C24" s="190" t="s">
        <v>43</v>
      </c>
      <c r="D24" s="192"/>
      <c r="E24" s="192" t="s">
        <v>71</v>
      </c>
      <c r="F24" s="397">
        <v>21</v>
      </c>
      <c r="G24" s="401"/>
      <c r="H24" s="201"/>
      <c r="I24" s="201"/>
      <c r="J24" s="201"/>
      <c r="K24" s="201"/>
      <c r="L24" s="206"/>
      <c r="M24" s="205"/>
      <c r="N24" s="205"/>
      <c r="O24" s="202"/>
      <c r="P24" s="202"/>
      <c r="Q24" s="202"/>
      <c r="R24" s="199"/>
      <c r="S24" s="225">
        <v>0</v>
      </c>
      <c r="T24" s="226">
        <v>0</v>
      </c>
      <c r="U24" s="227">
        <v>0</v>
      </c>
      <c r="V24" s="11"/>
      <c r="W24" s="278"/>
    </row>
    <row r="25" spans="1:23" s="2" customFormat="1" x14ac:dyDescent="0.2">
      <c r="A25" s="190" t="s">
        <v>41</v>
      </c>
      <c r="B25" s="190" t="s">
        <v>42</v>
      </c>
      <c r="C25" s="190" t="s">
        <v>43</v>
      </c>
      <c r="D25" s="192"/>
      <c r="E25" s="192" t="s">
        <v>132</v>
      </c>
      <c r="F25" s="397">
        <v>21</v>
      </c>
      <c r="G25" s="438"/>
      <c r="H25" s="202"/>
      <c r="I25" s="201"/>
      <c r="J25" s="202"/>
      <c r="K25" s="202"/>
      <c r="L25" s="205"/>
      <c r="M25" s="205"/>
      <c r="N25" s="205"/>
      <c r="O25" s="202"/>
      <c r="P25" s="202"/>
      <c r="Q25" s="202"/>
      <c r="R25" s="199"/>
      <c r="S25" s="225">
        <v>0</v>
      </c>
      <c r="T25" s="226">
        <v>0</v>
      </c>
      <c r="U25" s="227">
        <v>0</v>
      </c>
      <c r="V25" s="11"/>
      <c r="W25" s="278"/>
    </row>
    <row r="26" spans="1:23" s="2" customFormat="1" ht="14.75" customHeight="1" x14ac:dyDescent="0.2">
      <c r="A26" s="190" t="s">
        <v>41</v>
      </c>
      <c r="B26" s="190" t="s">
        <v>42</v>
      </c>
      <c r="C26" s="190" t="s">
        <v>43</v>
      </c>
      <c r="D26" s="190"/>
      <c r="E26" s="190" t="s">
        <v>145</v>
      </c>
      <c r="F26" s="397">
        <v>23</v>
      </c>
      <c r="G26" s="434"/>
      <c r="H26" s="201">
        <v>3000</v>
      </c>
      <c r="I26" s="201"/>
      <c r="J26" s="201">
        <v>2000</v>
      </c>
      <c r="K26" s="201"/>
      <c r="L26" s="202">
        <v>3000</v>
      </c>
      <c r="M26" s="202"/>
      <c r="N26" s="202">
        <v>3000</v>
      </c>
      <c r="O26" s="202"/>
      <c r="P26" s="202">
        <v>3000</v>
      </c>
      <c r="Q26" s="202"/>
      <c r="R26" s="199">
        <v>2000</v>
      </c>
      <c r="S26" s="225">
        <v>16000</v>
      </c>
      <c r="T26" s="226">
        <v>368000</v>
      </c>
      <c r="U26" s="227">
        <v>311880</v>
      </c>
      <c r="V26" s="11"/>
      <c r="W26" s="278"/>
    </row>
    <row r="27" spans="1:23" s="2" customFormat="1" ht="16" thickBot="1" x14ac:dyDescent="0.25">
      <c r="A27" s="190" t="s">
        <v>41</v>
      </c>
      <c r="B27" s="190" t="s">
        <v>42</v>
      </c>
      <c r="C27" s="190" t="s">
        <v>43</v>
      </c>
      <c r="D27" s="190"/>
      <c r="E27" s="190" t="s">
        <v>146</v>
      </c>
      <c r="F27" s="397">
        <v>23</v>
      </c>
      <c r="G27" s="439">
        <v>1125</v>
      </c>
      <c r="H27" s="402">
        <v>1125</v>
      </c>
      <c r="I27" s="402">
        <v>1125</v>
      </c>
      <c r="J27" s="402">
        <v>1125</v>
      </c>
      <c r="K27" s="402">
        <v>1300</v>
      </c>
      <c r="L27" s="403">
        <v>1200</v>
      </c>
      <c r="M27" s="403">
        <v>1200</v>
      </c>
      <c r="N27" s="403">
        <v>1200</v>
      </c>
      <c r="O27" s="403">
        <v>1200</v>
      </c>
      <c r="P27" s="403">
        <v>1300</v>
      </c>
      <c r="Q27" s="403">
        <v>1300</v>
      </c>
      <c r="R27" s="404">
        <v>1300</v>
      </c>
      <c r="S27" s="225">
        <v>14500</v>
      </c>
      <c r="T27" s="226">
        <v>333500</v>
      </c>
      <c r="U27" s="227">
        <v>282641.25</v>
      </c>
      <c r="V27" s="11"/>
      <c r="W27" s="278"/>
    </row>
    <row r="28" spans="1:23" s="2" customFormat="1" ht="16" thickBot="1" x14ac:dyDescent="0.25">
      <c r="A28" s="14"/>
      <c r="F28" s="97" t="s">
        <v>190</v>
      </c>
      <c r="G28" s="252">
        <f t="shared" ref="G28:R28" si="0">SUM(G8:G27)</f>
        <v>38950</v>
      </c>
      <c r="H28" s="252">
        <f t="shared" si="0"/>
        <v>15850</v>
      </c>
      <c r="I28" s="252">
        <f t="shared" si="0"/>
        <v>53750</v>
      </c>
      <c r="J28" s="252">
        <f t="shared" si="0"/>
        <v>15750</v>
      </c>
      <c r="K28" s="252">
        <f t="shared" si="0"/>
        <v>52200</v>
      </c>
      <c r="L28" s="252">
        <f t="shared" si="0"/>
        <v>20100</v>
      </c>
      <c r="M28" s="252">
        <f t="shared" si="0"/>
        <v>41660</v>
      </c>
      <c r="N28" s="252">
        <f t="shared" si="0"/>
        <v>31850</v>
      </c>
      <c r="O28" s="252">
        <f t="shared" si="0"/>
        <v>29860</v>
      </c>
      <c r="P28" s="252">
        <f t="shared" si="0"/>
        <v>23750</v>
      </c>
      <c r="Q28" s="252">
        <f t="shared" si="0"/>
        <v>40720</v>
      </c>
      <c r="R28" s="252">
        <f t="shared" si="0"/>
        <v>17430</v>
      </c>
      <c r="S28" s="308">
        <v>381870</v>
      </c>
      <c r="T28" s="425">
        <v>6495085.6040000003</v>
      </c>
      <c r="U28" s="309">
        <v>5504585.0493900012</v>
      </c>
      <c r="V28" s="11"/>
      <c r="W28" s="278"/>
    </row>
    <row r="29" spans="1:23" s="2" customFormat="1" x14ac:dyDescent="0.2">
      <c r="A29" s="14"/>
      <c r="F29" s="97" t="s">
        <v>104</v>
      </c>
      <c r="G29" s="307">
        <v>633278.71999999997</v>
      </c>
      <c r="H29" s="307">
        <v>279727</v>
      </c>
      <c r="I29" s="307">
        <v>873346.24</v>
      </c>
      <c r="J29" s="307">
        <v>339937</v>
      </c>
      <c r="K29" s="307">
        <v>750607.53</v>
      </c>
      <c r="L29" s="307">
        <v>442632.15</v>
      </c>
      <c r="M29" s="307">
        <v>581894.52800000005</v>
      </c>
      <c r="N29" s="307">
        <v>646101.18000000005</v>
      </c>
      <c r="O29" s="307">
        <v>470979.74800000002</v>
      </c>
      <c r="P29" s="307">
        <v>419492.04000000004</v>
      </c>
      <c r="Q29" s="307">
        <v>720028.72</v>
      </c>
      <c r="R29" s="307">
        <v>337060.74800000002</v>
      </c>
      <c r="S29" s="442"/>
      <c r="T29" s="443"/>
      <c r="U29" s="444"/>
      <c r="V29" s="11"/>
      <c r="W29" s="278"/>
    </row>
    <row r="30" spans="1:23" s="2" customFormat="1" x14ac:dyDescent="0.2">
      <c r="A30" s="14"/>
      <c r="F30" s="97"/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  <c r="R30" s="304"/>
      <c r="S30" s="442"/>
      <c r="T30" s="443"/>
      <c r="U30" s="444"/>
      <c r="V30" s="11"/>
      <c r="W30" s="278"/>
    </row>
    <row r="31" spans="1:23" s="2" customFormat="1" ht="16" thickBot="1" x14ac:dyDescent="0.25">
      <c r="A31" s="14"/>
      <c r="F31" s="14"/>
      <c r="G31" s="11"/>
      <c r="R31" s="11"/>
      <c r="S31" s="11"/>
      <c r="T31" s="277"/>
      <c r="U31" s="20"/>
    </row>
    <row r="32" spans="1:23" s="2" customFormat="1" ht="33" thickBot="1" x14ac:dyDescent="0.25">
      <c r="A32" s="14"/>
      <c r="F32" s="14"/>
      <c r="G32" s="351" t="s">
        <v>133</v>
      </c>
      <c r="H32" s="351" t="s">
        <v>134</v>
      </c>
      <c r="I32" s="351" t="s">
        <v>135</v>
      </c>
      <c r="J32" s="351" t="s">
        <v>136</v>
      </c>
      <c r="K32" s="351" t="s">
        <v>137</v>
      </c>
      <c r="L32" s="351" t="s">
        <v>138</v>
      </c>
      <c r="M32" s="351" t="s">
        <v>139</v>
      </c>
      <c r="N32" s="351" t="s">
        <v>140</v>
      </c>
      <c r="O32" s="351" t="s">
        <v>141</v>
      </c>
      <c r="P32" s="351" t="s">
        <v>142</v>
      </c>
      <c r="Q32" s="351" t="s">
        <v>143</v>
      </c>
      <c r="R32" s="352" t="s">
        <v>144</v>
      </c>
      <c r="S32" s="456" t="s">
        <v>152</v>
      </c>
      <c r="T32" s="457" t="s">
        <v>153</v>
      </c>
      <c r="U32" s="458" t="s">
        <v>154</v>
      </c>
    </row>
    <row r="33" spans="1:21" s="2" customFormat="1" x14ac:dyDescent="0.2">
      <c r="A33" s="64" t="s">
        <v>74</v>
      </c>
      <c r="B33" s="45" t="s">
        <v>70</v>
      </c>
      <c r="C33" s="45" t="s">
        <v>89</v>
      </c>
      <c r="D33" s="45"/>
      <c r="E33" s="45" t="s">
        <v>81</v>
      </c>
      <c r="F33" s="182">
        <v>10.74</v>
      </c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193"/>
      <c r="S33" s="218"/>
      <c r="T33" s="219"/>
      <c r="U33" s="297"/>
    </row>
    <row r="34" spans="1:21" s="2" customFormat="1" x14ac:dyDescent="0.2">
      <c r="A34" s="64" t="s">
        <v>74</v>
      </c>
      <c r="B34" s="45" t="s">
        <v>61</v>
      </c>
      <c r="C34" s="45" t="s">
        <v>80</v>
      </c>
      <c r="D34" s="45"/>
      <c r="E34" s="45" t="s">
        <v>81</v>
      </c>
      <c r="F34" s="182">
        <v>10.74</v>
      </c>
      <c r="G34" s="45"/>
      <c r="H34" s="31"/>
      <c r="I34" s="45"/>
      <c r="J34" s="45"/>
      <c r="K34" s="45"/>
      <c r="L34" s="45"/>
      <c r="M34" s="183"/>
      <c r="N34" s="45"/>
      <c r="O34" s="45"/>
      <c r="P34" s="45"/>
      <c r="Q34" s="45"/>
      <c r="R34" s="193"/>
      <c r="S34" s="194"/>
      <c r="T34" s="185"/>
      <c r="U34" s="195"/>
    </row>
    <row r="35" spans="1:21" s="2" customFormat="1" ht="14" customHeight="1" x14ac:dyDescent="0.2">
      <c r="A35" s="64" t="s">
        <v>74</v>
      </c>
      <c r="B35" s="45" t="s">
        <v>61</v>
      </c>
      <c r="C35" s="45" t="s">
        <v>83</v>
      </c>
      <c r="D35" s="45"/>
      <c r="E35" s="45" t="s">
        <v>81</v>
      </c>
      <c r="F35" s="182">
        <v>10.74</v>
      </c>
      <c r="G35" s="45"/>
      <c r="H35" s="31"/>
      <c r="I35" s="45"/>
      <c r="J35" s="45"/>
      <c r="K35" s="45"/>
      <c r="L35" s="45"/>
      <c r="M35" s="45"/>
      <c r="N35" s="45"/>
      <c r="O35" s="45"/>
      <c r="P35" s="45"/>
      <c r="Q35" s="45"/>
      <c r="R35" s="193"/>
      <c r="S35" s="194"/>
      <c r="T35" s="185"/>
      <c r="U35" s="195"/>
    </row>
    <row r="36" spans="1:21" s="2" customFormat="1" x14ac:dyDescent="0.2">
      <c r="A36" s="64" t="s">
        <v>74</v>
      </c>
      <c r="B36" s="45" t="s">
        <v>70</v>
      </c>
      <c r="C36" s="45" t="s">
        <v>87</v>
      </c>
      <c r="D36" s="45"/>
      <c r="E36" s="45" t="s">
        <v>88</v>
      </c>
      <c r="F36" s="182">
        <v>13.27</v>
      </c>
      <c r="G36" s="45"/>
      <c r="H36" s="45"/>
      <c r="I36" s="45"/>
      <c r="J36" s="45"/>
      <c r="K36" s="45"/>
      <c r="L36" s="45"/>
      <c r="M36" s="45"/>
      <c r="N36" s="184"/>
      <c r="O36" s="45"/>
      <c r="P36" s="45"/>
      <c r="Q36" s="45"/>
      <c r="R36" s="193"/>
      <c r="S36" s="194"/>
      <c r="T36" s="185"/>
      <c r="U36" s="195"/>
    </row>
    <row r="37" spans="1:21" s="2" customFormat="1" x14ac:dyDescent="0.2">
      <c r="A37" s="64" t="s">
        <v>74</v>
      </c>
      <c r="B37" s="45" t="s">
        <v>70</v>
      </c>
      <c r="C37" s="45" t="s">
        <v>87</v>
      </c>
      <c r="D37" s="45"/>
      <c r="E37" s="45" t="s">
        <v>148</v>
      </c>
      <c r="F37" s="182">
        <v>59.48</v>
      </c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193"/>
      <c r="S37" s="194"/>
      <c r="T37" s="185"/>
      <c r="U37" s="195"/>
    </row>
    <row r="38" spans="1:21" s="2" customFormat="1" x14ac:dyDescent="0.2">
      <c r="A38" s="64" t="s">
        <v>74</v>
      </c>
      <c r="B38" s="45" t="s">
        <v>70</v>
      </c>
      <c r="C38" s="45" t="s">
        <v>80</v>
      </c>
      <c r="D38" s="45"/>
      <c r="E38" s="45" t="s">
        <v>149</v>
      </c>
      <c r="F38" s="182">
        <v>59.48</v>
      </c>
      <c r="G38" s="45"/>
      <c r="H38" s="31"/>
      <c r="I38" s="45"/>
      <c r="J38" s="45"/>
      <c r="K38" s="45"/>
      <c r="L38" s="45"/>
      <c r="M38" s="45"/>
      <c r="N38" s="45"/>
      <c r="O38" s="45"/>
      <c r="P38" s="45"/>
      <c r="Q38" s="45"/>
      <c r="R38" s="193"/>
      <c r="S38" s="194"/>
      <c r="T38" s="185"/>
      <c r="U38" s="195"/>
    </row>
    <row r="39" spans="1:21" s="2" customFormat="1" ht="14.75" customHeight="1" x14ac:dyDescent="0.2">
      <c r="A39" s="64" t="s">
        <v>74</v>
      </c>
      <c r="B39" s="45" t="s">
        <v>70</v>
      </c>
      <c r="C39" s="45" t="s">
        <v>75</v>
      </c>
      <c r="D39" s="45"/>
      <c r="E39" s="45" t="s">
        <v>149</v>
      </c>
      <c r="F39" s="182">
        <v>59.48</v>
      </c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193"/>
      <c r="S39" s="194"/>
      <c r="T39" s="185"/>
      <c r="U39" s="195"/>
    </row>
    <row r="40" spans="1:21" s="2" customFormat="1" x14ac:dyDescent="0.2">
      <c r="A40" s="64" t="s">
        <v>74</v>
      </c>
      <c r="B40" s="45" t="s">
        <v>70</v>
      </c>
      <c r="C40" s="45" t="s">
        <v>77</v>
      </c>
      <c r="D40" s="45"/>
      <c r="E40" s="45" t="s">
        <v>150</v>
      </c>
      <c r="F40" s="182">
        <f>21.66*1.01</f>
        <v>21.8766</v>
      </c>
      <c r="G40" s="45"/>
      <c r="H40" s="31"/>
      <c r="I40" s="45"/>
      <c r="J40" s="45"/>
      <c r="K40" s="45"/>
      <c r="L40" s="45"/>
      <c r="M40" s="45"/>
      <c r="N40" s="45"/>
      <c r="O40" s="45"/>
      <c r="P40" s="45"/>
      <c r="Q40" s="45"/>
      <c r="R40" s="193"/>
      <c r="S40" s="194"/>
      <c r="T40" s="185"/>
      <c r="U40" s="195"/>
    </row>
    <row r="41" spans="1:21" s="2" customFormat="1" ht="16" thickBot="1" x14ac:dyDescent="0.25">
      <c r="A41" s="64" t="s">
        <v>74</v>
      </c>
      <c r="B41" s="45" t="s">
        <v>70</v>
      </c>
      <c r="C41" s="45" t="s">
        <v>89</v>
      </c>
      <c r="D41" s="45"/>
      <c r="E41" s="45" t="s">
        <v>150</v>
      </c>
      <c r="F41" s="182">
        <f>21.66*1.01</f>
        <v>21.8766</v>
      </c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193"/>
      <c r="S41" s="453"/>
      <c r="T41" s="454"/>
      <c r="U41" s="455"/>
    </row>
    <row r="42" spans="1:21" s="2" customFormat="1" ht="15.5" customHeight="1" thickBot="1" x14ac:dyDescent="0.25">
      <c r="S42" s="459">
        <f>SUM(S33:S41)</f>
        <v>0</v>
      </c>
      <c r="T42" s="460">
        <f>SUM(T33:T41)</f>
        <v>0</v>
      </c>
      <c r="U42" s="461">
        <f>SUM(U33:U41)</f>
        <v>0</v>
      </c>
    </row>
    <row r="43" spans="1:21" s="2" customFormat="1" ht="16" thickBot="1" x14ac:dyDescent="0.25">
      <c r="A43" s="14"/>
      <c r="G43" s="40"/>
      <c r="H43" s="40"/>
      <c r="I43" s="40"/>
      <c r="J43" s="40"/>
      <c r="K43" s="40"/>
      <c r="L43" s="40"/>
      <c r="M43" s="111"/>
      <c r="N43" s="112"/>
      <c r="T43" s="85"/>
    </row>
    <row r="44" spans="1:21" s="152" customFormat="1" ht="20" thickBot="1" x14ac:dyDescent="0.25">
      <c r="A44" s="14"/>
      <c r="G44" s="153"/>
      <c r="H44" s="41"/>
      <c r="I44" s="41"/>
      <c r="J44" s="41"/>
      <c r="K44" s="41"/>
      <c r="L44" s="41"/>
      <c r="M44" s="111"/>
      <c r="P44" s="2"/>
      <c r="Q44" s="418"/>
      <c r="R44" s="419" t="s">
        <v>209</v>
      </c>
      <c r="S44" s="420">
        <f>S28+S42</f>
        <v>381870</v>
      </c>
      <c r="T44" s="421">
        <f>T28+T42</f>
        <v>6495085.6040000003</v>
      </c>
      <c r="U44" s="422">
        <f>U28+U42</f>
        <v>5504585.0493900012</v>
      </c>
    </row>
    <row r="45" spans="1:21" s="152" customFormat="1" ht="19" x14ac:dyDescent="0.2">
      <c r="A45" s="14"/>
      <c r="G45" s="222"/>
      <c r="H45" s="223"/>
      <c r="I45" s="223"/>
      <c r="J45" s="223"/>
      <c r="K45" s="223"/>
      <c r="L45" s="223"/>
      <c r="M45" s="111"/>
      <c r="P45" s="2"/>
      <c r="Q45" s="2"/>
      <c r="R45" s="463"/>
      <c r="S45" s="414"/>
      <c r="T45" s="415"/>
      <c r="U45" s="158"/>
    </row>
    <row r="46" spans="1:21" s="152" customFormat="1" ht="21.5" customHeight="1" thickBot="1" x14ac:dyDescent="0.25">
      <c r="A46" s="140"/>
      <c r="B46" s="14" t="s">
        <v>171</v>
      </c>
      <c r="C46" s="2"/>
      <c r="D46" s="2"/>
      <c r="E46" s="2"/>
      <c r="F46" s="2"/>
      <c r="H46" s="2"/>
      <c r="I46" s="2"/>
      <c r="J46" s="2"/>
      <c r="K46" s="2"/>
      <c r="L46" s="2"/>
      <c r="M46" s="2"/>
      <c r="P46" s="2"/>
      <c r="Q46" s="2"/>
      <c r="R46" s="2"/>
      <c r="S46" s="2"/>
    </row>
    <row r="47" spans="1:21" s="152" customFormat="1" ht="31.5" customHeight="1" thickBot="1" x14ac:dyDescent="0.25">
      <c r="A47"/>
      <c r="B47" s="610" t="s">
        <v>211</v>
      </c>
      <c r="C47" s="611"/>
      <c r="D47" s="611"/>
      <c r="E47" s="611"/>
      <c r="F47" s="611"/>
      <c r="H47" s="408" t="s">
        <v>207</v>
      </c>
      <c r="I47" s="409"/>
      <c r="J47" s="223"/>
      <c r="K47" s="223"/>
      <c r="L47" s="223"/>
      <c r="M47" s="2"/>
      <c r="O47" s="2"/>
      <c r="P47" s="2"/>
      <c r="Q47" s="2"/>
      <c r="R47" s="2"/>
    </row>
    <row r="48" spans="1:21" s="2" customFormat="1" ht="19" x14ac:dyDescent="0.2">
      <c r="A48"/>
      <c r="B48" s="440" t="s">
        <v>2</v>
      </c>
      <c r="D48" s="14"/>
      <c r="G48" s="223"/>
      <c r="H48" s="223"/>
      <c r="I48" s="223"/>
      <c r="J48" s="223"/>
      <c r="K48" s="223"/>
      <c r="L48" s="223"/>
    </row>
    <row r="49" spans="1:23" s="2" customFormat="1" ht="22.25" customHeight="1" x14ac:dyDescent="0.2">
      <c r="C49" s="14"/>
      <c r="D49" s="14"/>
    </row>
    <row r="50" spans="1:23" s="2" customFormat="1" ht="3.5" customHeight="1" thickBot="1" x14ac:dyDescent="0.25">
      <c r="A50" s="14"/>
      <c r="T50" s="19"/>
    </row>
    <row r="51" spans="1:23" s="2" customFormat="1" ht="43.5" customHeight="1" thickBot="1" x14ac:dyDescent="0.25">
      <c r="A51" s="14"/>
      <c r="G51" s="256">
        <v>2026</v>
      </c>
      <c r="H51" s="256">
        <v>2026</v>
      </c>
      <c r="I51" s="256">
        <v>2026</v>
      </c>
      <c r="J51" s="256">
        <v>2026</v>
      </c>
      <c r="K51" s="256">
        <v>2026</v>
      </c>
      <c r="L51" s="256">
        <v>2026</v>
      </c>
      <c r="M51" s="256">
        <v>2026</v>
      </c>
      <c r="N51" s="256">
        <v>2026</v>
      </c>
      <c r="O51" s="256">
        <v>2026</v>
      </c>
      <c r="P51" s="256">
        <v>2026</v>
      </c>
      <c r="Q51" s="256">
        <v>2026</v>
      </c>
      <c r="R51" s="257">
        <v>2026</v>
      </c>
      <c r="S51" s="416" t="s">
        <v>155</v>
      </c>
      <c r="T51" s="417">
        <f>U51/0.8475</f>
        <v>6486686.3716814155</v>
      </c>
      <c r="U51" s="452">
        <v>5497466.7000000002</v>
      </c>
    </row>
    <row r="52" spans="1:23" s="2" customFormat="1" ht="26" customHeight="1" thickBot="1" x14ac:dyDescent="0.25">
      <c r="A52" s="270"/>
      <c r="B52" s="271" t="s">
        <v>12</v>
      </c>
      <c r="C52" s="271"/>
      <c r="D52" s="279"/>
      <c r="E52" s="272" t="s">
        <v>13</v>
      </c>
      <c r="F52" s="273" t="s">
        <v>14</v>
      </c>
      <c r="G52" s="351" t="s">
        <v>175</v>
      </c>
      <c r="H52" s="351" t="s">
        <v>176</v>
      </c>
      <c r="I52" s="351" t="s">
        <v>177</v>
      </c>
      <c r="J52" s="351" t="s">
        <v>178</v>
      </c>
      <c r="K52" s="351" t="s">
        <v>179</v>
      </c>
      <c r="L52" s="351" t="s">
        <v>180</v>
      </c>
      <c r="M52" s="351" t="s">
        <v>181</v>
      </c>
      <c r="N52" s="351" t="s">
        <v>182</v>
      </c>
      <c r="O52" s="351" t="s">
        <v>183</v>
      </c>
      <c r="P52" s="351" t="s">
        <v>205</v>
      </c>
      <c r="Q52" s="351" t="s">
        <v>184</v>
      </c>
      <c r="R52" s="352" t="s">
        <v>185</v>
      </c>
      <c r="S52" s="450" t="s">
        <v>152</v>
      </c>
      <c r="T52" s="451" t="s">
        <v>153</v>
      </c>
      <c r="U52" s="451" t="s">
        <v>154</v>
      </c>
    </row>
    <row r="53" spans="1:23" s="2" customFormat="1" x14ac:dyDescent="0.2">
      <c r="A53" s="261" t="s">
        <v>41</v>
      </c>
      <c r="B53" s="261" t="s">
        <v>61</v>
      </c>
      <c r="C53" s="262" t="s">
        <v>66</v>
      </c>
      <c r="D53" s="243"/>
      <c r="E53" s="228" t="s">
        <v>73</v>
      </c>
      <c r="F53" s="229">
        <v>10.81</v>
      </c>
      <c r="G53" s="405">
        <v>0</v>
      </c>
      <c r="H53" s="405">
        <v>0</v>
      </c>
      <c r="I53" s="405">
        <v>0</v>
      </c>
      <c r="J53" s="405">
        <v>0</v>
      </c>
      <c r="K53" s="405">
        <v>0</v>
      </c>
      <c r="L53" s="405">
        <v>0</v>
      </c>
      <c r="M53" s="405">
        <v>0</v>
      </c>
      <c r="N53" s="405">
        <v>0</v>
      </c>
      <c r="O53" s="405">
        <v>0</v>
      </c>
      <c r="P53" s="405">
        <v>0</v>
      </c>
      <c r="Q53" s="405">
        <v>0</v>
      </c>
      <c r="R53" s="405">
        <v>0</v>
      </c>
      <c r="S53" s="225">
        <v>0</v>
      </c>
      <c r="T53" s="226">
        <v>0</v>
      </c>
      <c r="U53" s="227">
        <v>0</v>
      </c>
      <c r="V53" s="11"/>
      <c r="W53" s="278"/>
    </row>
    <row r="54" spans="1:23" s="2" customFormat="1" x14ac:dyDescent="0.2">
      <c r="A54" s="186" t="s">
        <v>41</v>
      </c>
      <c r="B54" s="186" t="s">
        <v>61</v>
      </c>
      <c r="C54" s="189" t="s">
        <v>66</v>
      </c>
      <c r="D54" s="243"/>
      <c r="E54" s="228" t="s">
        <v>73</v>
      </c>
      <c r="F54" s="229">
        <v>10.81</v>
      </c>
      <c r="G54" s="405">
        <v>129720</v>
      </c>
      <c r="H54" s="405">
        <v>0</v>
      </c>
      <c r="I54" s="405">
        <v>151340</v>
      </c>
      <c r="J54" s="405">
        <v>0</v>
      </c>
      <c r="K54" s="405">
        <v>166474</v>
      </c>
      <c r="L54" s="405">
        <v>0</v>
      </c>
      <c r="M54" s="405">
        <v>166474</v>
      </c>
      <c r="N54" s="405">
        <v>0</v>
      </c>
      <c r="O54" s="405">
        <v>162150</v>
      </c>
      <c r="P54" s="405">
        <v>0</v>
      </c>
      <c r="Q54" s="405">
        <v>154583</v>
      </c>
      <c r="R54" s="405">
        <v>0</v>
      </c>
      <c r="S54" s="225">
        <v>86100</v>
      </c>
      <c r="T54" s="226">
        <v>930741</v>
      </c>
      <c r="U54" s="227">
        <v>788802.99750000006</v>
      </c>
      <c r="V54" s="11"/>
      <c r="W54" s="278"/>
    </row>
    <row r="55" spans="1:23" s="2" customFormat="1" x14ac:dyDescent="0.2">
      <c r="A55" s="186" t="s">
        <v>41</v>
      </c>
      <c r="B55" s="186" t="s">
        <v>61</v>
      </c>
      <c r="C55" s="189" t="s">
        <v>66</v>
      </c>
      <c r="D55" s="244"/>
      <c r="E55" s="187" t="s">
        <v>69</v>
      </c>
      <c r="F55" s="188">
        <f>10.63*1.01</f>
        <v>10.736300000000002</v>
      </c>
      <c r="G55" s="405">
        <v>51534.240000000005</v>
      </c>
      <c r="H55" s="405">
        <v>0</v>
      </c>
      <c r="I55" s="405">
        <v>90184.920000000013</v>
      </c>
      <c r="J55" s="405">
        <v>0</v>
      </c>
      <c r="K55" s="405">
        <v>101994.85000000002</v>
      </c>
      <c r="L55" s="405">
        <v>0</v>
      </c>
      <c r="M55" s="405">
        <v>113804.78000000001</v>
      </c>
      <c r="N55" s="405">
        <v>0</v>
      </c>
      <c r="O55" s="405">
        <v>0</v>
      </c>
      <c r="P55" s="405">
        <v>115952.04000000002</v>
      </c>
      <c r="Q55" s="405">
        <v>0</v>
      </c>
      <c r="R55" s="405">
        <v>0</v>
      </c>
      <c r="S55" s="225">
        <v>44100</v>
      </c>
      <c r="T55" s="226">
        <v>473470.83000000007</v>
      </c>
      <c r="U55" s="227">
        <v>401266.52842500008</v>
      </c>
      <c r="V55" s="11"/>
      <c r="W55" s="278"/>
    </row>
    <row r="56" spans="1:23" s="2" customFormat="1" x14ac:dyDescent="0.2">
      <c r="A56" s="186" t="s">
        <v>41</v>
      </c>
      <c r="B56" s="186" t="s">
        <v>61</v>
      </c>
      <c r="C56" s="189" t="s">
        <v>66</v>
      </c>
      <c r="D56" s="244"/>
      <c r="E56" s="187" t="s">
        <v>67</v>
      </c>
      <c r="F56" s="188">
        <f>10.63*1.01</f>
        <v>10.736300000000002</v>
      </c>
      <c r="G56" s="405">
        <v>38650.680000000008</v>
      </c>
      <c r="H56" s="405">
        <v>0</v>
      </c>
      <c r="I56" s="405">
        <v>38650.680000000008</v>
      </c>
      <c r="J56" s="405">
        <v>0</v>
      </c>
      <c r="K56" s="405">
        <v>38650.680000000008</v>
      </c>
      <c r="L56" s="405">
        <v>0</v>
      </c>
      <c r="M56" s="405">
        <v>42515.748000000007</v>
      </c>
      <c r="N56" s="405">
        <v>0</v>
      </c>
      <c r="O56" s="405">
        <v>42515.748000000007</v>
      </c>
      <c r="P56" s="405">
        <v>0</v>
      </c>
      <c r="Q56" s="405">
        <v>0</v>
      </c>
      <c r="R56" s="405">
        <v>42515.748000000007</v>
      </c>
      <c r="S56" s="225">
        <v>22680</v>
      </c>
      <c r="T56" s="226">
        <v>243499.28400000004</v>
      </c>
      <c r="U56" s="227">
        <v>206365.64319000003</v>
      </c>
      <c r="V56" s="11"/>
      <c r="W56" s="278"/>
    </row>
    <row r="57" spans="1:23" s="2" customFormat="1" x14ac:dyDescent="0.2">
      <c r="A57" s="186" t="s">
        <v>41</v>
      </c>
      <c r="B57" s="186" t="s">
        <v>70</v>
      </c>
      <c r="C57" s="189" t="s">
        <v>66</v>
      </c>
      <c r="D57" s="244"/>
      <c r="E57" s="187" t="s">
        <v>72</v>
      </c>
      <c r="F57" s="188">
        <f>21.66*1.01</f>
        <v>21.8766</v>
      </c>
      <c r="G57" s="405">
        <v>175012.8</v>
      </c>
      <c r="H57" s="405">
        <v>0</v>
      </c>
      <c r="I57" s="405">
        <v>218766</v>
      </c>
      <c r="J57" s="405">
        <v>0</v>
      </c>
      <c r="K57" s="405">
        <v>218766</v>
      </c>
      <c r="L57" s="405">
        <v>0</v>
      </c>
      <c r="M57" s="405">
        <v>0</v>
      </c>
      <c r="N57" s="405">
        <v>240642.6</v>
      </c>
      <c r="O57" s="405">
        <v>0</v>
      </c>
      <c r="P57" s="405">
        <v>0</v>
      </c>
      <c r="Q57" s="405">
        <v>264706.86</v>
      </c>
      <c r="R57" s="405">
        <v>0</v>
      </c>
      <c r="S57" s="225">
        <v>51100</v>
      </c>
      <c r="T57" s="226">
        <v>1117894.26</v>
      </c>
      <c r="U57" s="227">
        <v>947415.38535</v>
      </c>
      <c r="V57" s="11"/>
      <c r="W57" s="278"/>
    </row>
    <row r="58" spans="1:23" s="2" customFormat="1" x14ac:dyDescent="0.2">
      <c r="A58" s="186" t="s">
        <v>41</v>
      </c>
      <c r="B58" s="186" t="s">
        <v>70</v>
      </c>
      <c r="C58" s="189" t="s">
        <v>66</v>
      </c>
      <c r="D58" s="244"/>
      <c r="E58" s="187" t="s">
        <v>71</v>
      </c>
      <c r="F58" s="188">
        <f>21.66*1.01</f>
        <v>21.8766</v>
      </c>
      <c r="G58" s="405">
        <v>0</v>
      </c>
      <c r="H58" s="405">
        <v>0</v>
      </c>
      <c r="I58" s="405">
        <v>118133.64</v>
      </c>
      <c r="J58" s="405">
        <v>0</v>
      </c>
      <c r="K58" s="405">
        <v>0</v>
      </c>
      <c r="L58" s="405">
        <v>114852.15</v>
      </c>
      <c r="M58" s="405">
        <v>0</v>
      </c>
      <c r="N58" s="405">
        <v>137822.57999999999</v>
      </c>
      <c r="O58" s="405">
        <v>0</v>
      </c>
      <c r="P58" s="405">
        <v>0</v>
      </c>
      <c r="Q58" s="405">
        <v>133447.26</v>
      </c>
      <c r="R58" s="405">
        <v>0</v>
      </c>
      <c r="S58" s="225">
        <v>23050</v>
      </c>
      <c r="T58" s="226">
        <v>504255.63</v>
      </c>
      <c r="U58" s="227">
        <v>427356.64642500004</v>
      </c>
      <c r="V58" s="11"/>
      <c r="W58" s="278"/>
    </row>
    <row r="59" spans="1:23" s="2" customFormat="1" x14ac:dyDescent="0.2">
      <c r="A59" s="190" t="s">
        <v>41</v>
      </c>
      <c r="B59" s="190" t="s">
        <v>42</v>
      </c>
      <c r="C59" s="190" t="s">
        <v>43</v>
      </c>
      <c r="D59" s="192"/>
      <c r="E59" s="192" t="s">
        <v>160</v>
      </c>
      <c r="F59" s="191">
        <v>19.559999999999999</v>
      </c>
      <c r="G59" s="406">
        <v>64547.999999999993</v>
      </c>
      <c r="H59" s="406">
        <v>43032</v>
      </c>
      <c r="I59" s="406">
        <v>64547.999999999993</v>
      </c>
      <c r="J59" s="406">
        <v>68460</v>
      </c>
      <c r="K59" s="406">
        <v>46944</v>
      </c>
      <c r="L59" s="406">
        <v>68460</v>
      </c>
      <c r="M59" s="406">
        <v>68460</v>
      </c>
      <c r="N59" s="406">
        <v>46944</v>
      </c>
      <c r="O59" s="406">
        <v>68460</v>
      </c>
      <c r="P59" s="406">
        <v>68460</v>
      </c>
      <c r="Q59" s="406">
        <v>46944</v>
      </c>
      <c r="R59" s="406">
        <v>68460</v>
      </c>
      <c r="S59" s="225">
        <v>37000</v>
      </c>
      <c r="T59" s="226">
        <v>723720</v>
      </c>
      <c r="U59" s="227">
        <v>613352.70000000007</v>
      </c>
      <c r="V59" s="11"/>
      <c r="W59" s="278"/>
    </row>
    <row r="60" spans="1:23" s="2" customFormat="1" x14ac:dyDescent="0.2">
      <c r="A60" s="190" t="s">
        <v>41</v>
      </c>
      <c r="B60" s="190" t="s">
        <v>42</v>
      </c>
      <c r="C60" s="190" t="s">
        <v>43</v>
      </c>
      <c r="D60" s="192"/>
      <c r="E60" s="192" t="s">
        <v>159</v>
      </c>
      <c r="F60" s="191">
        <v>19.559999999999999</v>
      </c>
      <c r="G60" s="406">
        <v>28361.999999999996</v>
      </c>
      <c r="H60" s="406">
        <v>28361.999999999996</v>
      </c>
      <c r="I60" s="406">
        <v>28361.999999999996</v>
      </c>
      <c r="J60" s="406">
        <v>28361.999999999996</v>
      </c>
      <c r="K60" s="406">
        <v>29339.999999999996</v>
      </c>
      <c r="L60" s="406">
        <v>31295.999999999996</v>
      </c>
      <c r="M60" s="406">
        <v>31295.999999999996</v>
      </c>
      <c r="N60" s="406">
        <v>31295.999999999996</v>
      </c>
      <c r="O60" s="406">
        <v>31295.999999999996</v>
      </c>
      <c r="P60" s="406">
        <v>31295.999999999996</v>
      </c>
      <c r="Q60" s="406">
        <v>29339.999999999996</v>
      </c>
      <c r="R60" s="406">
        <v>28850.999999999996</v>
      </c>
      <c r="S60" s="225">
        <v>18275</v>
      </c>
      <c r="T60" s="226">
        <v>357459</v>
      </c>
      <c r="U60" s="227">
        <v>302946.5025</v>
      </c>
      <c r="V60" s="11"/>
      <c r="W60" s="278"/>
    </row>
    <row r="61" spans="1:23" s="2" customFormat="1" ht="15" customHeight="1" x14ac:dyDescent="0.2">
      <c r="A61" s="190" t="s">
        <v>41</v>
      </c>
      <c r="B61" s="190" t="s">
        <v>42</v>
      </c>
      <c r="C61" s="190" t="s">
        <v>43</v>
      </c>
      <c r="D61" s="192"/>
      <c r="E61" s="192" t="s">
        <v>161</v>
      </c>
      <c r="F61" s="191">
        <v>9.9499999999999993</v>
      </c>
      <c r="G61" s="406">
        <v>0</v>
      </c>
      <c r="H61" s="406">
        <v>0</v>
      </c>
      <c r="I61" s="406">
        <v>0</v>
      </c>
      <c r="J61" s="406">
        <v>0</v>
      </c>
      <c r="K61" s="406">
        <v>0</v>
      </c>
      <c r="L61" s="406">
        <v>0</v>
      </c>
      <c r="M61" s="406">
        <v>0</v>
      </c>
      <c r="N61" s="406">
        <v>0</v>
      </c>
      <c r="O61" s="406">
        <v>0</v>
      </c>
      <c r="P61" s="406">
        <v>0</v>
      </c>
      <c r="Q61" s="406">
        <v>0</v>
      </c>
      <c r="R61" s="406">
        <v>0</v>
      </c>
      <c r="S61" s="225">
        <v>0</v>
      </c>
      <c r="T61" s="226">
        <v>0</v>
      </c>
      <c r="U61" s="227">
        <v>0</v>
      </c>
      <c r="V61" s="11"/>
      <c r="W61" s="278"/>
    </row>
    <row r="62" spans="1:23" s="2" customFormat="1" x14ac:dyDescent="0.2">
      <c r="A62" s="190" t="s">
        <v>41</v>
      </c>
      <c r="B62" s="190" t="s">
        <v>42</v>
      </c>
      <c r="C62" s="190" t="s">
        <v>43</v>
      </c>
      <c r="D62" s="192"/>
      <c r="E62" s="192" t="s">
        <v>162</v>
      </c>
      <c r="F62" s="191">
        <v>9.9499999999999993</v>
      </c>
      <c r="G62" s="406">
        <v>0</v>
      </c>
      <c r="H62" s="406">
        <v>5970</v>
      </c>
      <c r="I62" s="406">
        <v>17910</v>
      </c>
      <c r="J62" s="406">
        <v>17910</v>
      </c>
      <c r="K62" s="406">
        <v>5970</v>
      </c>
      <c r="L62" s="406">
        <v>5970</v>
      </c>
      <c r="M62" s="406">
        <v>5970</v>
      </c>
      <c r="N62" s="406">
        <v>5970</v>
      </c>
      <c r="O62" s="406">
        <v>5970</v>
      </c>
      <c r="P62" s="406">
        <v>5970</v>
      </c>
      <c r="Q62" s="406">
        <v>5970</v>
      </c>
      <c r="R62" s="406">
        <v>5970</v>
      </c>
      <c r="S62" s="225">
        <v>9000</v>
      </c>
      <c r="T62" s="226">
        <v>89550</v>
      </c>
      <c r="U62" s="227">
        <v>75893.625</v>
      </c>
      <c r="V62" s="11"/>
      <c r="W62" s="278"/>
    </row>
    <row r="63" spans="1:23" s="2" customFormat="1" x14ac:dyDescent="0.2">
      <c r="A63" s="190" t="s">
        <v>41</v>
      </c>
      <c r="B63" s="190" t="s">
        <v>42</v>
      </c>
      <c r="C63" s="190" t="s">
        <v>43</v>
      </c>
      <c r="D63" s="192"/>
      <c r="E63" s="192" t="s">
        <v>147</v>
      </c>
      <c r="F63" s="191">
        <v>13.27</v>
      </c>
      <c r="G63" s="406">
        <v>23886</v>
      </c>
      <c r="H63" s="406">
        <v>23886</v>
      </c>
      <c r="I63" s="406">
        <v>23886</v>
      </c>
      <c r="J63" s="406">
        <v>26540</v>
      </c>
      <c r="K63" s="406">
        <v>26540</v>
      </c>
      <c r="L63" s="406">
        <v>26540</v>
      </c>
      <c r="M63" s="406">
        <v>23886</v>
      </c>
      <c r="N63" s="406">
        <v>0</v>
      </c>
      <c r="O63" s="406">
        <v>0</v>
      </c>
      <c r="P63" s="406">
        <v>0</v>
      </c>
      <c r="Q63" s="406">
        <v>0</v>
      </c>
      <c r="R63" s="406">
        <v>0</v>
      </c>
      <c r="S63" s="225">
        <v>13200</v>
      </c>
      <c r="T63" s="226">
        <v>175164</v>
      </c>
      <c r="U63" s="227">
        <v>148451.49000000002</v>
      </c>
      <c r="V63" s="11"/>
      <c r="W63" s="278"/>
    </row>
    <row r="64" spans="1:23" s="2" customFormat="1" x14ac:dyDescent="0.2">
      <c r="A64" s="131" t="s">
        <v>158</v>
      </c>
      <c r="B64" s="131" t="s">
        <v>78</v>
      </c>
      <c r="C64" s="131" t="s">
        <v>43</v>
      </c>
      <c r="D64" s="127"/>
      <c r="E64" s="127" t="s">
        <v>79</v>
      </c>
      <c r="F64" s="67">
        <v>31.1</v>
      </c>
      <c r="G64" s="406">
        <v>62200</v>
      </c>
      <c r="H64" s="406">
        <v>0</v>
      </c>
      <c r="I64" s="406">
        <v>62200</v>
      </c>
      <c r="J64" s="406">
        <v>93300</v>
      </c>
      <c r="K64" s="406">
        <v>0</v>
      </c>
      <c r="L64" s="406">
        <v>62200</v>
      </c>
      <c r="M64" s="406">
        <v>62200</v>
      </c>
      <c r="N64" s="406">
        <v>0</v>
      </c>
      <c r="O64" s="406">
        <v>93300</v>
      </c>
      <c r="P64" s="406">
        <v>62200</v>
      </c>
      <c r="Q64" s="406">
        <v>0</v>
      </c>
      <c r="R64" s="406">
        <v>62200</v>
      </c>
      <c r="S64" s="225">
        <v>18000</v>
      </c>
      <c r="T64" s="226">
        <v>559800</v>
      </c>
      <c r="U64" s="227">
        <v>474430.5</v>
      </c>
      <c r="V64" s="11"/>
      <c r="W64" s="278"/>
    </row>
    <row r="65" spans="1:23" s="2" customFormat="1" x14ac:dyDescent="0.2">
      <c r="A65" s="190" t="s">
        <v>41</v>
      </c>
      <c r="B65" s="190" t="s">
        <v>42</v>
      </c>
      <c r="C65" s="190" t="s">
        <v>43</v>
      </c>
      <c r="D65" s="192"/>
      <c r="E65" s="192" t="s">
        <v>151</v>
      </c>
      <c r="F65" s="191">
        <v>59.48</v>
      </c>
      <c r="G65" s="406">
        <v>29740</v>
      </c>
      <c r="H65" s="406">
        <v>29740</v>
      </c>
      <c r="I65" s="406">
        <v>29740</v>
      </c>
      <c r="J65" s="406">
        <v>29740</v>
      </c>
      <c r="K65" s="406">
        <v>29740</v>
      </c>
      <c r="L65" s="406">
        <v>32714</v>
      </c>
      <c r="M65" s="406">
        <v>35688</v>
      </c>
      <c r="N65" s="406">
        <v>32714</v>
      </c>
      <c r="O65" s="406">
        <v>35688</v>
      </c>
      <c r="P65" s="406">
        <v>32714</v>
      </c>
      <c r="Q65" s="406">
        <v>35688</v>
      </c>
      <c r="R65" s="406">
        <v>32714</v>
      </c>
      <c r="S65" s="225">
        <v>6500</v>
      </c>
      <c r="T65" s="226">
        <v>386620</v>
      </c>
      <c r="U65" s="227">
        <v>327660.45</v>
      </c>
      <c r="V65" s="11"/>
      <c r="W65" s="278"/>
    </row>
    <row r="66" spans="1:23" s="2" customFormat="1" x14ac:dyDescent="0.2">
      <c r="A66" s="190" t="s">
        <v>41</v>
      </c>
      <c r="B66" s="190" t="s">
        <v>42</v>
      </c>
      <c r="C66" s="190" t="s">
        <v>43</v>
      </c>
      <c r="D66" s="192"/>
      <c r="E66" s="192" t="s">
        <v>165</v>
      </c>
      <c r="F66" s="191">
        <v>10</v>
      </c>
      <c r="G66" s="406">
        <v>0</v>
      </c>
      <c r="H66" s="406">
        <v>24000</v>
      </c>
      <c r="I66" s="406">
        <v>0</v>
      </c>
      <c r="J66" s="406">
        <v>0</v>
      </c>
      <c r="K66" s="406">
        <v>24000</v>
      </c>
      <c r="L66" s="406">
        <v>0</v>
      </c>
      <c r="M66" s="406">
        <v>0</v>
      </c>
      <c r="N66" s="406">
        <v>24000</v>
      </c>
      <c r="O66" s="406">
        <v>0</v>
      </c>
      <c r="P66" s="406">
        <v>0</v>
      </c>
      <c r="Q66" s="406">
        <v>0</v>
      </c>
      <c r="R66" s="406">
        <v>16200</v>
      </c>
      <c r="S66" s="225">
        <v>8820</v>
      </c>
      <c r="T66" s="226">
        <v>88200</v>
      </c>
      <c r="U66" s="227">
        <v>74749.5</v>
      </c>
      <c r="V66" s="11"/>
      <c r="W66" s="278"/>
    </row>
    <row r="67" spans="1:23" s="2" customFormat="1" x14ac:dyDescent="0.2">
      <c r="A67" s="190" t="s">
        <v>41</v>
      </c>
      <c r="B67" s="190" t="s">
        <v>42</v>
      </c>
      <c r="C67" s="190" t="s">
        <v>43</v>
      </c>
      <c r="D67" s="192"/>
      <c r="E67" s="192" t="s">
        <v>163</v>
      </c>
      <c r="F67" s="191">
        <v>10</v>
      </c>
      <c r="G67" s="406">
        <v>3750</v>
      </c>
      <c r="H67" s="406">
        <v>3750</v>
      </c>
      <c r="I67" s="406">
        <v>3750</v>
      </c>
      <c r="J67" s="406">
        <v>3750</v>
      </c>
      <c r="K67" s="406">
        <v>4000</v>
      </c>
      <c r="L67" s="406">
        <v>4000</v>
      </c>
      <c r="M67" s="406">
        <v>4000</v>
      </c>
      <c r="N67" s="406">
        <v>4000</v>
      </c>
      <c r="O67" s="406">
        <v>4000</v>
      </c>
      <c r="P67" s="406">
        <v>4000</v>
      </c>
      <c r="Q67" s="406">
        <v>4000</v>
      </c>
      <c r="R67" s="406">
        <v>4250</v>
      </c>
      <c r="S67" s="225">
        <v>4725</v>
      </c>
      <c r="T67" s="226">
        <v>47250</v>
      </c>
      <c r="U67" s="227">
        <v>40044.375</v>
      </c>
      <c r="V67" s="11"/>
      <c r="W67" s="278"/>
    </row>
    <row r="68" spans="1:23" s="2" customFormat="1" x14ac:dyDescent="0.2">
      <c r="A68" s="190" t="s">
        <v>41</v>
      </c>
      <c r="B68" s="190" t="s">
        <v>42</v>
      </c>
      <c r="C68" s="190" t="s">
        <v>43</v>
      </c>
      <c r="D68" s="192"/>
      <c r="E68" s="192" t="s">
        <v>164</v>
      </c>
      <c r="F68" s="191">
        <v>10.88</v>
      </c>
      <c r="G68" s="406">
        <v>0</v>
      </c>
      <c r="H68" s="406">
        <v>26112.000000000004</v>
      </c>
      <c r="I68" s="406">
        <v>0</v>
      </c>
      <c r="J68" s="406">
        <v>0</v>
      </c>
      <c r="K68" s="406">
        <v>28288.000000000004</v>
      </c>
      <c r="L68" s="406">
        <v>0</v>
      </c>
      <c r="M68" s="406">
        <v>0</v>
      </c>
      <c r="N68" s="406">
        <v>26112.000000000004</v>
      </c>
      <c r="O68" s="406">
        <v>0</v>
      </c>
      <c r="P68" s="406">
        <v>0</v>
      </c>
      <c r="Q68" s="406">
        <v>15449.6</v>
      </c>
      <c r="R68" s="406">
        <v>0</v>
      </c>
      <c r="S68" s="225">
        <v>8820</v>
      </c>
      <c r="T68" s="226">
        <v>95961.600000000006</v>
      </c>
      <c r="U68" s="227">
        <v>81327.456000000006</v>
      </c>
      <c r="V68" s="11"/>
      <c r="W68" s="278"/>
    </row>
    <row r="69" spans="1:23" s="2" customFormat="1" x14ac:dyDescent="0.2">
      <c r="A69" s="190" t="s">
        <v>41</v>
      </c>
      <c r="B69" s="190" t="s">
        <v>42</v>
      </c>
      <c r="C69" s="190" t="s">
        <v>43</v>
      </c>
      <c r="D69" s="192"/>
      <c r="E69" s="192" t="s">
        <v>72</v>
      </c>
      <c r="F69" s="191">
        <v>21</v>
      </c>
      <c r="G69" s="406">
        <v>0</v>
      </c>
      <c r="H69" s="406">
        <v>0</v>
      </c>
      <c r="I69" s="406">
        <v>0</v>
      </c>
      <c r="J69" s="406">
        <v>0</v>
      </c>
      <c r="K69" s="406">
        <v>0</v>
      </c>
      <c r="L69" s="406">
        <v>0</v>
      </c>
      <c r="M69" s="406">
        <v>0</v>
      </c>
      <c r="N69" s="406">
        <v>0</v>
      </c>
      <c r="O69" s="406">
        <v>0</v>
      </c>
      <c r="P69" s="406">
        <v>0</v>
      </c>
      <c r="Q69" s="406">
        <v>0</v>
      </c>
      <c r="R69" s="406">
        <v>0</v>
      </c>
      <c r="S69" s="225">
        <v>0</v>
      </c>
      <c r="T69" s="226">
        <v>0</v>
      </c>
      <c r="U69" s="227">
        <v>0</v>
      </c>
      <c r="V69" s="11"/>
      <c r="W69" s="278"/>
    </row>
    <row r="70" spans="1:23" s="2" customFormat="1" x14ac:dyDescent="0.2">
      <c r="A70" s="190" t="s">
        <v>41</v>
      </c>
      <c r="B70" s="190" t="s">
        <v>61</v>
      </c>
      <c r="C70" s="190" t="s">
        <v>43</v>
      </c>
      <c r="D70" s="192"/>
      <c r="E70" s="192" t="s">
        <v>71</v>
      </c>
      <c r="F70" s="191">
        <v>21</v>
      </c>
      <c r="G70" s="406">
        <v>0</v>
      </c>
      <c r="H70" s="406">
        <v>0</v>
      </c>
      <c r="I70" s="406">
        <v>0</v>
      </c>
      <c r="J70" s="406">
        <v>0</v>
      </c>
      <c r="K70" s="406">
        <v>0</v>
      </c>
      <c r="L70" s="406">
        <v>0</v>
      </c>
      <c r="M70" s="406">
        <v>0</v>
      </c>
      <c r="N70" s="406">
        <v>0</v>
      </c>
      <c r="O70" s="406">
        <v>0</v>
      </c>
      <c r="P70" s="406">
        <v>0</v>
      </c>
      <c r="Q70" s="406">
        <v>0</v>
      </c>
      <c r="R70" s="406">
        <v>0</v>
      </c>
      <c r="S70" s="225">
        <v>0</v>
      </c>
      <c r="T70" s="226">
        <v>0</v>
      </c>
      <c r="U70" s="227">
        <v>0</v>
      </c>
      <c r="V70" s="11"/>
      <c r="W70" s="278"/>
    </row>
    <row r="71" spans="1:23" s="2" customFormat="1" x14ac:dyDescent="0.2">
      <c r="A71" s="190" t="s">
        <v>41</v>
      </c>
      <c r="B71" s="190" t="s">
        <v>42</v>
      </c>
      <c r="C71" s="190" t="s">
        <v>43</v>
      </c>
      <c r="D71" s="192"/>
      <c r="E71" s="192" t="s">
        <v>132</v>
      </c>
      <c r="F71" s="191">
        <v>21</v>
      </c>
      <c r="G71" s="406">
        <v>0</v>
      </c>
      <c r="H71" s="406">
        <v>0</v>
      </c>
      <c r="I71" s="406">
        <v>0</v>
      </c>
      <c r="J71" s="406">
        <v>0</v>
      </c>
      <c r="K71" s="406">
        <v>0</v>
      </c>
      <c r="L71" s="406">
        <v>0</v>
      </c>
      <c r="M71" s="406">
        <v>0</v>
      </c>
      <c r="N71" s="406">
        <v>0</v>
      </c>
      <c r="O71" s="406">
        <v>0</v>
      </c>
      <c r="P71" s="406">
        <v>0</v>
      </c>
      <c r="Q71" s="406">
        <v>0</v>
      </c>
      <c r="R71" s="406">
        <v>0</v>
      </c>
      <c r="S71" s="225">
        <v>0</v>
      </c>
      <c r="T71" s="226">
        <v>0</v>
      </c>
      <c r="U71" s="227">
        <v>0</v>
      </c>
      <c r="V71" s="11"/>
      <c r="W71" s="278"/>
    </row>
    <row r="72" spans="1:23" s="2" customFormat="1" ht="14.75" customHeight="1" x14ac:dyDescent="0.2">
      <c r="A72" s="190" t="s">
        <v>41</v>
      </c>
      <c r="B72" s="190" t="s">
        <v>42</v>
      </c>
      <c r="C72" s="190" t="s">
        <v>43</v>
      </c>
      <c r="D72" s="190"/>
      <c r="E72" s="190" t="s">
        <v>145</v>
      </c>
      <c r="F72" s="191">
        <v>23</v>
      </c>
      <c r="G72" s="406">
        <v>0</v>
      </c>
      <c r="H72" s="406">
        <v>69000</v>
      </c>
      <c r="I72" s="406">
        <v>0</v>
      </c>
      <c r="J72" s="406">
        <v>46000</v>
      </c>
      <c r="K72" s="406">
        <v>0</v>
      </c>
      <c r="L72" s="406">
        <v>69000</v>
      </c>
      <c r="M72" s="406">
        <v>0</v>
      </c>
      <c r="N72" s="406">
        <v>69000</v>
      </c>
      <c r="O72" s="406">
        <v>0</v>
      </c>
      <c r="P72" s="406">
        <v>69000</v>
      </c>
      <c r="Q72" s="406">
        <v>0</v>
      </c>
      <c r="R72" s="406">
        <v>46000</v>
      </c>
      <c r="S72" s="225">
        <v>16000</v>
      </c>
      <c r="T72" s="226">
        <v>368000</v>
      </c>
      <c r="U72" s="227">
        <v>311880</v>
      </c>
      <c r="V72" s="11"/>
      <c r="W72" s="278"/>
    </row>
    <row r="73" spans="1:23" s="2" customFormat="1" ht="16" thickBot="1" x14ac:dyDescent="0.25">
      <c r="A73" s="190" t="s">
        <v>41</v>
      </c>
      <c r="B73" s="190" t="s">
        <v>42</v>
      </c>
      <c r="C73" s="190" t="s">
        <v>43</v>
      </c>
      <c r="D73" s="190"/>
      <c r="E73" s="190" t="s">
        <v>146</v>
      </c>
      <c r="F73" s="191">
        <v>23</v>
      </c>
      <c r="G73" s="406">
        <v>25875</v>
      </c>
      <c r="H73" s="406">
        <v>25875</v>
      </c>
      <c r="I73" s="406">
        <v>25875</v>
      </c>
      <c r="J73" s="406">
        <v>25875</v>
      </c>
      <c r="K73" s="406">
        <v>29900</v>
      </c>
      <c r="L73" s="406">
        <v>27600</v>
      </c>
      <c r="M73" s="406">
        <v>27600</v>
      </c>
      <c r="N73" s="406">
        <v>27600</v>
      </c>
      <c r="O73" s="406">
        <v>27600</v>
      </c>
      <c r="P73" s="406">
        <v>29900</v>
      </c>
      <c r="Q73" s="406">
        <v>29900</v>
      </c>
      <c r="R73" s="406">
        <v>29900</v>
      </c>
      <c r="S73" s="410">
        <v>14500</v>
      </c>
      <c r="T73" s="391">
        <v>333500</v>
      </c>
      <c r="U73" s="411">
        <v>282641.25</v>
      </c>
      <c r="V73" s="11"/>
      <c r="W73" s="278"/>
    </row>
    <row r="74" spans="1:23" s="2" customFormat="1" x14ac:dyDescent="0.2">
      <c r="A74" s="14"/>
      <c r="F74" s="97" t="s">
        <v>39</v>
      </c>
      <c r="G74" s="407">
        <f>SUM(G53:G73)</f>
        <v>633278.71999999997</v>
      </c>
      <c r="H74" s="407">
        <f t="shared" ref="H74:R74" si="1">SUM(H53:H73)</f>
        <v>279727</v>
      </c>
      <c r="I74" s="407">
        <f t="shared" si="1"/>
        <v>873346.24</v>
      </c>
      <c r="J74" s="407">
        <f t="shared" si="1"/>
        <v>339937</v>
      </c>
      <c r="K74" s="407">
        <f t="shared" si="1"/>
        <v>750607.53</v>
      </c>
      <c r="L74" s="407">
        <f t="shared" si="1"/>
        <v>442632.15</v>
      </c>
      <c r="M74" s="407">
        <f t="shared" si="1"/>
        <v>581894.52800000005</v>
      </c>
      <c r="N74" s="407">
        <f t="shared" si="1"/>
        <v>646101.18000000005</v>
      </c>
      <c r="O74" s="407">
        <f t="shared" si="1"/>
        <v>470979.74800000002</v>
      </c>
      <c r="P74" s="407">
        <f t="shared" si="1"/>
        <v>419492.04000000004</v>
      </c>
      <c r="Q74" s="407">
        <f t="shared" si="1"/>
        <v>720028.72</v>
      </c>
      <c r="R74" s="407">
        <f t="shared" si="1"/>
        <v>337060.74800000002</v>
      </c>
      <c r="S74" s="388">
        <f>SUM(S53:S73)</f>
        <v>381870</v>
      </c>
      <c r="T74" s="392">
        <v>6495085.6039999994</v>
      </c>
      <c r="U74" s="389">
        <v>5504585.0493900012</v>
      </c>
      <c r="V74" s="11"/>
      <c r="W74" s="278"/>
    </row>
    <row r="75" spans="1:23" s="2" customFormat="1" ht="16" thickBot="1" x14ac:dyDescent="0.25">
      <c r="A75" s="14"/>
      <c r="F75" s="97"/>
      <c r="G75" s="289"/>
      <c r="H75" s="289"/>
      <c r="I75" s="289"/>
      <c r="J75" s="289"/>
      <c r="K75" s="289"/>
      <c r="L75" s="289"/>
      <c r="M75" s="289"/>
      <c r="N75" s="289"/>
      <c r="O75" s="289"/>
      <c r="P75" s="289"/>
      <c r="Q75" s="289"/>
      <c r="R75" s="289"/>
      <c r="S75" s="393">
        <f>SUM(G74:R74)</f>
        <v>6495085.6039999994</v>
      </c>
      <c r="T75" s="394">
        <f>SUM(G74:R74)</f>
        <v>6495085.6039999994</v>
      </c>
      <c r="U75" s="390">
        <f>T75*0.8475</f>
        <v>5504585.0493899994</v>
      </c>
      <c r="V75" s="11"/>
      <c r="W75" s="278"/>
    </row>
    <row r="76" spans="1:23" s="2" customFormat="1" x14ac:dyDescent="0.2">
      <c r="A76" s="14"/>
      <c r="F76" s="97"/>
      <c r="G76" s="289"/>
      <c r="H76" s="289"/>
      <c r="I76" s="289"/>
      <c r="J76" s="289"/>
      <c r="K76" s="289"/>
      <c r="L76" s="289"/>
      <c r="M76" s="289"/>
      <c r="N76" s="289"/>
      <c r="O76" s="289"/>
      <c r="P76" s="289"/>
      <c r="Q76" s="289"/>
      <c r="R76" s="289"/>
      <c r="S76" s="442"/>
      <c r="T76" s="462"/>
      <c r="U76" s="462"/>
      <c r="V76" s="11"/>
      <c r="W76" s="278"/>
    </row>
    <row r="77" spans="1:23" s="2" customFormat="1" ht="16" thickBot="1" x14ac:dyDescent="0.25">
      <c r="A77" s="14"/>
      <c r="F77" s="14"/>
      <c r="G77" s="289"/>
      <c r="H77" s="289"/>
      <c r="I77" s="289"/>
      <c r="J77" s="289"/>
      <c r="K77" s="289"/>
      <c r="L77" s="289"/>
      <c r="M77" s="289"/>
      <c r="N77" s="289"/>
      <c r="O77" s="289"/>
      <c r="P77" s="289"/>
      <c r="Q77" s="289"/>
      <c r="R77" s="289"/>
      <c r="S77" s="302"/>
      <c r="T77" s="296"/>
      <c r="U77" s="20"/>
    </row>
    <row r="78" spans="1:23" s="2" customFormat="1" ht="33" thickBot="1" x14ac:dyDescent="0.25">
      <c r="A78" s="14"/>
      <c r="F78" s="14"/>
      <c r="G78" s="351" t="s">
        <v>175</v>
      </c>
      <c r="H78" s="351" t="s">
        <v>176</v>
      </c>
      <c r="I78" s="351" t="s">
        <v>177</v>
      </c>
      <c r="J78" s="351" t="s">
        <v>178</v>
      </c>
      <c r="K78" s="351" t="s">
        <v>179</v>
      </c>
      <c r="L78" s="351" t="s">
        <v>180</v>
      </c>
      <c r="M78" s="351" t="s">
        <v>181</v>
      </c>
      <c r="N78" s="351" t="s">
        <v>182</v>
      </c>
      <c r="O78" s="351" t="s">
        <v>183</v>
      </c>
      <c r="P78" s="351" t="s">
        <v>205</v>
      </c>
      <c r="Q78" s="351" t="s">
        <v>184</v>
      </c>
      <c r="R78" s="352" t="s">
        <v>185</v>
      </c>
      <c r="S78" s="450" t="s">
        <v>152</v>
      </c>
      <c r="T78" s="451" t="s">
        <v>153</v>
      </c>
      <c r="U78" s="451" t="s">
        <v>154</v>
      </c>
    </row>
    <row r="79" spans="1:23" s="2" customFormat="1" x14ac:dyDescent="0.2">
      <c r="A79" s="64" t="s">
        <v>74</v>
      </c>
      <c r="B79" s="45" t="s">
        <v>70</v>
      </c>
      <c r="C79" s="45" t="s">
        <v>89</v>
      </c>
      <c r="D79" s="45"/>
      <c r="E79" s="45" t="s">
        <v>81</v>
      </c>
      <c r="F79" s="182">
        <v>10.74</v>
      </c>
      <c r="G79" s="292">
        <f t="shared" ref="G79:R79" si="2">$F33*G33</f>
        <v>0</v>
      </c>
      <c r="H79" s="292">
        <f t="shared" si="2"/>
        <v>0</v>
      </c>
      <c r="I79" s="292">
        <f t="shared" si="2"/>
        <v>0</v>
      </c>
      <c r="J79" s="292">
        <f t="shared" si="2"/>
        <v>0</v>
      </c>
      <c r="K79" s="292">
        <f t="shared" si="2"/>
        <v>0</v>
      </c>
      <c r="L79" s="292">
        <f t="shared" si="2"/>
        <v>0</v>
      </c>
      <c r="M79" s="292">
        <f t="shared" si="2"/>
        <v>0</v>
      </c>
      <c r="N79" s="292">
        <f t="shared" si="2"/>
        <v>0</v>
      </c>
      <c r="O79" s="292">
        <f t="shared" si="2"/>
        <v>0</v>
      </c>
      <c r="P79" s="292">
        <f t="shared" si="2"/>
        <v>0</v>
      </c>
      <c r="Q79" s="292">
        <f t="shared" si="2"/>
        <v>0</v>
      </c>
      <c r="R79" s="376">
        <f t="shared" si="2"/>
        <v>0</v>
      </c>
      <c r="S79" s="276">
        <v>0</v>
      </c>
      <c r="T79" s="219">
        <v>0</v>
      </c>
      <c r="U79" s="449">
        <v>0</v>
      </c>
    </row>
    <row r="80" spans="1:23" s="2" customFormat="1" x14ac:dyDescent="0.2">
      <c r="A80" s="64" t="s">
        <v>74</v>
      </c>
      <c r="B80" s="45" t="s">
        <v>61</v>
      </c>
      <c r="C80" s="45" t="s">
        <v>80</v>
      </c>
      <c r="D80" s="45"/>
      <c r="E80" s="45" t="s">
        <v>81</v>
      </c>
      <c r="F80" s="182">
        <v>10.74</v>
      </c>
      <c r="G80" s="292">
        <f t="shared" ref="G80:R80" si="3">$F34*G34</f>
        <v>0</v>
      </c>
      <c r="H80" s="292">
        <f t="shared" si="3"/>
        <v>0</v>
      </c>
      <c r="I80" s="292">
        <f t="shared" si="3"/>
        <v>0</v>
      </c>
      <c r="J80" s="292">
        <f t="shared" si="3"/>
        <v>0</v>
      </c>
      <c r="K80" s="292">
        <f t="shared" si="3"/>
        <v>0</v>
      </c>
      <c r="L80" s="292">
        <f t="shared" si="3"/>
        <v>0</v>
      </c>
      <c r="M80" s="292">
        <f t="shared" si="3"/>
        <v>0</v>
      </c>
      <c r="N80" s="292">
        <f t="shared" si="3"/>
        <v>0</v>
      </c>
      <c r="O80" s="292">
        <f t="shared" si="3"/>
        <v>0</v>
      </c>
      <c r="P80" s="292">
        <f t="shared" si="3"/>
        <v>0</v>
      </c>
      <c r="Q80" s="292">
        <f t="shared" si="3"/>
        <v>0</v>
      </c>
      <c r="R80" s="376">
        <f t="shared" si="3"/>
        <v>0</v>
      </c>
      <c r="S80" s="64">
        <v>0</v>
      </c>
      <c r="T80" s="185">
        <v>0</v>
      </c>
      <c r="U80" s="220">
        <v>0</v>
      </c>
    </row>
    <row r="81" spans="1:21" s="2" customFormat="1" ht="14" customHeight="1" x14ac:dyDescent="0.2">
      <c r="A81" s="64" t="s">
        <v>74</v>
      </c>
      <c r="B81" s="45" t="s">
        <v>61</v>
      </c>
      <c r="C81" s="45" t="s">
        <v>83</v>
      </c>
      <c r="D81" s="45"/>
      <c r="E81" s="45" t="s">
        <v>81</v>
      </c>
      <c r="F81" s="182">
        <v>10.74</v>
      </c>
      <c r="G81" s="292">
        <f t="shared" ref="G81:R81" si="4">$F35*G35</f>
        <v>0</v>
      </c>
      <c r="H81" s="292">
        <f t="shared" si="4"/>
        <v>0</v>
      </c>
      <c r="I81" s="292">
        <f t="shared" si="4"/>
        <v>0</v>
      </c>
      <c r="J81" s="292">
        <f t="shared" si="4"/>
        <v>0</v>
      </c>
      <c r="K81" s="292">
        <f t="shared" si="4"/>
        <v>0</v>
      </c>
      <c r="L81" s="292">
        <f t="shared" si="4"/>
        <v>0</v>
      </c>
      <c r="M81" s="292">
        <f t="shared" si="4"/>
        <v>0</v>
      </c>
      <c r="N81" s="292">
        <f t="shared" si="4"/>
        <v>0</v>
      </c>
      <c r="O81" s="292">
        <f t="shared" si="4"/>
        <v>0</v>
      </c>
      <c r="P81" s="292">
        <f t="shared" si="4"/>
        <v>0</v>
      </c>
      <c r="Q81" s="292">
        <f t="shared" si="4"/>
        <v>0</v>
      </c>
      <c r="R81" s="376">
        <f t="shared" si="4"/>
        <v>0</v>
      </c>
      <c r="S81" s="64">
        <v>0</v>
      </c>
      <c r="T81" s="185">
        <v>0</v>
      </c>
      <c r="U81" s="220">
        <v>0</v>
      </c>
    </row>
    <row r="82" spans="1:21" s="2" customFormat="1" x14ac:dyDescent="0.2">
      <c r="A82" s="64" t="s">
        <v>74</v>
      </c>
      <c r="B82" s="45" t="s">
        <v>70</v>
      </c>
      <c r="C82" s="45" t="s">
        <v>87</v>
      </c>
      <c r="D82" s="45"/>
      <c r="E82" s="45" t="s">
        <v>88</v>
      </c>
      <c r="F82" s="182">
        <v>13.27</v>
      </c>
      <c r="G82" s="292">
        <f t="shared" ref="G82:R82" si="5">$F36*G36</f>
        <v>0</v>
      </c>
      <c r="H82" s="292">
        <f t="shared" si="5"/>
        <v>0</v>
      </c>
      <c r="I82" s="292">
        <f t="shared" si="5"/>
        <v>0</v>
      </c>
      <c r="J82" s="292">
        <f t="shared" si="5"/>
        <v>0</v>
      </c>
      <c r="K82" s="292">
        <f t="shared" si="5"/>
        <v>0</v>
      </c>
      <c r="L82" s="292">
        <f t="shared" si="5"/>
        <v>0</v>
      </c>
      <c r="M82" s="292">
        <f t="shared" si="5"/>
        <v>0</v>
      </c>
      <c r="N82" s="292">
        <f t="shared" si="5"/>
        <v>0</v>
      </c>
      <c r="O82" s="292">
        <f t="shared" si="5"/>
        <v>0</v>
      </c>
      <c r="P82" s="292">
        <f t="shared" si="5"/>
        <v>0</v>
      </c>
      <c r="Q82" s="292">
        <f t="shared" si="5"/>
        <v>0</v>
      </c>
      <c r="R82" s="376">
        <f t="shared" si="5"/>
        <v>0</v>
      </c>
      <c r="S82" s="64">
        <v>0</v>
      </c>
      <c r="T82" s="185">
        <v>0</v>
      </c>
      <c r="U82" s="220">
        <v>0</v>
      </c>
    </row>
    <row r="83" spans="1:21" s="2" customFormat="1" x14ac:dyDescent="0.2">
      <c r="A83" s="64" t="s">
        <v>74</v>
      </c>
      <c r="B83" s="45" t="s">
        <v>70</v>
      </c>
      <c r="C83" s="45" t="s">
        <v>87</v>
      </c>
      <c r="D83" s="45"/>
      <c r="E83" s="45" t="s">
        <v>148</v>
      </c>
      <c r="F83" s="182">
        <v>59.48</v>
      </c>
      <c r="G83" s="292">
        <f t="shared" ref="G83:R83" si="6">$F37*G37</f>
        <v>0</v>
      </c>
      <c r="H83" s="292">
        <f t="shared" si="6"/>
        <v>0</v>
      </c>
      <c r="I83" s="292">
        <f t="shared" si="6"/>
        <v>0</v>
      </c>
      <c r="J83" s="292">
        <f t="shared" si="6"/>
        <v>0</v>
      </c>
      <c r="K83" s="292">
        <f t="shared" si="6"/>
        <v>0</v>
      </c>
      <c r="L83" s="292">
        <f t="shared" si="6"/>
        <v>0</v>
      </c>
      <c r="M83" s="292">
        <f t="shared" si="6"/>
        <v>0</v>
      </c>
      <c r="N83" s="292">
        <f t="shared" si="6"/>
        <v>0</v>
      </c>
      <c r="O83" s="292">
        <f t="shared" si="6"/>
        <v>0</v>
      </c>
      <c r="P83" s="292">
        <f t="shared" si="6"/>
        <v>0</v>
      </c>
      <c r="Q83" s="292">
        <f t="shared" si="6"/>
        <v>0</v>
      </c>
      <c r="R83" s="376">
        <f t="shared" si="6"/>
        <v>0</v>
      </c>
      <c r="S83" s="64">
        <v>0</v>
      </c>
      <c r="T83" s="185">
        <v>0</v>
      </c>
      <c r="U83" s="220">
        <v>0</v>
      </c>
    </row>
    <row r="84" spans="1:21" s="2" customFormat="1" x14ac:dyDescent="0.2">
      <c r="A84" s="64" t="s">
        <v>74</v>
      </c>
      <c r="B84" s="45" t="s">
        <v>70</v>
      </c>
      <c r="C84" s="45" t="s">
        <v>80</v>
      </c>
      <c r="D84" s="45"/>
      <c r="E84" s="45" t="s">
        <v>149</v>
      </c>
      <c r="F84" s="182">
        <v>59.48</v>
      </c>
      <c r="G84" s="292">
        <f t="shared" ref="G84:R84" si="7">$F38*G38</f>
        <v>0</v>
      </c>
      <c r="H84" s="292">
        <f t="shared" si="7"/>
        <v>0</v>
      </c>
      <c r="I84" s="292">
        <f t="shared" si="7"/>
        <v>0</v>
      </c>
      <c r="J84" s="292">
        <f t="shared" si="7"/>
        <v>0</v>
      </c>
      <c r="K84" s="292">
        <f t="shared" si="7"/>
        <v>0</v>
      </c>
      <c r="L84" s="292">
        <f t="shared" si="7"/>
        <v>0</v>
      </c>
      <c r="M84" s="292">
        <f t="shared" si="7"/>
        <v>0</v>
      </c>
      <c r="N84" s="292">
        <f t="shared" si="7"/>
        <v>0</v>
      </c>
      <c r="O84" s="292">
        <f t="shared" si="7"/>
        <v>0</v>
      </c>
      <c r="P84" s="292">
        <f t="shared" si="7"/>
        <v>0</v>
      </c>
      <c r="Q84" s="292">
        <f t="shared" si="7"/>
        <v>0</v>
      </c>
      <c r="R84" s="376">
        <f t="shared" si="7"/>
        <v>0</v>
      </c>
      <c r="S84" s="64">
        <v>0</v>
      </c>
      <c r="T84" s="185">
        <v>0</v>
      </c>
      <c r="U84" s="220">
        <v>0</v>
      </c>
    </row>
    <row r="85" spans="1:21" s="2" customFormat="1" ht="14.75" customHeight="1" x14ac:dyDescent="0.2">
      <c r="A85" s="64" t="s">
        <v>74</v>
      </c>
      <c r="B85" s="45" t="s">
        <v>70</v>
      </c>
      <c r="C85" s="45" t="s">
        <v>75</v>
      </c>
      <c r="D85" s="45"/>
      <c r="E85" s="45" t="s">
        <v>149</v>
      </c>
      <c r="F85" s="182">
        <v>59.48</v>
      </c>
      <c r="G85" s="292">
        <f t="shared" ref="G85:R85" si="8">$F39*G39</f>
        <v>0</v>
      </c>
      <c r="H85" s="292">
        <f t="shared" si="8"/>
        <v>0</v>
      </c>
      <c r="I85" s="292">
        <f t="shared" si="8"/>
        <v>0</v>
      </c>
      <c r="J85" s="292">
        <f t="shared" si="8"/>
        <v>0</v>
      </c>
      <c r="K85" s="292">
        <f t="shared" si="8"/>
        <v>0</v>
      </c>
      <c r="L85" s="292">
        <f t="shared" si="8"/>
        <v>0</v>
      </c>
      <c r="M85" s="292">
        <f t="shared" si="8"/>
        <v>0</v>
      </c>
      <c r="N85" s="292">
        <f t="shared" si="8"/>
        <v>0</v>
      </c>
      <c r="O85" s="292">
        <f t="shared" si="8"/>
        <v>0</v>
      </c>
      <c r="P85" s="292">
        <f t="shared" si="8"/>
        <v>0</v>
      </c>
      <c r="Q85" s="292">
        <f t="shared" si="8"/>
        <v>0</v>
      </c>
      <c r="R85" s="376">
        <f t="shared" si="8"/>
        <v>0</v>
      </c>
      <c r="S85" s="64">
        <v>0</v>
      </c>
      <c r="T85" s="185">
        <v>0</v>
      </c>
      <c r="U85" s="220">
        <v>0</v>
      </c>
    </row>
    <row r="86" spans="1:21" s="2" customFormat="1" x14ac:dyDescent="0.2">
      <c r="A86" s="64" t="s">
        <v>74</v>
      </c>
      <c r="B86" s="45" t="s">
        <v>70</v>
      </c>
      <c r="C86" s="45" t="s">
        <v>77</v>
      </c>
      <c r="D86" s="45"/>
      <c r="E86" s="45" t="s">
        <v>150</v>
      </c>
      <c r="F86" s="182">
        <f>21.66*1.01</f>
        <v>21.8766</v>
      </c>
      <c r="G86" s="292">
        <f t="shared" ref="G86:R86" si="9">$F40*G40</f>
        <v>0</v>
      </c>
      <c r="H86" s="292">
        <f t="shared" si="9"/>
        <v>0</v>
      </c>
      <c r="I86" s="292">
        <f t="shared" si="9"/>
        <v>0</v>
      </c>
      <c r="J86" s="292">
        <f t="shared" si="9"/>
        <v>0</v>
      </c>
      <c r="K86" s="292">
        <f t="shared" si="9"/>
        <v>0</v>
      </c>
      <c r="L86" s="292">
        <f t="shared" si="9"/>
        <v>0</v>
      </c>
      <c r="M86" s="292">
        <f t="shared" si="9"/>
        <v>0</v>
      </c>
      <c r="N86" s="292">
        <f t="shared" si="9"/>
        <v>0</v>
      </c>
      <c r="O86" s="292">
        <f t="shared" si="9"/>
        <v>0</v>
      </c>
      <c r="P86" s="292">
        <f t="shared" si="9"/>
        <v>0</v>
      </c>
      <c r="Q86" s="292">
        <f t="shared" si="9"/>
        <v>0</v>
      </c>
      <c r="R86" s="376">
        <f t="shared" si="9"/>
        <v>0</v>
      </c>
      <c r="S86" s="64">
        <v>0</v>
      </c>
      <c r="T86" s="185">
        <v>0</v>
      </c>
      <c r="U86" s="220">
        <v>0</v>
      </c>
    </row>
    <row r="87" spans="1:21" s="2" customFormat="1" x14ac:dyDescent="0.2">
      <c r="A87" s="64" t="s">
        <v>74</v>
      </c>
      <c r="B87" s="45" t="s">
        <v>70</v>
      </c>
      <c r="C87" s="45" t="s">
        <v>89</v>
      </c>
      <c r="D87" s="45"/>
      <c r="E87" s="45" t="s">
        <v>150</v>
      </c>
      <c r="F87" s="182">
        <f>21.66*1.01</f>
        <v>21.8766</v>
      </c>
      <c r="G87" s="292">
        <f t="shared" ref="G87:R87" si="10">$F41*G41</f>
        <v>0</v>
      </c>
      <c r="H87" s="292">
        <f t="shared" si="10"/>
        <v>0</v>
      </c>
      <c r="I87" s="292">
        <f t="shared" si="10"/>
        <v>0</v>
      </c>
      <c r="J87" s="292">
        <f t="shared" si="10"/>
        <v>0</v>
      </c>
      <c r="K87" s="292">
        <f t="shared" si="10"/>
        <v>0</v>
      </c>
      <c r="L87" s="292">
        <f t="shared" si="10"/>
        <v>0</v>
      </c>
      <c r="M87" s="292">
        <f t="shared" si="10"/>
        <v>0</v>
      </c>
      <c r="N87" s="292">
        <f t="shared" si="10"/>
        <v>0</v>
      </c>
      <c r="O87" s="292">
        <f t="shared" si="10"/>
        <v>0</v>
      </c>
      <c r="P87" s="292">
        <f t="shared" si="10"/>
        <v>0</v>
      </c>
      <c r="Q87" s="292">
        <f t="shared" si="10"/>
        <v>0</v>
      </c>
      <c r="R87" s="376">
        <f t="shared" si="10"/>
        <v>0</v>
      </c>
      <c r="S87" s="64">
        <v>0</v>
      </c>
      <c r="T87" s="185">
        <v>0</v>
      </c>
      <c r="U87" s="220">
        <v>0</v>
      </c>
    </row>
    <row r="88" spans="1:21" s="2" customFormat="1" ht="15.5" customHeight="1" thickBot="1" x14ac:dyDescent="0.25">
      <c r="S88" s="412">
        <f>SUM(S79:S87)</f>
        <v>0</v>
      </c>
      <c r="T88" s="413">
        <f>SUM(T79:T87)</f>
        <v>0</v>
      </c>
      <c r="U88" s="301">
        <f>SUM(U79:U87)</f>
        <v>0</v>
      </c>
    </row>
    <row r="89" spans="1:21" s="2" customFormat="1" ht="16" thickBot="1" x14ac:dyDescent="0.25">
      <c r="A89" s="14"/>
      <c r="G89" s="40"/>
      <c r="H89" s="40"/>
      <c r="I89" s="40"/>
      <c r="J89" s="40"/>
      <c r="K89" s="40"/>
      <c r="L89" s="40"/>
      <c r="M89" s="111"/>
      <c r="N89" s="112"/>
      <c r="T89" s="85"/>
    </row>
    <row r="90" spans="1:21" s="152" customFormat="1" ht="20" thickBot="1" x14ac:dyDescent="0.25">
      <c r="A90" s="14"/>
      <c r="G90" s="153"/>
      <c r="H90" s="41"/>
      <c r="I90" s="41"/>
      <c r="J90" s="41"/>
      <c r="K90" s="41"/>
      <c r="L90" s="41"/>
      <c r="M90" s="111"/>
      <c r="Q90" s="418"/>
      <c r="R90" s="419" t="s">
        <v>209</v>
      </c>
      <c r="S90" s="420">
        <f>S74+S88</f>
        <v>381870</v>
      </c>
      <c r="T90" s="421">
        <f>T74+T88</f>
        <v>6495085.6039999994</v>
      </c>
      <c r="U90" s="422">
        <f>U74+U88</f>
        <v>5504585.0493900012</v>
      </c>
    </row>
    <row r="91" spans="1:21" s="152" customFormat="1" ht="19" x14ac:dyDescent="0.2">
      <c r="A91" s="14"/>
      <c r="G91" s="153"/>
      <c r="H91" s="41"/>
      <c r="I91" s="41"/>
      <c r="J91" s="41"/>
      <c r="K91" s="41"/>
      <c r="L91" s="41"/>
      <c r="M91" s="111"/>
      <c r="P91" s="2"/>
      <c r="Q91" s="2"/>
      <c r="R91" s="2"/>
      <c r="S91" s="414"/>
      <c r="T91" s="415"/>
      <c r="U91" s="158"/>
    </row>
    <row r="92" spans="1:21" s="152" customFormat="1" ht="19" x14ac:dyDescent="0.2">
      <c r="A92" s="14"/>
      <c r="G92" s="153"/>
      <c r="H92" s="41"/>
      <c r="I92" s="41"/>
      <c r="J92" s="41"/>
      <c r="K92" s="41"/>
      <c r="L92" s="41"/>
      <c r="M92" s="111"/>
      <c r="P92" s="2"/>
      <c r="Q92" s="2"/>
      <c r="R92" s="2"/>
      <c r="S92" s="414"/>
      <c r="T92" s="415"/>
      <c r="U92" s="158"/>
    </row>
  </sheetData>
  <sheetProtection algorithmName="SHA-512" hashValue="6KeHQVnMjthuglmhnTcRhh9SBKcU4URoYsFi9y58ZAz3P2FZM9Y0IW3zNlVoyZFV/L1LFLXv44lzfjO+aFznCQ==" saltValue="pjJ6r+A5bAaGM63n4scYrA==" spinCount="100000" sheet="1" objects="1" scenarios="1"/>
  <autoFilter ref="A6:U28" xr:uid="{E213C3EB-EF8F-4E5D-992B-B1F577276DA9}">
    <sortState xmlns:xlrd2="http://schemas.microsoft.com/office/spreadsheetml/2017/richdata2" ref="A7:U30">
      <sortCondition ref="C6:C28"/>
    </sortState>
  </autoFilter>
  <mergeCells count="2">
    <mergeCell ref="B2:F2"/>
    <mergeCell ref="B47:F47"/>
  </mergeCells>
  <pageMargins left="0.25" right="0.25" top="0.75" bottom="0.75" header="0.3" footer="0.3"/>
  <pageSetup scale="25" orientation="landscape" horizontalDpi="300" verticalDpi="300" r:id="rId1"/>
  <customProperties>
    <customPr name="_pios_id" r:id="rId2"/>
  </customPropertie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8C3A5-2707-4C6A-86DC-E9275DEFCE96}">
  <dimension ref="C17:O20"/>
  <sheetViews>
    <sheetView zoomScale="130" zoomScaleNormal="130" workbookViewId="0">
      <selection activeCell="C24" sqref="C24"/>
    </sheetView>
  </sheetViews>
  <sheetFormatPr baseColWidth="10" defaultColWidth="8.83203125" defaultRowHeight="15" x14ac:dyDescent="0.2"/>
  <cols>
    <col min="7" max="8" width="9.6640625" bestFit="1" customWidth="1"/>
    <col min="15" max="15" width="13.6640625" customWidth="1"/>
  </cols>
  <sheetData>
    <row r="17" spans="3:15" x14ac:dyDescent="0.2">
      <c r="G17" t="s">
        <v>215</v>
      </c>
      <c r="O17">
        <v>5497466.7000000002</v>
      </c>
    </row>
    <row r="18" spans="3:15" x14ac:dyDescent="0.2">
      <c r="D18" t="s">
        <v>212</v>
      </c>
      <c r="E18" t="s">
        <v>214</v>
      </c>
      <c r="G18">
        <v>6081066.2999999998</v>
      </c>
      <c r="O18" s="135">
        <f>O17/0.8475</f>
        <v>6486686.3716814155</v>
      </c>
    </row>
    <row r="19" spans="3:15" x14ac:dyDescent="0.2">
      <c r="C19" t="s">
        <v>213</v>
      </c>
      <c r="D19">
        <v>0.93959999999999999</v>
      </c>
      <c r="E19">
        <v>0.84750000000000003</v>
      </c>
      <c r="G19">
        <f>G18/D19</f>
        <v>6471973.4993614303</v>
      </c>
      <c r="H19">
        <f>G18/E19</f>
        <v>7175299.4690265479</v>
      </c>
    </row>
    <row r="20" spans="3:15" x14ac:dyDescent="0.2">
      <c r="G20" t="s">
        <v>212</v>
      </c>
      <c r="H20" t="s">
        <v>216</v>
      </c>
    </row>
  </sheetData>
  <pageMargins left="0.7" right="0.7" top="0.75" bottom="0.75" header="0.3" footer="0.3"/>
  <customProperties>
    <customPr name="_pios_id" r:id="rId1"/>
  </customPropertie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EB6D5-552D-419D-B7E8-F0096A523D00}">
  <dimension ref="A1:AH56"/>
  <sheetViews>
    <sheetView zoomScale="90" zoomScaleNormal="90" workbookViewId="0">
      <pane xSplit="5" ySplit="6" topLeftCell="L8" activePane="bottomRight" state="frozen"/>
      <selection pane="topRight" activeCell="F1" sqref="F1"/>
      <selection pane="bottomLeft" activeCell="A5" sqref="A5"/>
      <selection pane="bottomRight" activeCell="G27" sqref="G27"/>
    </sheetView>
  </sheetViews>
  <sheetFormatPr baseColWidth="10" defaultColWidth="8.83203125" defaultRowHeight="15" x14ac:dyDescent="0.2"/>
  <cols>
    <col min="4" max="4" width="26.6640625" bestFit="1" customWidth="1"/>
    <col min="6" max="6" width="13.5" bestFit="1" customWidth="1"/>
    <col min="7" max="7" width="12.5" customWidth="1"/>
    <col min="8" max="10" width="10.6640625" customWidth="1"/>
    <col min="11" max="11" width="12.5" customWidth="1"/>
    <col min="12" max="18" width="8.6640625" customWidth="1"/>
    <col min="19" max="19" width="15.33203125" style="75" customWidth="1"/>
    <col min="20" max="20" width="19" customWidth="1"/>
    <col min="21" max="22" width="16.6640625" customWidth="1"/>
    <col min="23" max="23" width="24.33203125" customWidth="1"/>
    <col min="24" max="24" width="16.5" customWidth="1"/>
    <col min="25" max="25" width="17.6640625" customWidth="1"/>
    <col min="26" max="27" width="15.33203125" customWidth="1"/>
    <col min="28" max="28" width="17.5" customWidth="1"/>
    <col min="29" max="29" width="18.5" customWidth="1"/>
    <col min="31" max="31" width="19" bestFit="1" customWidth="1"/>
    <col min="32" max="32" width="36" customWidth="1"/>
    <col min="33" max="33" width="18.5" customWidth="1"/>
  </cols>
  <sheetData>
    <row r="1" spans="1:32" s="2" customFormat="1" x14ac:dyDescent="0.2">
      <c r="B1" s="2" t="s">
        <v>0</v>
      </c>
      <c r="S1" s="19"/>
    </row>
    <row r="2" spans="1:32" s="2" customFormat="1" x14ac:dyDescent="0.2">
      <c r="B2" s="2" t="s">
        <v>1</v>
      </c>
      <c r="S2" s="19"/>
    </row>
    <row r="3" spans="1:32" s="2" customFormat="1" x14ac:dyDescent="0.2">
      <c r="A3" s="14" t="s">
        <v>2</v>
      </c>
    </row>
    <row r="4" spans="1:32" s="2" customFormat="1" x14ac:dyDescent="0.2">
      <c r="A4" s="14"/>
      <c r="S4" s="19"/>
    </row>
    <row r="5" spans="1:32" s="2" customFormat="1" x14ac:dyDescent="0.2">
      <c r="A5" s="14"/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  <c r="L5" s="2" t="s">
        <v>9</v>
      </c>
      <c r="M5" s="2" t="s">
        <v>9</v>
      </c>
      <c r="N5" s="2" t="s">
        <v>9</v>
      </c>
      <c r="O5" s="2" t="s">
        <v>9</v>
      </c>
      <c r="P5" s="2" t="s">
        <v>9</v>
      </c>
      <c r="Q5" s="2" t="s">
        <v>9</v>
      </c>
      <c r="R5" s="2" t="s">
        <v>9</v>
      </c>
      <c r="S5" s="19" t="s">
        <v>9</v>
      </c>
      <c r="T5" s="2" t="s">
        <v>9</v>
      </c>
      <c r="U5" s="2" t="s">
        <v>10</v>
      </c>
      <c r="V5" s="2" t="s">
        <v>10</v>
      </c>
      <c r="W5" s="2" t="s">
        <v>11</v>
      </c>
      <c r="X5" s="2" t="s">
        <v>11</v>
      </c>
    </row>
    <row r="6" spans="1:32" s="2" customFormat="1" ht="30.5" customHeight="1" x14ac:dyDescent="0.2">
      <c r="A6" s="45"/>
      <c r="B6" s="45" t="s">
        <v>12</v>
      </c>
      <c r="C6" s="45"/>
      <c r="D6" s="123" t="s">
        <v>13</v>
      </c>
      <c r="E6" s="59" t="s">
        <v>14</v>
      </c>
      <c r="F6" s="59" t="s">
        <v>15</v>
      </c>
      <c r="G6" s="59" t="s">
        <v>16</v>
      </c>
      <c r="H6" s="59" t="s">
        <v>17</v>
      </c>
      <c r="I6" s="59" t="s">
        <v>18</v>
      </c>
      <c r="J6" s="59" t="s">
        <v>19</v>
      </c>
      <c r="K6" s="59" t="s">
        <v>20</v>
      </c>
      <c r="L6" s="59" t="s">
        <v>21</v>
      </c>
      <c r="M6" s="59" t="s">
        <v>22</v>
      </c>
      <c r="N6" s="59" t="s">
        <v>23</v>
      </c>
      <c r="O6" s="59" t="s">
        <v>24</v>
      </c>
      <c r="P6" s="59" t="s">
        <v>25</v>
      </c>
      <c r="Q6" s="59" t="s">
        <v>26</v>
      </c>
      <c r="R6" s="60" t="s">
        <v>27</v>
      </c>
      <c r="S6" s="91" t="s">
        <v>28</v>
      </c>
      <c r="T6" s="83" t="s">
        <v>29</v>
      </c>
      <c r="U6" s="61" t="s">
        <v>30</v>
      </c>
      <c r="V6" s="61" t="s">
        <v>31</v>
      </c>
      <c r="W6" s="64" t="s">
        <v>32</v>
      </c>
      <c r="X6" s="64" t="s">
        <v>33</v>
      </c>
      <c r="Y6" s="64" t="s">
        <v>34</v>
      </c>
      <c r="Z6" s="64" t="s">
        <v>35</v>
      </c>
      <c r="AA6" s="14" t="s">
        <v>36</v>
      </c>
      <c r="AB6" s="2" t="s">
        <v>37</v>
      </c>
      <c r="AC6" s="2" t="s">
        <v>38</v>
      </c>
      <c r="AE6" s="2" t="s">
        <v>39</v>
      </c>
      <c r="AF6" s="2" t="s">
        <v>40</v>
      </c>
    </row>
    <row r="7" spans="1:32" s="2" customFormat="1" x14ac:dyDescent="0.2">
      <c r="A7" s="45" t="s">
        <v>41</v>
      </c>
      <c r="B7" s="129" t="s">
        <v>42</v>
      </c>
      <c r="C7" s="45" t="s">
        <v>43</v>
      </c>
      <c r="D7" s="124" t="s">
        <v>44</v>
      </c>
      <c r="E7" s="50">
        <v>9.9499999999999993</v>
      </c>
      <c r="F7" s="51">
        <v>5000</v>
      </c>
      <c r="G7" s="52">
        <v>0</v>
      </c>
      <c r="H7" s="52">
        <v>7700</v>
      </c>
      <c r="I7" s="53">
        <v>13900</v>
      </c>
      <c r="J7" s="54">
        <v>7300</v>
      </c>
      <c r="K7" s="55">
        <v>0</v>
      </c>
      <c r="L7" s="56">
        <v>0</v>
      </c>
      <c r="M7" s="56">
        <v>0</v>
      </c>
      <c r="N7" s="56">
        <v>0</v>
      </c>
      <c r="O7" s="56">
        <v>0</v>
      </c>
      <c r="P7" s="57"/>
      <c r="Q7" s="57">
        <v>600</v>
      </c>
      <c r="R7" s="58">
        <f>SUM(F7:Q7)</f>
        <v>34500</v>
      </c>
      <c r="S7" s="92">
        <f>E7*R7</f>
        <v>343275</v>
      </c>
      <c r="T7" s="62">
        <f>S7*0.9396</f>
        <v>322541.19</v>
      </c>
      <c r="U7" s="68">
        <v>987825.53960126685</v>
      </c>
      <c r="V7" s="72">
        <v>97255.190999999992</v>
      </c>
      <c r="W7" s="73">
        <v>445908.36241789145</v>
      </c>
      <c r="X7" s="71">
        <v>44911.739000000001</v>
      </c>
      <c r="Y7" s="79">
        <v>555298.25503577851</v>
      </c>
      <c r="Z7" s="76">
        <v>57400</v>
      </c>
      <c r="AA7" s="136"/>
      <c r="AB7" s="112">
        <f>Z7*0.45</f>
        <v>25830</v>
      </c>
      <c r="AC7" s="2" t="s">
        <v>45</v>
      </c>
      <c r="AD7" s="2" t="s">
        <v>43</v>
      </c>
      <c r="AE7" s="13">
        <f>E7*AB7</f>
        <v>257008.49999999997</v>
      </c>
      <c r="AF7" s="12">
        <f>AE7*0.9396</f>
        <v>241485.18659999996</v>
      </c>
    </row>
    <row r="8" spans="1:32" s="2" customFormat="1" x14ac:dyDescent="0.2">
      <c r="A8" s="45" t="s">
        <v>41</v>
      </c>
      <c r="B8" s="129" t="s">
        <v>42</v>
      </c>
      <c r="C8" s="45" t="s">
        <v>43</v>
      </c>
      <c r="D8" s="125" t="s">
        <v>46</v>
      </c>
      <c r="E8" s="3">
        <v>9.9499999999999993</v>
      </c>
      <c r="F8" s="15">
        <v>7000</v>
      </c>
      <c r="G8" s="16">
        <v>0</v>
      </c>
      <c r="H8" s="4"/>
      <c r="I8" s="4"/>
      <c r="J8" s="31">
        <v>0</v>
      </c>
      <c r="K8" s="18"/>
      <c r="L8" s="18"/>
      <c r="M8" s="18">
        <v>5500</v>
      </c>
      <c r="N8" s="18"/>
      <c r="O8" s="18">
        <v>5500</v>
      </c>
      <c r="P8" s="18"/>
      <c r="Q8" s="18"/>
      <c r="R8" s="5">
        <f t="shared" ref="R8:R25" si="0">SUM(F8:Q8)</f>
        <v>18000</v>
      </c>
      <c r="S8" s="93">
        <f t="shared" ref="S8:S12" si="1">E8*R8</f>
        <v>179100</v>
      </c>
      <c r="T8" s="62">
        <f t="shared" ref="T8:T25" si="2">S8*0.9396</f>
        <v>168282.36</v>
      </c>
      <c r="U8" s="68"/>
      <c r="V8" s="70"/>
      <c r="W8" s="73"/>
      <c r="X8" s="71"/>
      <c r="Y8" s="79"/>
      <c r="Z8" s="76"/>
      <c r="AA8" s="136"/>
      <c r="AE8" s="13">
        <f t="shared" ref="AE8:AE25" si="3">E8*AB8</f>
        <v>0</v>
      </c>
      <c r="AF8" s="12">
        <f t="shared" ref="AF8:AF25" si="4">AE8*0.9396</f>
        <v>0</v>
      </c>
    </row>
    <row r="9" spans="1:32" s="2" customFormat="1" x14ac:dyDescent="0.2">
      <c r="A9" s="45" t="s">
        <v>41</v>
      </c>
      <c r="B9" s="129" t="s">
        <v>42</v>
      </c>
      <c r="C9" s="45" t="s">
        <v>43</v>
      </c>
      <c r="D9" s="125" t="s">
        <v>47</v>
      </c>
      <c r="E9" s="3">
        <v>19.559999999999999</v>
      </c>
      <c r="F9" s="6"/>
      <c r="G9" s="6"/>
      <c r="H9" s="6"/>
      <c r="I9" s="6"/>
      <c r="J9" s="32"/>
      <c r="L9" s="43">
        <v>3300</v>
      </c>
      <c r="M9" s="43">
        <v>4400</v>
      </c>
      <c r="N9" s="43">
        <v>3300</v>
      </c>
      <c r="O9" s="43">
        <v>0</v>
      </c>
      <c r="P9" s="43">
        <v>2200</v>
      </c>
      <c r="Q9" s="43">
        <v>0</v>
      </c>
      <c r="R9" s="5">
        <f t="shared" si="0"/>
        <v>13200</v>
      </c>
      <c r="S9" s="93">
        <f t="shared" si="1"/>
        <v>258191.99999999997</v>
      </c>
      <c r="T9" s="62">
        <f t="shared" si="2"/>
        <v>242597.20319999996</v>
      </c>
      <c r="U9" s="68"/>
      <c r="V9" s="70"/>
      <c r="W9" s="73"/>
      <c r="X9" s="71"/>
      <c r="Y9" s="77"/>
      <c r="Z9" s="78"/>
      <c r="AA9" s="137"/>
      <c r="AB9" s="112">
        <v>13200</v>
      </c>
      <c r="AC9" s="2" t="s">
        <v>45</v>
      </c>
      <c r="AD9" s="2" t="s">
        <v>43</v>
      </c>
      <c r="AE9" s="13">
        <f t="shared" si="3"/>
        <v>258191.99999999997</v>
      </c>
      <c r="AF9" s="12">
        <f t="shared" si="4"/>
        <v>242597.20319999996</v>
      </c>
    </row>
    <row r="10" spans="1:32" s="2" customFormat="1" x14ac:dyDescent="0.2">
      <c r="A10" s="45" t="s">
        <v>41</v>
      </c>
      <c r="B10" s="129" t="s">
        <v>42</v>
      </c>
      <c r="C10" s="45" t="s">
        <v>43</v>
      </c>
      <c r="D10" s="125" t="s">
        <v>48</v>
      </c>
      <c r="E10" s="3">
        <v>19.559999999999999</v>
      </c>
      <c r="F10" s="15">
        <v>1000</v>
      </c>
      <c r="G10" s="6"/>
      <c r="H10" s="21">
        <v>0</v>
      </c>
      <c r="I10" s="6">
        <v>500</v>
      </c>
      <c r="J10" s="32"/>
      <c r="K10" s="37">
        <v>2900</v>
      </c>
      <c r="L10" s="43">
        <v>0</v>
      </c>
      <c r="M10" s="43">
        <v>0</v>
      </c>
      <c r="N10" s="43">
        <v>0</v>
      </c>
      <c r="O10" s="18">
        <v>700</v>
      </c>
      <c r="P10" s="18"/>
      <c r="Q10" s="18">
        <v>700</v>
      </c>
      <c r="R10" s="5">
        <f t="shared" si="0"/>
        <v>5800</v>
      </c>
      <c r="S10" s="93">
        <f t="shared" si="1"/>
        <v>113447.99999999999</v>
      </c>
      <c r="T10" s="62">
        <f t="shared" si="2"/>
        <v>106595.74079999999</v>
      </c>
      <c r="U10" s="68">
        <v>190217.71812156661</v>
      </c>
      <c r="V10" s="72">
        <v>10350</v>
      </c>
      <c r="W10" s="73">
        <v>370180.8496659103</v>
      </c>
      <c r="X10" s="71">
        <v>21135.579000000002</v>
      </c>
      <c r="Y10" s="79">
        <v>224286.5677861321</v>
      </c>
      <c r="Z10" s="76">
        <v>13200</v>
      </c>
      <c r="AA10" s="136"/>
      <c r="AB10" s="134">
        <v>5800</v>
      </c>
      <c r="AC10" s="2" t="s">
        <v>45</v>
      </c>
      <c r="AD10" s="2" t="s">
        <v>43</v>
      </c>
      <c r="AE10" s="13">
        <f t="shared" si="3"/>
        <v>113447.99999999999</v>
      </c>
      <c r="AF10" s="12">
        <f t="shared" si="4"/>
        <v>106595.74079999999</v>
      </c>
    </row>
    <row r="11" spans="1:32" s="2" customFormat="1" x14ac:dyDescent="0.2">
      <c r="A11" s="45" t="s">
        <v>41</v>
      </c>
      <c r="B11" s="129" t="s">
        <v>42</v>
      </c>
      <c r="C11" s="45" t="s">
        <v>43</v>
      </c>
      <c r="D11" s="125" t="s">
        <v>49</v>
      </c>
      <c r="E11" s="3">
        <v>13.27</v>
      </c>
      <c r="F11" s="6">
        <v>0</v>
      </c>
      <c r="G11" s="4">
        <v>0</v>
      </c>
      <c r="H11" s="16">
        <v>3000</v>
      </c>
      <c r="I11" s="4"/>
      <c r="J11" s="30">
        <v>8400</v>
      </c>
      <c r="K11" s="37">
        <v>0</v>
      </c>
      <c r="L11" s="18">
        <v>2000</v>
      </c>
      <c r="M11" s="22">
        <v>2000</v>
      </c>
      <c r="N11" s="18">
        <v>2000</v>
      </c>
      <c r="O11" s="18">
        <v>2000</v>
      </c>
      <c r="P11" s="18">
        <v>2000</v>
      </c>
      <c r="Q11" s="18">
        <v>2000</v>
      </c>
      <c r="R11" s="5">
        <f t="shared" si="0"/>
        <v>23400</v>
      </c>
      <c r="S11" s="93">
        <f t="shared" si="1"/>
        <v>310518</v>
      </c>
      <c r="T11" s="62">
        <f t="shared" si="2"/>
        <v>291762.71279999998</v>
      </c>
      <c r="U11" s="68">
        <v>393324.40939754643</v>
      </c>
      <c r="V11" s="72">
        <v>31545.559000000001</v>
      </c>
      <c r="W11" s="73">
        <v>195501.77852427188</v>
      </c>
      <c r="X11" s="71">
        <v>15679.71</v>
      </c>
      <c r="Y11" s="79">
        <v>199495.30201422083</v>
      </c>
      <c r="Z11" s="76">
        <v>16000</v>
      </c>
      <c r="AA11" s="136"/>
      <c r="AB11" s="134">
        <v>16000</v>
      </c>
      <c r="AC11" s="2" t="s">
        <v>50</v>
      </c>
      <c r="AD11" s="2" t="s">
        <v>43</v>
      </c>
      <c r="AE11" s="13">
        <f t="shared" si="3"/>
        <v>212320</v>
      </c>
      <c r="AF11" s="12">
        <f t="shared" si="4"/>
        <v>199495.872</v>
      </c>
    </row>
    <row r="12" spans="1:32" s="2" customFormat="1" x14ac:dyDescent="0.2">
      <c r="A12" s="45" t="s">
        <v>41</v>
      </c>
      <c r="B12" s="129" t="s">
        <v>42</v>
      </c>
      <c r="C12" s="45" t="s">
        <v>43</v>
      </c>
      <c r="D12" s="125" t="s">
        <v>51</v>
      </c>
      <c r="E12" s="3">
        <v>59.48</v>
      </c>
      <c r="F12" s="23">
        <v>600</v>
      </c>
      <c r="G12" s="16">
        <v>640</v>
      </c>
      <c r="H12" s="7">
        <v>0</v>
      </c>
      <c r="I12" s="24">
        <v>720</v>
      </c>
      <c r="J12" s="33">
        <v>1340</v>
      </c>
      <c r="K12" s="37">
        <v>0</v>
      </c>
      <c r="L12" s="18">
        <v>500</v>
      </c>
      <c r="M12" s="43">
        <v>500</v>
      </c>
      <c r="N12" s="18">
        <v>500</v>
      </c>
      <c r="O12" s="18">
        <v>500</v>
      </c>
      <c r="P12" s="18"/>
      <c r="Q12" s="18">
        <v>280</v>
      </c>
      <c r="R12" s="5">
        <f t="shared" si="0"/>
        <v>5580</v>
      </c>
      <c r="S12" s="93">
        <f t="shared" si="1"/>
        <v>331898.39999999997</v>
      </c>
      <c r="T12" s="62">
        <f t="shared" si="2"/>
        <v>311851.73663999996</v>
      </c>
      <c r="U12" s="68">
        <v>325964.98792076687</v>
      </c>
      <c r="V12" s="72">
        <v>5832.5470000000005</v>
      </c>
      <c r="W12" s="73">
        <v>311287.92349117814</v>
      </c>
      <c r="X12" s="71">
        <v>5569.9269999999997</v>
      </c>
      <c r="Y12" s="79">
        <v>277200.75167896121</v>
      </c>
      <c r="Z12" s="76">
        <v>4960</v>
      </c>
      <c r="AA12" s="136"/>
      <c r="AB12" s="134">
        <v>4960</v>
      </c>
      <c r="AC12" s="2" t="s">
        <v>52</v>
      </c>
      <c r="AD12" s="2" t="s">
        <v>43</v>
      </c>
      <c r="AE12" s="13">
        <f t="shared" si="3"/>
        <v>295020.79999999999</v>
      </c>
      <c r="AF12" s="12">
        <f t="shared" si="4"/>
        <v>277201.54368</v>
      </c>
    </row>
    <row r="13" spans="1:32" s="2" customFormat="1" x14ac:dyDescent="0.2">
      <c r="A13" s="45" t="s">
        <v>41</v>
      </c>
      <c r="B13" s="129" t="s">
        <v>42</v>
      </c>
      <c r="C13" s="45" t="s">
        <v>43</v>
      </c>
      <c r="D13" s="125" t="s">
        <v>53</v>
      </c>
      <c r="E13" s="3">
        <v>10.88</v>
      </c>
      <c r="F13" s="7"/>
      <c r="G13" s="4"/>
      <c r="H13" s="23">
        <v>2400</v>
      </c>
      <c r="I13" s="7"/>
      <c r="J13" s="34"/>
      <c r="K13" s="37">
        <v>2400</v>
      </c>
      <c r="L13" s="43">
        <v>0</v>
      </c>
      <c r="M13" s="43">
        <v>0</v>
      </c>
      <c r="N13" s="43">
        <v>0</v>
      </c>
      <c r="O13" s="18">
        <v>1200</v>
      </c>
      <c r="P13" s="18"/>
      <c r="Q13" s="18"/>
      <c r="R13" s="5">
        <f t="shared" si="0"/>
        <v>6000</v>
      </c>
      <c r="S13" s="94">
        <f>E13*R13</f>
        <v>65280.000000000007</v>
      </c>
      <c r="T13" s="62">
        <f t="shared" si="2"/>
        <v>61337.088000000003</v>
      </c>
      <c r="U13" s="68">
        <v>137203.24161128691</v>
      </c>
      <c r="V13" s="72">
        <v>13596.224</v>
      </c>
      <c r="W13" s="73"/>
      <c r="X13" s="71"/>
      <c r="Y13" s="80">
        <v>48753.825503550703</v>
      </c>
      <c r="Z13" s="76">
        <v>4800</v>
      </c>
      <c r="AA13" s="136"/>
      <c r="AB13" s="134">
        <v>1200</v>
      </c>
      <c r="AC13" s="2" t="s">
        <v>54</v>
      </c>
      <c r="AD13" s="2" t="s">
        <v>43</v>
      </c>
      <c r="AE13" s="13">
        <f t="shared" si="3"/>
        <v>13056.000000000002</v>
      </c>
      <c r="AF13" s="12">
        <f t="shared" si="4"/>
        <v>12267.417600000002</v>
      </c>
    </row>
    <row r="14" spans="1:32" s="2" customFormat="1" ht="15" customHeight="1" x14ac:dyDescent="0.2">
      <c r="A14" s="45" t="s">
        <v>41</v>
      </c>
      <c r="B14" s="129" t="s">
        <v>42</v>
      </c>
      <c r="C14" s="45" t="s">
        <v>43</v>
      </c>
      <c r="D14" s="125" t="s">
        <v>55</v>
      </c>
      <c r="E14" s="3">
        <v>10</v>
      </c>
      <c r="F14" s="15">
        <v>2400</v>
      </c>
      <c r="G14" s="16">
        <v>800</v>
      </c>
      <c r="H14" s="16">
        <v>2400</v>
      </c>
      <c r="I14" s="4"/>
      <c r="J14" s="31"/>
      <c r="K14" s="37">
        <v>0</v>
      </c>
      <c r="L14" s="18">
        <v>1200</v>
      </c>
      <c r="M14" s="43">
        <v>0</v>
      </c>
      <c r="N14" s="43">
        <v>0</v>
      </c>
      <c r="O14" s="18">
        <v>2400</v>
      </c>
      <c r="P14" s="18">
        <v>1200</v>
      </c>
      <c r="Q14" s="18">
        <v>0</v>
      </c>
      <c r="R14" s="5">
        <f t="shared" si="0"/>
        <v>10400</v>
      </c>
      <c r="S14" s="93">
        <f t="shared" ref="S14:S25" si="5">E14*R14</f>
        <v>104000</v>
      </c>
      <c r="T14" s="62">
        <f t="shared" si="2"/>
        <v>97718.399999999994</v>
      </c>
      <c r="U14" s="68">
        <v>226317.33825593881</v>
      </c>
      <c r="V14" s="72">
        <v>24086.631000000001</v>
      </c>
      <c r="W14" s="73">
        <v>218735.53020221717</v>
      </c>
      <c r="X14" s="71">
        <v>23279.71</v>
      </c>
      <c r="Y14" s="80">
        <v>199194.63087328</v>
      </c>
      <c r="Z14" s="76">
        <v>21200</v>
      </c>
      <c r="AA14" s="136"/>
      <c r="AB14" s="134">
        <v>21200</v>
      </c>
      <c r="AC14" s="2" t="s">
        <v>56</v>
      </c>
      <c r="AD14" s="2" t="s">
        <v>43</v>
      </c>
      <c r="AE14" s="13">
        <f t="shared" si="3"/>
        <v>212000</v>
      </c>
      <c r="AF14" s="12">
        <f t="shared" si="4"/>
        <v>199195.2</v>
      </c>
    </row>
    <row r="15" spans="1:32" s="2" customFormat="1" x14ac:dyDescent="0.2">
      <c r="A15" s="45" t="s">
        <v>41</v>
      </c>
      <c r="B15" s="129" t="s">
        <v>42</v>
      </c>
      <c r="C15" s="45" t="s">
        <v>43</v>
      </c>
      <c r="D15" s="125" t="s">
        <v>57</v>
      </c>
      <c r="E15" s="3">
        <v>10</v>
      </c>
      <c r="F15" s="6"/>
      <c r="G15" s="16">
        <v>800</v>
      </c>
      <c r="H15" s="16">
        <v>1200</v>
      </c>
      <c r="I15" s="17">
        <v>800</v>
      </c>
      <c r="J15" s="30">
        <v>2375</v>
      </c>
      <c r="K15" s="37">
        <v>0</v>
      </c>
      <c r="L15" s="18">
        <v>0</v>
      </c>
      <c r="M15" s="18">
        <v>800</v>
      </c>
      <c r="N15" s="18"/>
      <c r="O15" s="18">
        <v>800</v>
      </c>
      <c r="P15" s="18"/>
      <c r="Q15" s="18">
        <v>800</v>
      </c>
      <c r="R15" s="5">
        <f t="shared" si="0"/>
        <v>7575</v>
      </c>
      <c r="S15" s="93">
        <f t="shared" si="5"/>
        <v>75750</v>
      </c>
      <c r="T15" s="62">
        <f t="shared" si="2"/>
        <v>71174.7</v>
      </c>
      <c r="U15" s="68"/>
      <c r="V15" s="72"/>
      <c r="W15" s="73"/>
      <c r="X15" s="71"/>
      <c r="Y15" s="80"/>
      <c r="Z15" s="76"/>
      <c r="AA15" s="136"/>
      <c r="AB15" s="134"/>
      <c r="AE15" s="13">
        <f t="shared" si="3"/>
        <v>0</v>
      </c>
      <c r="AF15" s="12">
        <f t="shared" si="4"/>
        <v>0</v>
      </c>
    </row>
    <row r="16" spans="1:32" s="2" customFormat="1" x14ac:dyDescent="0.2">
      <c r="A16" s="45" t="s">
        <v>41</v>
      </c>
      <c r="B16" s="129" t="s">
        <v>42</v>
      </c>
      <c r="C16" s="45" t="s">
        <v>43</v>
      </c>
      <c r="D16" s="125" t="s">
        <v>58</v>
      </c>
      <c r="E16" s="3">
        <v>21</v>
      </c>
      <c r="F16" s="8"/>
      <c r="G16" s="6"/>
      <c r="H16" s="4">
        <v>0</v>
      </c>
      <c r="I16" s="25">
        <v>3850</v>
      </c>
      <c r="J16" s="35">
        <v>5400</v>
      </c>
      <c r="K16" s="26">
        <v>0</v>
      </c>
      <c r="L16" s="26">
        <v>0</v>
      </c>
      <c r="M16" s="26">
        <v>0</v>
      </c>
      <c r="N16" s="18">
        <v>0</v>
      </c>
      <c r="O16" s="18">
        <v>0</v>
      </c>
      <c r="P16" s="18">
        <v>0</v>
      </c>
      <c r="Q16" s="18">
        <v>0</v>
      </c>
      <c r="R16" s="5">
        <f t="shared" si="0"/>
        <v>9250</v>
      </c>
      <c r="S16" s="93">
        <f t="shared" si="5"/>
        <v>194250</v>
      </c>
      <c r="T16" s="62">
        <f t="shared" si="2"/>
        <v>182517.3</v>
      </c>
      <c r="U16" s="68"/>
      <c r="V16" s="72"/>
      <c r="W16" s="73"/>
      <c r="X16" s="71"/>
      <c r="Y16" s="80"/>
      <c r="Z16" s="76"/>
      <c r="AA16" s="138"/>
      <c r="AB16" s="134"/>
      <c r="AE16" s="13">
        <f t="shared" si="3"/>
        <v>0</v>
      </c>
      <c r="AF16" s="12">
        <f t="shared" si="4"/>
        <v>0</v>
      </c>
    </row>
    <row r="17" spans="1:32" s="2" customFormat="1" x14ac:dyDescent="0.2">
      <c r="A17" s="45" t="s">
        <v>41</v>
      </c>
      <c r="B17" s="129" t="s">
        <v>42</v>
      </c>
      <c r="C17" s="45" t="s">
        <v>43</v>
      </c>
      <c r="D17" s="125" t="s">
        <v>59</v>
      </c>
      <c r="E17" s="3">
        <v>21</v>
      </c>
      <c r="F17" s="15">
        <v>8000</v>
      </c>
      <c r="G17" s="16">
        <v>7200</v>
      </c>
      <c r="H17" s="16">
        <v>-8000</v>
      </c>
      <c r="I17" s="4"/>
      <c r="J17" s="31"/>
      <c r="K17" s="37">
        <v>2000</v>
      </c>
      <c r="L17" s="26">
        <v>0</v>
      </c>
      <c r="M17" s="26">
        <v>0</v>
      </c>
      <c r="N17" s="18">
        <v>0</v>
      </c>
      <c r="O17" s="18">
        <v>0</v>
      </c>
      <c r="P17" s="18">
        <v>0</v>
      </c>
      <c r="Q17" s="18">
        <v>0</v>
      </c>
      <c r="R17" s="5">
        <f t="shared" si="0"/>
        <v>9200</v>
      </c>
      <c r="S17" s="93">
        <f t="shared" si="5"/>
        <v>193200</v>
      </c>
      <c r="T17" s="62">
        <f t="shared" si="2"/>
        <v>181530.72</v>
      </c>
      <c r="U17" s="68">
        <v>584682.60134461964</v>
      </c>
      <c r="V17" s="72">
        <v>28440</v>
      </c>
      <c r="W17" s="73">
        <v>222154.63087337138</v>
      </c>
      <c r="X17" s="71">
        <v>10700</v>
      </c>
      <c r="Y17" s="80">
        <v>465657.54228374141</v>
      </c>
      <c r="Z17" s="76">
        <v>15416.666999999999</v>
      </c>
      <c r="AA17" s="138">
        <v>0.33</v>
      </c>
      <c r="AB17" s="134">
        <f>(Z17+Z18)*0.3</f>
        <v>5530.0001999999995</v>
      </c>
      <c r="AC17" s="2" t="s">
        <v>60</v>
      </c>
      <c r="AD17" s="2" t="s">
        <v>43</v>
      </c>
      <c r="AE17" s="13">
        <f t="shared" si="3"/>
        <v>116130.0042</v>
      </c>
      <c r="AF17" s="12">
        <f t="shared" si="4"/>
        <v>109115.75194632</v>
      </c>
    </row>
    <row r="18" spans="1:32" s="2" customFormat="1" x14ac:dyDescent="0.2">
      <c r="A18" s="45" t="s">
        <v>41</v>
      </c>
      <c r="B18" s="130" t="s">
        <v>61</v>
      </c>
      <c r="C18" s="130" t="s">
        <v>43</v>
      </c>
      <c r="D18" s="126" t="s">
        <v>62</v>
      </c>
      <c r="E18" s="81">
        <v>21</v>
      </c>
      <c r="F18" s="15"/>
      <c r="G18" s="16"/>
      <c r="H18" s="16"/>
      <c r="I18" s="4"/>
      <c r="J18" s="31"/>
      <c r="K18" s="38"/>
      <c r="L18" s="26"/>
      <c r="M18" s="26"/>
      <c r="N18" s="18"/>
      <c r="O18" s="18"/>
      <c r="P18" s="18"/>
      <c r="Q18" s="18"/>
      <c r="R18" s="5"/>
      <c r="S18" s="93"/>
      <c r="T18" s="62"/>
      <c r="U18" s="68">
        <v>55332.979865993155</v>
      </c>
      <c r="V18" s="72">
        <v>2691.5059999999999</v>
      </c>
      <c r="W18" s="73">
        <v>27753.825503466702</v>
      </c>
      <c r="X18" s="71">
        <v>1350</v>
      </c>
      <c r="Y18" s="80">
        <v>62017.810738503103</v>
      </c>
      <c r="Z18" s="76">
        <v>3016.6669999999999</v>
      </c>
      <c r="AA18" s="138"/>
      <c r="AB18" s="134">
        <v>3017</v>
      </c>
      <c r="AC18" s="2" t="s">
        <v>63</v>
      </c>
      <c r="AD18" s="2" t="s">
        <v>43</v>
      </c>
      <c r="AE18" s="13">
        <f t="shared" si="3"/>
        <v>63357</v>
      </c>
      <c r="AF18" s="12">
        <f t="shared" si="4"/>
        <v>59530.237199999996</v>
      </c>
    </row>
    <row r="19" spans="1:32" s="2" customFormat="1" x14ac:dyDescent="0.2">
      <c r="A19" s="45" t="s">
        <v>41</v>
      </c>
      <c r="B19" s="129" t="s">
        <v>42</v>
      </c>
      <c r="C19" s="45" t="s">
        <v>43</v>
      </c>
      <c r="D19" s="125" t="s">
        <v>64</v>
      </c>
      <c r="E19" s="3">
        <v>23</v>
      </c>
      <c r="F19" s="6"/>
      <c r="G19" s="4"/>
      <c r="H19" s="4">
        <v>0</v>
      </c>
      <c r="I19" s="4">
        <v>1825</v>
      </c>
      <c r="J19" s="31">
        <v>0</v>
      </c>
      <c r="K19" s="37">
        <v>0</v>
      </c>
      <c r="L19" s="43">
        <v>0</v>
      </c>
      <c r="M19" s="43">
        <v>0</v>
      </c>
      <c r="N19" s="18">
        <v>2000</v>
      </c>
      <c r="O19" s="18"/>
      <c r="P19" s="18">
        <v>2000</v>
      </c>
      <c r="Q19" s="18">
        <v>2000</v>
      </c>
      <c r="R19" s="5">
        <f t="shared" si="0"/>
        <v>7825</v>
      </c>
      <c r="S19" s="93">
        <f t="shared" si="5"/>
        <v>179975</v>
      </c>
      <c r="T19" s="62">
        <f t="shared" si="2"/>
        <v>169104.51</v>
      </c>
      <c r="U19" s="68"/>
      <c r="V19" s="70"/>
      <c r="W19" s="73"/>
      <c r="X19" s="71"/>
      <c r="Y19" s="80"/>
      <c r="Z19" s="76"/>
      <c r="AA19" s="138"/>
      <c r="AB19" s="134"/>
      <c r="AE19" s="13">
        <f t="shared" si="3"/>
        <v>0</v>
      </c>
      <c r="AF19" s="12">
        <f t="shared" si="4"/>
        <v>0</v>
      </c>
    </row>
    <row r="20" spans="1:32" s="2" customFormat="1" x14ac:dyDescent="0.2">
      <c r="A20" s="45" t="s">
        <v>41</v>
      </c>
      <c r="B20" s="129" t="s">
        <v>42</v>
      </c>
      <c r="C20" s="45" t="s">
        <v>43</v>
      </c>
      <c r="D20" s="125" t="s">
        <v>65</v>
      </c>
      <c r="E20" s="3">
        <v>23</v>
      </c>
      <c r="F20" s="15">
        <v>5975</v>
      </c>
      <c r="G20" s="16">
        <v>0</v>
      </c>
      <c r="H20" s="4">
        <v>0</v>
      </c>
      <c r="I20" s="4"/>
      <c r="J20" s="30">
        <v>5775</v>
      </c>
      <c r="K20" s="37">
        <v>5000</v>
      </c>
      <c r="L20" s="43">
        <v>0</v>
      </c>
      <c r="M20" s="43">
        <v>0</v>
      </c>
      <c r="N20" s="43">
        <v>0</v>
      </c>
      <c r="O20" s="18">
        <v>2000</v>
      </c>
      <c r="P20" s="18">
        <v>2000</v>
      </c>
      <c r="Q20" s="18">
        <v>1400</v>
      </c>
      <c r="R20" s="5">
        <f t="shared" si="0"/>
        <v>22150</v>
      </c>
      <c r="S20" s="93">
        <f t="shared" si="5"/>
        <v>509450</v>
      </c>
      <c r="T20" s="62">
        <f t="shared" si="2"/>
        <v>478679.22</v>
      </c>
      <c r="U20" s="68">
        <v>597863.08456614986</v>
      </c>
      <c r="V20" s="72">
        <v>27665.094000000001</v>
      </c>
      <c r="W20" s="73">
        <v>709491.49262028746</v>
      </c>
      <c r="X20" s="71">
        <v>32830.506999999998</v>
      </c>
      <c r="Y20" s="80">
        <v>711533.5570498259</v>
      </c>
      <c r="Z20" s="76">
        <v>32925</v>
      </c>
      <c r="AA20" s="138">
        <v>0.33</v>
      </c>
      <c r="AB20" s="134">
        <v>32925</v>
      </c>
      <c r="AC20" s="2" t="s">
        <v>60</v>
      </c>
      <c r="AD20" s="2" t="s">
        <v>43</v>
      </c>
      <c r="AE20" s="13">
        <f t="shared" si="3"/>
        <v>757275</v>
      </c>
      <c r="AF20" s="12">
        <f t="shared" si="4"/>
        <v>711535.59</v>
      </c>
    </row>
    <row r="21" spans="1:32" s="2" customFormat="1" x14ac:dyDescent="0.2">
      <c r="A21" s="45" t="s">
        <v>41</v>
      </c>
      <c r="B21" s="131" t="s">
        <v>61</v>
      </c>
      <c r="C21" s="132" t="s">
        <v>66</v>
      </c>
      <c r="D21" s="127" t="s">
        <v>67</v>
      </c>
      <c r="E21" s="67">
        <f>10.63*1.01</f>
        <v>10.736300000000002</v>
      </c>
      <c r="F21" s="27">
        <v>12000</v>
      </c>
      <c r="G21" s="16">
        <v>8400</v>
      </c>
      <c r="H21" s="28">
        <v>-4800</v>
      </c>
      <c r="I21" s="29">
        <v>8400</v>
      </c>
      <c r="J21" s="36">
        <v>3599</v>
      </c>
      <c r="K21" s="18"/>
      <c r="L21" s="43">
        <v>0</v>
      </c>
      <c r="M21" s="43">
        <v>3600</v>
      </c>
      <c r="N21" s="43">
        <v>0</v>
      </c>
      <c r="O21" s="18">
        <v>3600</v>
      </c>
      <c r="P21" s="18"/>
      <c r="Q21" s="18">
        <v>3600</v>
      </c>
      <c r="R21" s="5">
        <f t="shared" si="0"/>
        <v>38399</v>
      </c>
      <c r="S21" s="95">
        <f t="shared" si="5"/>
        <v>412263.18370000005</v>
      </c>
      <c r="T21" s="62">
        <f t="shared" si="2"/>
        <v>387362.48740452004</v>
      </c>
      <c r="U21" s="68">
        <v>605849.55316699995</v>
      </c>
      <c r="V21" s="72">
        <v>60037</v>
      </c>
      <c r="W21" s="73">
        <v>628827.38255285076</v>
      </c>
      <c r="X21" s="71">
        <v>62400.001000000004</v>
      </c>
      <c r="Y21" s="80">
        <v>507732.08993491699</v>
      </c>
      <c r="Z21" s="76">
        <v>50400</v>
      </c>
      <c r="AA21" s="136"/>
      <c r="AB21" s="134">
        <f>Z21*0.5</f>
        <v>25200</v>
      </c>
      <c r="AC21" s="2" t="s">
        <v>68</v>
      </c>
      <c r="AD21" s="2" t="s">
        <v>66</v>
      </c>
      <c r="AE21" s="13">
        <f t="shared" si="3"/>
        <v>270554.76000000007</v>
      </c>
      <c r="AF21" s="12">
        <f t="shared" si="4"/>
        <v>254213.25249600006</v>
      </c>
    </row>
    <row r="22" spans="1:32" s="2" customFormat="1" x14ac:dyDescent="0.2">
      <c r="A22" s="45" t="s">
        <v>41</v>
      </c>
      <c r="B22" s="131" t="s">
        <v>61</v>
      </c>
      <c r="C22" s="132" t="s">
        <v>66</v>
      </c>
      <c r="D22" s="127" t="s">
        <v>69</v>
      </c>
      <c r="E22" s="67">
        <f>10.63*1.01</f>
        <v>10.736300000000002</v>
      </c>
      <c r="F22" s="27"/>
      <c r="G22" s="16"/>
      <c r="H22" s="28"/>
      <c r="I22" s="29"/>
      <c r="J22" s="36"/>
      <c r="K22" s="18"/>
      <c r="L22" s="43"/>
      <c r="M22" s="43">
        <v>8400</v>
      </c>
      <c r="N22" s="43"/>
      <c r="O22" s="18">
        <v>8400</v>
      </c>
      <c r="P22" s="18"/>
      <c r="Q22" s="18">
        <v>8400</v>
      </c>
      <c r="R22" s="5">
        <f t="shared" si="0"/>
        <v>25200</v>
      </c>
      <c r="S22" s="95">
        <f t="shared" si="5"/>
        <v>270554.76000000007</v>
      </c>
      <c r="T22" s="62">
        <f t="shared" si="2"/>
        <v>254213.25249600006</v>
      </c>
      <c r="U22" s="68"/>
      <c r="V22" s="72"/>
      <c r="W22" s="73"/>
      <c r="X22" s="71"/>
      <c r="Y22" s="80"/>
      <c r="Z22" s="76"/>
      <c r="AA22" s="136"/>
      <c r="AB22" s="134"/>
      <c r="AE22" s="13">
        <f t="shared" si="3"/>
        <v>0</v>
      </c>
      <c r="AF22" s="12">
        <f t="shared" si="4"/>
        <v>0</v>
      </c>
    </row>
    <row r="23" spans="1:32" s="2" customFormat="1" x14ac:dyDescent="0.2">
      <c r="A23" s="45" t="s">
        <v>41</v>
      </c>
      <c r="B23" s="131" t="s">
        <v>70</v>
      </c>
      <c r="C23" s="132" t="s">
        <v>66</v>
      </c>
      <c r="D23" s="127" t="s">
        <v>71</v>
      </c>
      <c r="E23" s="67">
        <f>21.66*1.01</f>
        <v>21.8766</v>
      </c>
      <c r="F23" s="10"/>
      <c r="G23" s="16">
        <v>10000</v>
      </c>
      <c r="H23" s="9"/>
      <c r="I23" s="17">
        <v>11000</v>
      </c>
      <c r="J23" s="30">
        <v>11000</v>
      </c>
      <c r="K23" s="39">
        <v>11000</v>
      </c>
      <c r="L23" s="44">
        <v>0</v>
      </c>
      <c r="M23" s="44">
        <v>5400</v>
      </c>
      <c r="N23" s="43">
        <v>0</v>
      </c>
      <c r="O23" s="18"/>
      <c r="P23" s="18">
        <v>8000</v>
      </c>
      <c r="Q23" s="18"/>
      <c r="R23" s="5">
        <f t="shared" si="0"/>
        <v>56400</v>
      </c>
      <c r="S23" s="95">
        <f t="shared" si="5"/>
        <v>1233840.24</v>
      </c>
      <c r="T23" s="62">
        <f t="shared" si="2"/>
        <v>1159316.289504</v>
      </c>
      <c r="U23" s="68">
        <v>1335897.8429583639</v>
      </c>
      <c r="V23" s="70">
        <v>64980.669000000009</v>
      </c>
      <c r="W23" s="73">
        <v>931396.65101043636</v>
      </c>
      <c r="X23" s="71">
        <v>45304.942999999992</v>
      </c>
      <c r="Y23" s="80">
        <v>1115233.2442997633</v>
      </c>
      <c r="Z23" s="76">
        <v>55091.718999999997</v>
      </c>
      <c r="AA23" s="138">
        <v>0.33</v>
      </c>
      <c r="AB23" s="134">
        <v>18364</v>
      </c>
      <c r="AC23" s="2" t="s">
        <v>60</v>
      </c>
      <c r="AD23" s="2" t="s">
        <v>66</v>
      </c>
      <c r="AE23" s="13">
        <f t="shared" si="3"/>
        <v>401741.8824</v>
      </c>
      <c r="AF23" s="12">
        <f t="shared" si="4"/>
        <v>377476.67270304001</v>
      </c>
    </row>
    <row r="24" spans="1:32" s="2" customFormat="1" x14ac:dyDescent="0.2">
      <c r="A24" s="45" t="s">
        <v>41</v>
      </c>
      <c r="B24" s="131" t="s">
        <v>70</v>
      </c>
      <c r="C24" s="132" t="s">
        <v>66</v>
      </c>
      <c r="D24" s="127" t="s">
        <v>72</v>
      </c>
      <c r="E24" s="67">
        <f>21.66*1.01</f>
        <v>21.8766</v>
      </c>
      <c r="F24" s="114"/>
      <c r="G24" s="99"/>
      <c r="H24" s="100"/>
      <c r="I24" s="115"/>
      <c r="J24" s="101"/>
      <c r="K24" s="116"/>
      <c r="L24" s="117"/>
      <c r="M24" s="117">
        <v>10000</v>
      </c>
      <c r="N24" s="118"/>
      <c r="O24" s="102"/>
      <c r="P24" s="102"/>
      <c r="Q24" s="102"/>
      <c r="R24" s="5">
        <f t="shared" si="0"/>
        <v>10000</v>
      </c>
      <c r="S24" s="95">
        <f t="shared" si="5"/>
        <v>218766</v>
      </c>
      <c r="T24" s="62">
        <f t="shared" si="2"/>
        <v>205552.5336</v>
      </c>
      <c r="U24" s="105"/>
      <c r="V24" s="119"/>
      <c r="W24" s="107"/>
      <c r="X24" s="108"/>
      <c r="Y24" s="109"/>
      <c r="Z24" s="110"/>
      <c r="AA24" s="138"/>
      <c r="AB24" s="134"/>
      <c r="AE24" s="13">
        <f t="shared" si="3"/>
        <v>0</v>
      </c>
      <c r="AF24" s="12">
        <f t="shared" si="4"/>
        <v>0</v>
      </c>
    </row>
    <row r="25" spans="1:32" s="2" customFormat="1" ht="14.75" customHeight="1" x14ac:dyDescent="0.2">
      <c r="A25" s="45" t="s">
        <v>41</v>
      </c>
      <c r="B25" s="131" t="s">
        <v>61</v>
      </c>
      <c r="C25" s="132" t="s">
        <v>66</v>
      </c>
      <c r="D25" s="131" t="s">
        <v>73</v>
      </c>
      <c r="E25" s="67">
        <f>10.7*1.01</f>
        <v>10.806999999999999</v>
      </c>
      <c r="F25" s="27">
        <v>13100</v>
      </c>
      <c r="G25" s="16">
        <v>12100</v>
      </c>
      <c r="H25" s="133">
        <v>48400</v>
      </c>
      <c r="I25" s="9"/>
      <c r="J25" s="30">
        <v>16500</v>
      </c>
      <c r="K25" s="37">
        <v>13200</v>
      </c>
      <c r="L25" s="18"/>
      <c r="M25" s="18">
        <v>15400</v>
      </c>
      <c r="N25" s="18"/>
      <c r="O25" s="18">
        <v>7700</v>
      </c>
      <c r="P25" s="18"/>
      <c r="Q25" s="18">
        <v>6000</v>
      </c>
      <c r="R25" s="5">
        <f t="shared" si="0"/>
        <v>132400</v>
      </c>
      <c r="S25" s="103">
        <f t="shared" si="5"/>
        <v>1430846.7999999998</v>
      </c>
      <c r="T25" s="104">
        <f t="shared" si="2"/>
        <v>1344423.6532799997</v>
      </c>
      <c r="U25" s="105">
        <v>869756.77764400002</v>
      </c>
      <c r="V25" s="106">
        <v>85630.9</v>
      </c>
      <c r="W25" s="107">
        <v>795686.84295620269</v>
      </c>
      <c r="X25" s="108">
        <v>90438.403999999995</v>
      </c>
      <c r="Y25" s="109">
        <v>923412.7516815461</v>
      </c>
      <c r="Z25" s="110">
        <v>116099.999</v>
      </c>
      <c r="AA25" s="136"/>
      <c r="AB25" s="134">
        <f>Z25*0.45</f>
        <v>52244.99955</v>
      </c>
      <c r="AC25" s="2" t="s">
        <v>45</v>
      </c>
      <c r="AD25" s="2" t="s">
        <v>66</v>
      </c>
      <c r="AE25" s="13">
        <f t="shared" si="3"/>
        <v>564611.7101368499</v>
      </c>
      <c r="AF25" s="12">
        <f t="shared" si="4"/>
        <v>530509.16284458421</v>
      </c>
    </row>
    <row r="26" spans="1:32" s="2" customFormat="1" x14ac:dyDescent="0.2">
      <c r="A26" s="64" t="s">
        <v>74</v>
      </c>
      <c r="B26" s="122" t="s">
        <v>70</v>
      </c>
      <c r="C26" s="45" t="s">
        <v>75</v>
      </c>
      <c r="D26" s="128" t="s">
        <v>76</v>
      </c>
      <c r="E26" s="66">
        <f t="shared" ref="E26:E41" si="6">21.66*1.01</f>
        <v>21.8766</v>
      </c>
      <c r="F26" s="45"/>
      <c r="G26" s="45"/>
      <c r="H26" s="45"/>
      <c r="I26" s="49">
        <v>500</v>
      </c>
      <c r="J26" s="45"/>
      <c r="K26" s="45"/>
      <c r="L26" s="48">
        <v>0</v>
      </c>
      <c r="M26" s="48">
        <v>0</v>
      </c>
      <c r="N26" s="48">
        <v>0</v>
      </c>
      <c r="O26" s="45">
        <v>0</v>
      </c>
      <c r="P26" s="45">
        <v>0</v>
      </c>
      <c r="Q26" s="45">
        <v>0</v>
      </c>
      <c r="R26" s="45">
        <f>SUM(F26:Q26)</f>
        <v>500</v>
      </c>
      <c r="S26" s="69">
        <f>E26*R26</f>
        <v>10938.3</v>
      </c>
      <c r="T26" s="62">
        <f>S26*0.9396</f>
        <v>10277.626679999999</v>
      </c>
      <c r="U26" s="68">
        <v>29690.871141058364</v>
      </c>
      <c r="V26" s="70">
        <v>1444</v>
      </c>
      <c r="W26" s="73">
        <v>13260.189261798008</v>
      </c>
      <c r="X26" s="71">
        <v>645.00200000000007</v>
      </c>
      <c r="Y26" s="80">
        <v>14494.810738313008</v>
      </c>
      <c r="Z26" s="76">
        <v>705.05600000000004</v>
      </c>
      <c r="AA26" s="136"/>
    </row>
    <row r="27" spans="1:32" s="2" customFormat="1" x14ac:dyDescent="0.2">
      <c r="A27" s="64" t="s">
        <v>74</v>
      </c>
      <c r="B27" s="122" t="s">
        <v>70</v>
      </c>
      <c r="C27" s="45" t="s">
        <v>77</v>
      </c>
      <c r="D27" s="128" t="s">
        <v>76</v>
      </c>
      <c r="E27" s="66">
        <f>21.66*1.01</f>
        <v>21.8766</v>
      </c>
      <c r="F27" s="45"/>
      <c r="G27" s="16">
        <v>450</v>
      </c>
      <c r="H27" s="45"/>
      <c r="I27" s="45"/>
      <c r="J27" s="45"/>
      <c r="K27" s="45"/>
      <c r="L27" s="48">
        <v>0</v>
      </c>
      <c r="M27" s="48">
        <v>0</v>
      </c>
      <c r="N27" s="48">
        <v>0</v>
      </c>
      <c r="O27" s="45">
        <v>0</v>
      </c>
      <c r="P27" s="45">
        <v>0</v>
      </c>
      <c r="Q27" s="45">
        <v>0</v>
      </c>
      <c r="R27" s="45">
        <f>SUM(F27:Q27)</f>
        <v>450</v>
      </c>
      <c r="S27" s="69">
        <f>E27*R27</f>
        <v>9844.4699999999993</v>
      </c>
      <c r="T27" s="62">
        <f>S27*0.9396</f>
        <v>9249.864012</v>
      </c>
      <c r="U27" s="68">
        <v>27384.093959841081</v>
      </c>
      <c r="V27" s="70">
        <v>1332.0160000000001</v>
      </c>
      <c r="W27" s="73">
        <v>12537.29127521794</v>
      </c>
      <c r="X27" s="71">
        <v>609.83900000000006</v>
      </c>
      <c r="Y27" s="80">
        <v>22903.144966534572</v>
      </c>
      <c r="Z27" s="76">
        <v>1119.893</v>
      </c>
      <c r="AA27" s="136"/>
    </row>
    <row r="28" spans="1:32" s="2" customFormat="1" x14ac:dyDescent="0.2">
      <c r="A28" s="64" t="s">
        <v>74</v>
      </c>
      <c r="B28" s="122" t="s">
        <v>78</v>
      </c>
      <c r="C28" s="45" t="s">
        <v>43</v>
      </c>
      <c r="D28" s="128" t="s">
        <v>79</v>
      </c>
      <c r="E28" s="66">
        <v>31.3</v>
      </c>
      <c r="F28" s="45"/>
      <c r="G28" s="16"/>
      <c r="H28" s="45"/>
      <c r="I28" s="45"/>
      <c r="J28" s="45"/>
      <c r="K28" s="45"/>
      <c r="L28" s="48"/>
      <c r="M28" s="48"/>
      <c r="N28" s="48"/>
      <c r="O28" s="45"/>
      <c r="P28" s="45">
        <v>2500</v>
      </c>
      <c r="Q28" s="45">
        <v>2500</v>
      </c>
      <c r="R28" s="45">
        <f>SUM(F28:Q28)</f>
        <v>5000</v>
      </c>
      <c r="S28" s="69">
        <f>E28*R28</f>
        <v>156500</v>
      </c>
      <c r="T28" s="62">
        <f>S28*0.9396</f>
        <v>147047.4</v>
      </c>
      <c r="U28" s="68">
        <v>0</v>
      </c>
      <c r="V28" s="70">
        <v>0</v>
      </c>
      <c r="W28" s="73">
        <v>0</v>
      </c>
      <c r="X28" s="71">
        <v>0</v>
      </c>
      <c r="Y28" s="80">
        <v>0</v>
      </c>
      <c r="Z28" s="76">
        <v>0</v>
      </c>
      <c r="AA28" s="136"/>
      <c r="AB28" s="134"/>
    </row>
    <row r="29" spans="1:32" s="2" customFormat="1" x14ac:dyDescent="0.2">
      <c r="A29" s="64"/>
      <c r="B29" s="122" t="s">
        <v>70</v>
      </c>
      <c r="C29" s="45" t="s">
        <v>43</v>
      </c>
      <c r="D29" s="125" t="s">
        <v>49</v>
      </c>
      <c r="E29" s="66">
        <v>13.27</v>
      </c>
      <c r="F29" s="45"/>
      <c r="G29" s="16"/>
      <c r="H29" s="45"/>
      <c r="I29" s="45"/>
      <c r="J29" s="45"/>
      <c r="K29" s="47">
        <v>480</v>
      </c>
      <c r="L29" s="48"/>
      <c r="M29" s="48"/>
      <c r="N29" s="48"/>
      <c r="O29" s="45"/>
      <c r="P29" s="45"/>
      <c r="Q29" s="45"/>
      <c r="R29" s="45">
        <f>SUM(F29:Q29)</f>
        <v>480</v>
      </c>
      <c r="S29" s="69">
        <f>E29*R29</f>
        <v>6369.5999999999995</v>
      </c>
      <c r="T29" s="62">
        <f>S29*0.9396</f>
        <v>5984.8761599999998</v>
      </c>
      <c r="U29" s="68">
        <v>0</v>
      </c>
      <c r="V29" s="70">
        <v>0</v>
      </c>
      <c r="W29" s="73">
        <v>0</v>
      </c>
      <c r="X29" s="71">
        <v>0</v>
      </c>
      <c r="Y29" s="80">
        <v>0</v>
      </c>
      <c r="Z29" s="76">
        <v>0</v>
      </c>
      <c r="AA29" s="136"/>
      <c r="AB29" s="134"/>
    </row>
    <row r="30" spans="1:32" s="2" customFormat="1" x14ac:dyDescent="0.2">
      <c r="A30" s="14"/>
      <c r="E30" s="97"/>
      <c r="G30" s="98"/>
      <c r="S30" s="85"/>
      <c r="T30" s="12"/>
      <c r="U30" s="12"/>
      <c r="V30" s="85"/>
      <c r="W30" s="74"/>
      <c r="X30" s="85"/>
      <c r="Y30" s="74"/>
      <c r="Z30" s="85"/>
      <c r="AA30" s="85"/>
      <c r="AB30" s="151">
        <f>SUBTOTAL(9,AB7:AB29)</f>
        <v>225470.99975000002</v>
      </c>
      <c r="AE30" s="150">
        <f>SUBTOTAL(9,AE7:AE29)</f>
        <v>3534715.6567368503</v>
      </c>
      <c r="AF30" s="148">
        <f>SUBTOTAL(9,AF7:AF28)</f>
        <v>3321218.831069944</v>
      </c>
    </row>
    <row r="31" spans="1:32" s="2" customFormat="1" ht="14.75" customHeight="1" x14ac:dyDescent="0.2">
      <c r="E31" s="1"/>
      <c r="F31" s="41"/>
      <c r="G31" s="41"/>
      <c r="H31" s="41"/>
      <c r="I31" s="41"/>
      <c r="J31" s="41"/>
      <c r="K31" s="41"/>
      <c r="S31" s="19"/>
      <c r="Y31" s="84"/>
      <c r="Z31" s="85"/>
      <c r="AA31" s="85"/>
    </row>
    <row r="32" spans="1:32" s="2" customFormat="1" x14ac:dyDescent="0.2">
      <c r="B32" s="120"/>
      <c r="F32" s="11"/>
      <c r="R32" s="86">
        <f>SUM(R7:R29)</f>
        <v>441709</v>
      </c>
      <c r="S32" s="88">
        <f>SUM(S7:S25)</f>
        <v>6424607.3837000001</v>
      </c>
      <c r="T32" s="87">
        <f t="shared" ref="T32:Z32" si="7">SUM(T7:T29)</f>
        <v>6209120.8645765204</v>
      </c>
      <c r="U32" s="87">
        <f t="shared" si="7"/>
        <v>6367311.0395553987</v>
      </c>
      <c r="V32" s="88">
        <f t="shared" si="7"/>
        <v>454887.337</v>
      </c>
      <c r="W32" s="89">
        <f t="shared" si="7"/>
        <v>4882722.7503551003</v>
      </c>
      <c r="X32" s="90">
        <f t="shared" si="7"/>
        <v>354855.36099999986</v>
      </c>
      <c r="Y32" s="89">
        <f t="shared" si="7"/>
        <v>5327214.2845850671</v>
      </c>
      <c r="Z32" s="88">
        <f t="shared" si="7"/>
        <v>392335.00099999993</v>
      </c>
      <c r="AA32" s="88"/>
    </row>
    <row r="33" spans="1:34" s="2" customFormat="1" x14ac:dyDescent="0.2">
      <c r="A33" s="14"/>
      <c r="B33" s="120"/>
      <c r="F33" s="11"/>
      <c r="R33" s="11"/>
      <c r="S33" s="88"/>
      <c r="T33" s="20"/>
      <c r="U33" s="20"/>
      <c r="V33" s="19"/>
      <c r="W33" s="13"/>
    </row>
    <row r="34" spans="1:34" s="2" customFormat="1" x14ac:dyDescent="0.2">
      <c r="A34" s="64" t="s">
        <v>74</v>
      </c>
      <c r="B34" s="121" t="s">
        <v>61</v>
      </c>
      <c r="C34" s="45" t="s">
        <v>80</v>
      </c>
      <c r="D34" s="65" t="s">
        <v>81</v>
      </c>
      <c r="E34" s="65">
        <v>10.74</v>
      </c>
      <c r="F34" s="45"/>
      <c r="G34" s="16">
        <v>0</v>
      </c>
      <c r="H34" s="46">
        <v>600</v>
      </c>
      <c r="I34" s="45"/>
      <c r="J34" s="47">
        <v>600</v>
      </c>
      <c r="K34" s="45"/>
      <c r="L34" s="48">
        <v>600</v>
      </c>
      <c r="M34" s="48">
        <v>0</v>
      </c>
      <c r="N34" s="48">
        <v>0</v>
      </c>
      <c r="O34" s="45">
        <v>0</v>
      </c>
      <c r="P34" s="45">
        <v>0</v>
      </c>
      <c r="Q34" s="45">
        <v>0</v>
      </c>
      <c r="R34" s="45">
        <f>SUM(F34:Q34)</f>
        <v>1800</v>
      </c>
      <c r="S34" s="69">
        <f>E34*R34</f>
        <v>19332</v>
      </c>
      <c r="T34" s="82">
        <f>S34*0.9396</f>
        <v>18164.3472</v>
      </c>
      <c r="U34" s="68"/>
      <c r="V34" s="70"/>
      <c r="W34" s="73">
        <v>3047.1140939719198</v>
      </c>
      <c r="X34" s="71">
        <v>300</v>
      </c>
      <c r="Y34" s="80">
        <v>8656.5100671487198</v>
      </c>
      <c r="Z34" s="76">
        <v>900</v>
      </c>
      <c r="AA34" s="136"/>
      <c r="AB34" s="134">
        <v>900</v>
      </c>
      <c r="AC34" s="2" t="s">
        <v>82</v>
      </c>
      <c r="AD34" s="2" t="s">
        <v>80</v>
      </c>
      <c r="AE34" s="13">
        <f>E34*AB34</f>
        <v>9666</v>
      </c>
      <c r="AF34" s="12">
        <f>AE34*0.9396</f>
        <v>9082.1736000000001</v>
      </c>
    </row>
    <row r="35" spans="1:34" s="2" customFormat="1" ht="14" customHeight="1" x14ac:dyDescent="0.2">
      <c r="A35" s="64" t="s">
        <v>74</v>
      </c>
      <c r="B35" s="121" t="s">
        <v>61</v>
      </c>
      <c r="C35" s="45" t="s">
        <v>83</v>
      </c>
      <c r="D35" s="65" t="s">
        <v>81</v>
      </c>
      <c r="E35" s="65">
        <v>10.74</v>
      </c>
      <c r="F35" s="45"/>
      <c r="G35" s="16">
        <v>1200</v>
      </c>
      <c r="H35" s="46">
        <v>1800</v>
      </c>
      <c r="I35" s="49">
        <v>1800</v>
      </c>
      <c r="J35" s="45"/>
      <c r="K35" s="47">
        <v>1800</v>
      </c>
      <c r="L35" s="48">
        <v>0</v>
      </c>
      <c r="M35" s="48">
        <v>1800</v>
      </c>
      <c r="N35" s="48">
        <v>0</v>
      </c>
      <c r="O35" s="45">
        <v>0</v>
      </c>
      <c r="P35" s="45">
        <v>0</v>
      </c>
      <c r="Q35" s="45">
        <v>0</v>
      </c>
      <c r="R35" s="45">
        <f t="shared" ref="R35:R42" si="8">SUM(F35:Q35)</f>
        <v>8400</v>
      </c>
      <c r="S35" s="69">
        <f t="shared" ref="S35:S42" si="9">E35*R35</f>
        <v>90216</v>
      </c>
      <c r="T35" s="82">
        <f t="shared" ref="T35:T42" si="10">S35*0.9396</f>
        <v>84766.953599999993</v>
      </c>
      <c r="U35" s="68"/>
      <c r="V35" s="70"/>
      <c r="W35" s="73">
        <v>9141.3422819157604</v>
      </c>
      <c r="X35" s="71">
        <v>900</v>
      </c>
      <c r="Y35" s="80">
        <v>54016.510067330164</v>
      </c>
      <c r="Z35" s="76">
        <v>5700</v>
      </c>
      <c r="AA35" s="136"/>
      <c r="AB35" s="134">
        <v>2750</v>
      </c>
      <c r="AC35" s="2" t="s">
        <v>82</v>
      </c>
      <c r="AD35" s="2" t="s">
        <v>84</v>
      </c>
      <c r="AE35" s="13">
        <f t="shared" ref="AE35:AE42" si="11">E35*AB35</f>
        <v>29535</v>
      </c>
      <c r="AF35" s="12">
        <f t="shared" ref="AF35:AF42" si="12">AE35*0.9396</f>
        <v>27751.085999999999</v>
      </c>
    </row>
    <row r="36" spans="1:34" s="2" customFormat="1" x14ac:dyDescent="0.2">
      <c r="A36" s="64" t="s">
        <v>74</v>
      </c>
      <c r="B36" s="122" t="s">
        <v>70</v>
      </c>
      <c r="C36" s="45" t="s">
        <v>80</v>
      </c>
      <c r="D36" s="65" t="s">
        <v>85</v>
      </c>
      <c r="E36" s="66">
        <v>59.48</v>
      </c>
      <c r="F36" s="45"/>
      <c r="G36" s="16">
        <v>120</v>
      </c>
      <c r="H36" s="45"/>
      <c r="I36" s="49">
        <v>80</v>
      </c>
      <c r="J36" s="47">
        <v>40</v>
      </c>
      <c r="K36" s="47">
        <v>60</v>
      </c>
      <c r="L36" s="48">
        <v>40</v>
      </c>
      <c r="M36" s="48">
        <v>40</v>
      </c>
      <c r="N36" s="48"/>
      <c r="O36" s="45">
        <v>0</v>
      </c>
      <c r="P36" s="45">
        <v>0</v>
      </c>
      <c r="Q36" s="45">
        <v>0</v>
      </c>
      <c r="R36" s="45">
        <f t="shared" si="8"/>
        <v>380</v>
      </c>
      <c r="S36" s="69">
        <f t="shared" si="9"/>
        <v>22602.399999999998</v>
      </c>
      <c r="T36" s="82">
        <f t="shared" si="10"/>
        <v>21237.215039999999</v>
      </c>
      <c r="U36" s="68"/>
      <c r="V36" s="70"/>
      <c r="W36" s="73"/>
      <c r="X36" s="71"/>
      <c r="Y36" s="80">
        <v>11198.534228232711</v>
      </c>
      <c r="Z36" s="76">
        <v>200</v>
      </c>
      <c r="AA36" s="136"/>
      <c r="AB36" s="134">
        <v>200</v>
      </c>
      <c r="AC36" s="2" t="s">
        <v>52</v>
      </c>
      <c r="AD36" s="2" t="s">
        <v>80</v>
      </c>
      <c r="AE36" s="13">
        <f t="shared" si="11"/>
        <v>11896</v>
      </c>
      <c r="AF36" s="12">
        <f t="shared" si="12"/>
        <v>11177.481599999999</v>
      </c>
    </row>
    <row r="37" spans="1:34" s="2" customFormat="1" ht="14.75" customHeight="1" x14ac:dyDescent="0.2">
      <c r="A37" s="64" t="s">
        <v>74</v>
      </c>
      <c r="B37" s="122" t="s">
        <v>70</v>
      </c>
      <c r="C37" s="45" t="s">
        <v>75</v>
      </c>
      <c r="D37" s="65" t="s">
        <v>52</v>
      </c>
      <c r="E37" s="66">
        <v>59.48</v>
      </c>
      <c r="F37" s="41"/>
      <c r="G37" s="41"/>
      <c r="H37" s="41"/>
      <c r="I37" s="41"/>
      <c r="J37" s="41"/>
      <c r="K37" s="41"/>
      <c r="S37" s="19"/>
      <c r="U37" s="68"/>
      <c r="V37" s="70"/>
      <c r="W37" s="73"/>
      <c r="X37" s="71"/>
      <c r="Y37" s="79">
        <v>28304.5892618582</v>
      </c>
      <c r="Z37" s="76">
        <v>500</v>
      </c>
      <c r="AA37" s="136"/>
      <c r="AB37" s="134">
        <v>500</v>
      </c>
      <c r="AC37" s="2" t="s">
        <v>52</v>
      </c>
      <c r="AD37" s="2" t="s">
        <v>75</v>
      </c>
      <c r="AE37" s="13">
        <f t="shared" si="11"/>
        <v>29740</v>
      </c>
      <c r="AF37" s="12">
        <f t="shared" si="12"/>
        <v>27943.704000000002</v>
      </c>
    </row>
    <row r="38" spans="1:34" s="2" customFormat="1" x14ac:dyDescent="0.2">
      <c r="A38" s="64" t="s">
        <v>74</v>
      </c>
      <c r="B38" s="122" t="s">
        <v>70</v>
      </c>
      <c r="C38" s="45" t="s">
        <v>77</v>
      </c>
      <c r="D38" s="65" t="s">
        <v>76</v>
      </c>
      <c r="E38" s="66">
        <f>21.66*1.01</f>
        <v>21.8766</v>
      </c>
      <c r="F38" s="45"/>
      <c r="G38" s="16">
        <v>450</v>
      </c>
      <c r="H38" s="45"/>
      <c r="I38" s="45"/>
      <c r="J38" s="45"/>
      <c r="K38" s="45"/>
      <c r="L38" s="48">
        <v>0</v>
      </c>
      <c r="M38" s="48">
        <v>0</v>
      </c>
      <c r="N38" s="48">
        <v>0</v>
      </c>
      <c r="O38" s="45">
        <v>0</v>
      </c>
      <c r="P38" s="45">
        <v>0</v>
      </c>
      <c r="Q38" s="45">
        <v>0</v>
      </c>
      <c r="R38" s="45">
        <f t="shared" si="8"/>
        <v>450</v>
      </c>
      <c r="S38" s="69">
        <f t="shared" si="9"/>
        <v>9844.4699999999993</v>
      </c>
      <c r="T38" s="82">
        <f t="shared" si="10"/>
        <v>9249.864012</v>
      </c>
      <c r="U38" s="68"/>
      <c r="V38" s="70"/>
      <c r="W38" s="73"/>
      <c r="X38" s="71"/>
      <c r="Y38" s="79">
        <v>22903.144966534572</v>
      </c>
      <c r="Z38" s="76">
        <v>1119.893</v>
      </c>
      <c r="AA38" s="136"/>
      <c r="AB38" s="134">
        <v>650</v>
      </c>
      <c r="AC38" s="2" t="s">
        <v>63</v>
      </c>
      <c r="AD38" s="2" t="s">
        <v>86</v>
      </c>
      <c r="AE38" s="13">
        <f t="shared" si="11"/>
        <v>14219.789999999999</v>
      </c>
      <c r="AF38" s="12">
        <f t="shared" si="12"/>
        <v>13360.914683999999</v>
      </c>
    </row>
    <row r="39" spans="1:34" s="2" customFormat="1" x14ac:dyDescent="0.2">
      <c r="A39" s="64" t="s">
        <v>74</v>
      </c>
      <c r="B39" s="122" t="s">
        <v>70</v>
      </c>
      <c r="C39" s="45" t="s">
        <v>87</v>
      </c>
      <c r="D39" s="65" t="s">
        <v>88</v>
      </c>
      <c r="E39" s="66">
        <v>13.27</v>
      </c>
      <c r="F39" s="45"/>
      <c r="G39" s="45"/>
      <c r="H39" s="45"/>
      <c r="I39" s="45"/>
      <c r="J39" s="45"/>
      <c r="K39" s="45"/>
      <c r="L39" s="48">
        <v>0</v>
      </c>
      <c r="M39" s="48">
        <v>340</v>
      </c>
      <c r="N39" s="48">
        <v>0</v>
      </c>
      <c r="O39" s="45">
        <v>0</v>
      </c>
      <c r="P39" s="45">
        <v>0</v>
      </c>
      <c r="Q39" s="45">
        <v>0</v>
      </c>
      <c r="R39" s="45">
        <f t="shared" si="8"/>
        <v>340</v>
      </c>
      <c r="S39" s="69">
        <f t="shared" si="9"/>
        <v>4511.8</v>
      </c>
      <c r="T39" s="82">
        <f t="shared" si="10"/>
        <v>4239.2872800000005</v>
      </c>
      <c r="U39" s="68"/>
      <c r="V39" s="70"/>
      <c r="W39" s="73"/>
      <c r="X39" s="71"/>
      <c r="Y39" s="79"/>
      <c r="Z39" s="76"/>
      <c r="AA39" s="136"/>
      <c r="AE39" s="13">
        <f t="shared" si="11"/>
        <v>0</v>
      </c>
      <c r="AF39" s="12">
        <f t="shared" si="12"/>
        <v>0</v>
      </c>
    </row>
    <row r="40" spans="1:34" s="2" customFormat="1" x14ac:dyDescent="0.2">
      <c r="A40" s="64" t="s">
        <v>74</v>
      </c>
      <c r="B40" s="122"/>
      <c r="C40" s="45" t="s">
        <v>87</v>
      </c>
      <c r="D40" s="65" t="s">
        <v>85</v>
      </c>
      <c r="E40" s="66">
        <v>59.48</v>
      </c>
      <c r="F40" s="45"/>
      <c r="G40" s="45"/>
      <c r="H40" s="45"/>
      <c r="I40" s="45"/>
      <c r="J40" s="45"/>
      <c r="K40" s="47">
        <v>100</v>
      </c>
      <c r="L40" s="48">
        <v>0</v>
      </c>
      <c r="M40" s="48">
        <v>0</v>
      </c>
      <c r="N40" s="48">
        <v>0</v>
      </c>
      <c r="O40" s="45">
        <v>0</v>
      </c>
      <c r="P40" s="45">
        <v>0</v>
      </c>
      <c r="Q40" s="45">
        <v>0</v>
      </c>
      <c r="R40" s="45">
        <f t="shared" si="8"/>
        <v>100</v>
      </c>
      <c r="S40" s="69">
        <f t="shared" si="9"/>
        <v>5948</v>
      </c>
      <c r="T40" s="82">
        <f t="shared" si="10"/>
        <v>5588.7407999999996</v>
      </c>
      <c r="U40" s="68"/>
      <c r="V40" s="70"/>
      <c r="W40" s="73"/>
      <c r="X40" s="71"/>
      <c r="Y40" s="79"/>
      <c r="Z40" s="76"/>
      <c r="AA40" s="136"/>
      <c r="AE40" s="13">
        <f t="shared" si="11"/>
        <v>0</v>
      </c>
      <c r="AF40" s="12">
        <f t="shared" si="12"/>
        <v>0</v>
      </c>
    </row>
    <row r="41" spans="1:34" s="2" customFormat="1" x14ac:dyDescent="0.2">
      <c r="A41" s="64" t="s">
        <v>74</v>
      </c>
      <c r="B41" s="122" t="s">
        <v>70</v>
      </c>
      <c r="C41" s="45" t="s">
        <v>89</v>
      </c>
      <c r="D41" s="65" t="s">
        <v>76</v>
      </c>
      <c r="E41" s="66">
        <f t="shared" si="6"/>
        <v>21.8766</v>
      </c>
      <c r="F41" s="45"/>
      <c r="G41" s="45"/>
      <c r="H41" s="46">
        <v>75</v>
      </c>
      <c r="I41" s="45"/>
      <c r="J41" s="45"/>
      <c r="K41" s="45"/>
      <c r="L41" s="48">
        <v>125</v>
      </c>
      <c r="M41" s="48">
        <v>0</v>
      </c>
      <c r="N41" s="48">
        <v>0</v>
      </c>
      <c r="O41" s="45">
        <v>0</v>
      </c>
      <c r="P41" s="45">
        <v>0</v>
      </c>
      <c r="Q41" s="45">
        <v>0</v>
      </c>
      <c r="R41" s="45">
        <f t="shared" si="8"/>
        <v>200</v>
      </c>
      <c r="S41" s="69">
        <f t="shared" si="9"/>
        <v>4375.32</v>
      </c>
      <c r="T41" s="82">
        <f t="shared" si="10"/>
        <v>4111.0506719999994</v>
      </c>
      <c r="U41" s="68"/>
      <c r="V41" s="70"/>
      <c r="W41" s="73"/>
      <c r="X41" s="71"/>
      <c r="Y41" s="79"/>
      <c r="Z41" s="76"/>
      <c r="AA41" s="136"/>
      <c r="AE41" s="13">
        <f t="shared" si="11"/>
        <v>0</v>
      </c>
      <c r="AF41" s="12">
        <f t="shared" si="12"/>
        <v>0</v>
      </c>
    </row>
    <row r="42" spans="1:34" s="2" customFormat="1" x14ac:dyDescent="0.2">
      <c r="A42" s="64" t="s">
        <v>74</v>
      </c>
      <c r="B42" s="122" t="s">
        <v>70</v>
      </c>
      <c r="C42" s="45" t="s">
        <v>89</v>
      </c>
      <c r="D42" s="65" t="s">
        <v>81</v>
      </c>
      <c r="E42" s="65">
        <v>10.74</v>
      </c>
      <c r="F42" s="45"/>
      <c r="G42" s="45"/>
      <c r="H42" s="45"/>
      <c r="I42" s="45"/>
      <c r="J42" s="47">
        <v>125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f t="shared" si="8"/>
        <v>125</v>
      </c>
      <c r="S42" s="69">
        <f t="shared" si="9"/>
        <v>1342.5</v>
      </c>
      <c r="T42" s="82">
        <f t="shared" si="10"/>
        <v>1261.413</v>
      </c>
      <c r="U42" s="68"/>
      <c r="V42" s="70"/>
      <c r="W42" s="73"/>
      <c r="X42" s="71"/>
      <c r="Y42" s="79"/>
      <c r="Z42" s="76"/>
      <c r="AA42" s="136"/>
      <c r="AE42" s="13">
        <f t="shared" si="11"/>
        <v>0</v>
      </c>
      <c r="AF42" s="12">
        <f t="shared" si="12"/>
        <v>0</v>
      </c>
    </row>
    <row r="43" spans="1:34" s="2" customFormat="1" ht="15.5" customHeight="1" thickBot="1" x14ac:dyDescent="0.25">
      <c r="R43" s="2">
        <f t="shared" ref="R43:Y43" si="13">SUM(R34:R42)</f>
        <v>11795</v>
      </c>
      <c r="S43" s="96">
        <f t="shared" si="13"/>
        <v>158172.49</v>
      </c>
      <c r="T43" s="63">
        <f t="shared" si="13"/>
        <v>148618.87160399999</v>
      </c>
      <c r="U43" s="12">
        <f t="shared" si="13"/>
        <v>0</v>
      </c>
      <c r="V43" s="19">
        <f t="shared" si="13"/>
        <v>0</v>
      </c>
      <c r="W43" s="74">
        <f t="shared" si="13"/>
        <v>12188.456375887679</v>
      </c>
      <c r="X43" s="20">
        <f t="shared" si="13"/>
        <v>1200</v>
      </c>
      <c r="Y43" s="74">
        <f t="shared" si="13"/>
        <v>125079.28859110436</v>
      </c>
      <c r="Z43" s="20">
        <f>SUM(Z34:Z41)</f>
        <v>8419.893</v>
      </c>
      <c r="AA43" s="20"/>
      <c r="AB43" s="149">
        <f>SUBTOTAL(9,AB34:AB42)</f>
        <v>5000</v>
      </c>
      <c r="AE43" s="150">
        <f>SUBTOTAL(9,AE34:AE42)</f>
        <v>95056.79</v>
      </c>
      <c r="AF43" s="148">
        <f>SUBTOTAL(9,AF34:AF42)</f>
        <v>89315.359884000005</v>
      </c>
    </row>
    <row r="44" spans="1:34" s="2" customFormat="1" x14ac:dyDescent="0.2">
      <c r="E44" s="2" t="s">
        <v>90</v>
      </c>
      <c r="F44" s="40">
        <v>54775</v>
      </c>
      <c r="G44" s="40">
        <v>28810</v>
      </c>
      <c r="H44" s="40">
        <v>54775</v>
      </c>
      <c r="I44" s="40">
        <v>42975</v>
      </c>
      <c r="J44" s="40">
        <v>62454</v>
      </c>
      <c r="K44" s="40">
        <f>SUM(K7:K42)</f>
        <v>38940</v>
      </c>
      <c r="L44" s="111"/>
      <c r="M44" s="112"/>
      <c r="S44" s="19"/>
    </row>
    <row r="45" spans="1:34" s="152" customFormat="1" ht="19" x14ac:dyDescent="0.2">
      <c r="E45" s="152" t="s">
        <v>91</v>
      </c>
      <c r="F45" s="153">
        <v>590813.15436477936</v>
      </c>
      <c r="G45" s="41">
        <v>522856.85369336687</v>
      </c>
      <c r="H45" s="41">
        <v>550321.64966663101</v>
      </c>
      <c r="I45" s="41">
        <v>559774.0926196886</v>
      </c>
      <c r="J45" s="41">
        <v>809513.78792270168</v>
      </c>
      <c r="K45" s="41">
        <v>702473.45</v>
      </c>
      <c r="L45" s="111"/>
      <c r="M45" s="2"/>
      <c r="N45" s="2"/>
      <c r="O45" s="2"/>
      <c r="P45" s="2"/>
      <c r="Q45" s="2"/>
      <c r="R45" s="86">
        <f t="shared" ref="R45:Z45" si="14">R32+R43</f>
        <v>453504</v>
      </c>
      <c r="S45" s="155">
        <f t="shared" si="14"/>
        <v>6582779.8737000003</v>
      </c>
      <c r="T45" s="156">
        <f t="shared" si="14"/>
        <v>6357739.7361805206</v>
      </c>
      <c r="U45" s="156">
        <f t="shared" si="14"/>
        <v>6367311.0395553987</v>
      </c>
      <c r="V45" s="157">
        <f t="shared" si="14"/>
        <v>454887.337</v>
      </c>
      <c r="W45" s="158">
        <f t="shared" si="14"/>
        <v>4894911.2067309879</v>
      </c>
      <c r="X45" s="159">
        <f t="shared" si="14"/>
        <v>356055.36099999986</v>
      </c>
      <c r="Y45" s="159">
        <f t="shared" si="14"/>
        <v>5452293.5731761716</v>
      </c>
      <c r="Z45" s="159">
        <f t="shared" si="14"/>
        <v>400754.89399999991</v>
      </c>
      <c r="AA45" s="159"/>
      <c r="AB45" s="160">
        <f>AB30+AB43</f>
        <v>230470.99975000002</v>
      </c>
      <c r="AE45" s="161">
        <f>AE30+AE43</f>
        <v>3629772.4467368503</v>
      </c>
      <c r="AF45" s="162">
        <f>AF30+AF43</f>
        <v>3410534.1909539439</v>
      </c>
      <c r="AG45" s="163" t="s">
        <v>92</v>
      </c>
      <c r="AH45" s="163"/>
    </row>
    <row r="46" spans="1:34" s="152" customFormat="1" ht="19" x14ac:dyDescent="0.2">
      <c r="E46" s="154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164"/>
    </row>
    <row r="47" spans="1:34" s="152" customFormat="1" ht="19" x14ac:dyDescent="0.2">
      <c r="E47" s="154" t="s">
        <v>93</v>
      </c>
      <c r="F47" s="153">
        <v>590813</v>
      </c>
      <c r="G47" s="41">
        <v>239116</v>
      </c>
      <c r="H47" s="41">
        <v>501494.28188120073</v>
      </c>
      <c r="I47" s="41">
        <v>412794.98926339654</v>
      </c>
      <c r="J47" s="41">
        <v>378360</v>
      </c>
      <c r="K47" s="41">
        <v>378360.29798809055</v>
      </c>
      <c r="L47" s="2"/>
      <c r="M47" s="2"/>
      <c r="N47" s="2"/>
      <c r="O47" s="2"/>
      <c r="P47" s="2"/>
      <c r="Q47" s="2"/>
      <c r="R47" s="2"/>
      <c r="S47" s="164"/>
      <c r="AE47" s="165" t="e">
        <f>AF47/0.9396</f>
        <v>#REF!</v>
      </c>
      <c r="AF47" s="166" t="e">
        <f>#REF!</f>
        <v>#REF!</v>
      </c>
      <c r="AG47" s="167" t="s">
        <v>94</v>
      </c>
      <c r="AH47" s="168"/>
    </row>
    <row r="48" spans="1:34" s="2" customFormat="1" hidden="1" x14ac:dyDescent="0.2">
      <c r="E48" s="1" t="s">
        <v>95</v>
      </c>
      <c r="F48" s="41">
        <v>590813</v>
      </c>
      <c r="G48" s="41">
        <v>239116</v>
      </c>
      <c r="H48" s="41">
        <v>501494.28188120073</v>
      </c>
      <c r="I48" s="41">
        <v>412794.98926339654</v>
      </c>
      <c r="J48" s="41">
        <v>378360</v>
      </c>
      <c r="K48" s="41">
        <v>378360.29798809055</v>
      </c>
      <c r="S48" s="19"/>
    </row>
    <row r="50" spans="5:32" s="2" customFormat="1" x14ac:dyDescent="0.2">
      <c r="E50" s="1" t="s">
        <v>96</v>
      </c>
      <c r="F50" s="42">
        <f>F45/F47</f>
        <v>1.0000002612751908</v>
      </c>
      <c r="G50" s="42">
        <f t="shared" ref="G50:K50" si="15">G45/G47</f>
        <v>2.1866242898566672</v>
      </c>
      <c r="H50" s="42">
        <f t="shared" si="15"/>
        <v>1.0973637577726101</v>
      </c>
      <c r="I50" s="42">
        <f t="shared" si="15"/>
        <v>1.3560583514314597</v>
      </c>
      <c r="J50" s="42">
        <f t="shared" si="15"/>
        <v>2.1395332168376724</v>
      </c>
      <c r="K50" s="42">
        <f t="shared" si="15"/>
        <v>1.8566256917952617</v>
      </c>
      <c r="S50" s="19"/>
    </row>
    <row r="51" spans="5:32" s="2" customFormat="1" ht="24" x14ac:dyDescent="0.2">
      <c r="S51" s="19"/>
      <c r="AB51" s="169"/>
      <c r="AC51" s="169"/>
      <c r="AD51" s="169"/>
      <c r="AE51" s="170" t="s">
        <v>97</v>
      </c>
      <c r="AF51" s="181" t="e">
        <f>Y45-AF47</f>
        <v>#REF!</v>
      </c>
    </row>
    <row r="52" spans="5:32" s="2" customFormat="1" x14ac:dyDescent="0.2">
      <c r="E52" s="2" t="s">
        <v>98</v>
      </c>
      <c r="K52" s="113">
        <v>3735752.9906189684</v>
      </c>
      <c r="S52" s="19"/>
    </row>
    <row r="53" spans="5:32" s="2" customFormat="1" x14ac:dyDescent="0.2">
      <c r="E53" s="2" t="s">
        <v>99</v>
      </c>
      <c r="K53" s="113">
        <v>3326649.6698119617</v>
      </c>
      <c r="S53" s="19"/>
      <c r="V53" s="12"/>
      <c r="AF53" s="12"/>
    </row>
    <row r="54" spans="5:32" s="2" customFormat="1" x14ac:dyDescent="0.2">
      <c r="S54" s="19"/>
    </row>
    <row r="55" spans="5:32" s="2" customFormat="1" x14ac:dyDescent="0.2">
      <c r="K55" s="42">
        <f>K52/K53</f>
        <v>1.1229775784686493</v>
      </c>
      <c r="S55" s="19"/>
      <c r="V55" s="12"/>
      <c r="AF55" s="12"/>
    </row>
    <row r="56" spans="5:32" x14ac:dyDescent="0.2">
      <c r="T56" s="2"/>
      <c r="V56" s="2"/>
      <c r="W56">
        <v>70</v>
      </c>
    </row>
  </sheetData>
  <autoFilter ref="A6:AF29" xr:uid="{89AEB6D5-552D-419D-B7E8-F0096A523D00}"/>
  <pageMargins left="0.7" right="0.7" top="0.75" bottom="0.75" header="0.3" footer="0.3"/>
  <customProperties>
    <customPr name="_pios_id" r:id="rId1"/>
  </customPropertie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661AE-36D8-42FF-923E-D69AE92757BB}">
  <dimension ref="A1:M52"/>
  <sheetViews>
    <sheetView topLeftCell="A21" zoomScale="90" zoomScaleNormal="90" workbookViewId="0">
      <selection activeCell="E34" sqref="E34"/>
    </sheetView>
  </sheetViews>
  <sheetFormatPr baseColWidth="10" defaultColWidth="8.83203125" defaultRowHeight="15" x14ac:dyDescent="0.2"/>
  <cols>
    <col min="1" max="1" width="15.33203125" customWidth="1"/>
    <col min="2" max="2" width="75.5" customWidth="1"/>
    <col min="3" max="3" width="11.33203125" customWidth="1"/>
    <col min="4" max="4" width="16.5" customWidth="1"/>
    <col min="5" max="5" width="8" style="144" customWidth="1"/>
    <col min="6" max="6" width="11.6640625" bestFit="1" customWidth="1"/>
    <col min="7" max="7" width="15.33203125" customWidth="1"/>
    <col min="8" max="8" width="12.6640625" customWidth="1"/>
    <col min="9" max="9" width="11.6640625" bestFit="1" customWidth="1"/>
    <col min="10" max="10" width="12.6640625" bestFit="1" customWidth="1"/>
    <col min="11" max="11" width="15.33203125" bestFit="1" customWidth="1"/>
    <col min="12" max="12" width="9.5" bestFit="1" customWidth="1"/>
    <col min="19" max="19" width="8.6640625" customWidth="1"/>
  </cols>
  <sheetData>
    <row r="1" spans="1:13" x14ac:dyDescent="0.2">
      <c r="B1" s="140" t="s">
        <v>100</v>
      </c>
    </row>
    <row r="2" spans="1:13" x14ac:dyDescent="0.2">
      <c r="B2" s="140"/>
      <c r="J2" t="s">
        <v>101</v>
      </c>
    </row>
    <row r="3" spans="1:13" x14ac:dyDescent="0.2">
      <c r="B3" s="141" t="s">
        <v>102</v>
      </c>
      <c r="D3" s="146" t="s">
        <v>103</v>
      </c>
      <c r="E3" s="145"/>
      <c r="F3" s="146"/>
      <c r="G3" s="146"/>
      <c r="H3" s="146"/>
      <c r="I3" s="146"/>
      <c r="J3" s="146" t="s">
        <v>104</v>
      </c>
      <c r="K3" s="146" t="s">
        <v>104</v>
      </c>
      <c r="L3" s="146"/>
    </row>
    <row r="4" spans="1:13" x14ac:dyDescent="0.2">
      <c r="D4" s="146" t="s">
        <v>105</v>
      </c>
      <c r="E4" s="145" t="s">
        <v>36</v>
      </c>
      <c r="F4" s="146" t="s">
        <v>106</v>
      </c>
      <c r="G4" s="146" t="s">
        <v>107</v>
      </c>
      <c r="H4" s="146" t="s">
        <v>108</v>
      </c>
      <c r="I4" s="146" t="s">
        <v>109</v>
      </c>
      <c r="J4" s="146" t="s">
        <v>110</v>
      </c>
      <c r="K4" s="146" t="s">
        <v>111</v>
      </c>
      <c r="L4" s="146" t="s">
        <v>112</v>
      </c>
      <c r="M4" s="146" t="s">
        <v>113</v>
      </c>
    </row>
    <row r="5" spans="1:13" x14ac:dyDescent="0.2">
      <c r="A5" s="140" t="s">
        <v>114</v>
      </c>
      <c r="B5" s="139" t="s">
        <v>115</v>
      </c>
      <c r="C5" t="s">
        <v>116</v>
      </c>
      <c r="D5" s="147">
        <f>21*0.9396</f>
        <v>19.7316</v>
      </c>
      <c r="E5" s="144">
        <v>1</v>
      </c>
      <c r="F5" s="135">
        <v>-19800</v>
      </c>
      <c r="G5" s="135">
        <f>F5*D5</f>
        <v>-390685.68</v>
      </c>
      <c r="H5" s="135"/>
      <c r="I5" s="135"/>
      <c r="J5" s="135"/>
      <c r="K5" s="135"/>
      <c r="L5" t="s">
        <v>117</v>
      </c>
      <c r="M5" s="179">
        <v>1</v>
      </c>
    </row>
    <row r="6" spans="1:13" x14ac:dyDescent="0.2">
      <c r="A6" s="140" t="s">
        <v>114</v>
      </c>
      <c r="B6" s="139" t="s">
        <v>115</v>
      </c>
      <c r="C6" t="s">
        <v>118</v>
      </c>
      <c r="D6" s="147">
        <f>23*0.9396</f>
        <v>21.610800000000001</v>
      </c>
      <c r="E6" s="144">
        <v>0.33329999999999999</v>
      </c>
      <c r="F6" s="135"/>
      <c r="G6" s="135"/>
      <c r="H6" s="135">
        <v>8910</v>
      </c>
      <c r="I6" s="135">
        <f>(F5*E6)*-1</f>
        <v>6599.34</v>
      </c>
      <c r="L6" t="s">
        <v>119</v>
      </c>
    </row>
    <row r="7" spans="1:13" x14ac:dyDescent="0.2">
      <c r="F7" s="135"/>
      <c r="G7" s="135"/>
      <c r="H7" s="135"/>
      <c r="I7" s="135"/>
      <c r="J7" s="180">
        <f>-744111.12/7.45</f>
        <v>-99880.687248322138</v>
      </c>
      <c r="K7" s="180">
        <f>-1476090/7.45</f>
        <v>-198132.88590604026</v>
      </c>
    </row>
    <row r="8" spans="1:13" x14ac:dyDescent="0.2">
      <c r="F8" s="135"/>
      <c r="G8" s="135"/>
      <c r="H8" s="135"/>
      <c r="I8" s="135"/>
      <c r="J8" s="135"/>
      <c r="K8" s="135"/>
    </row>
    <row r="9" spans="1:13" x14ac:dyDescent="0.2">
      <c r="F9" s="135"/>
      <c r="G9" s="135"/>
      <c r="H9" s="135"/>
      <c r="I9" s="135"/>
      <c r="J9" s="135"/>
      <c r="K9" s="135"/>
    </row>
    <row r="10" spans="1:13" x14ac:dyDescent="0.2">
      <c r="A10" s="140" t="s">
        <v>114</v>
      </c>
      <c r="B10" s="139" t="s">
        <v>120</v>
      </c>
      <c r="C10" t="s">
        <v>116</v>
      </c>
      <c r="D10" s="147">
        <f>21*0.9396</f>
        <v>19.7316</v>
      </c>
      <c r="E10" s="144">
        <v>1</v>
      </c>
      <c r="F10" s="135">
        <v>-46200</v>
      </c>
      <c r="G10" s="135">
        <v>-911599.9</v>
      </c>
      <c r="H10" s="135"/>
      <c r="I10" s="135"/>
      <c r="J10" s="135"/>
      <c r="K10" s="135"/>
    </row>
    <row r="11" spans="1:13" x14ac:dyDescent="0.2">
      <c r="A11" s="140" t="s">
        <v>114</v>
      </c>
      <c r="B11" s="139" t="s">
        <v>120</v>
      </c>
      <c r="C11" t="s">
        <v>118</v>
      </c>
      <c r="D11" s="147">
        <f>23*0.9396</f>
        <v>21.610800000000001</v>
      </c>
      <c r="E11" s="144">
        <v>0.33329999999999999</v>
      </c>
      <c r="H11" s="135">
        <v>20790</v>
      </c>
      <c r="I11" s="135">
        <v>449288.5</v>
      </c>
      <c r="J11" s="135"/>
      <c r="L11" s="176">
        <v>45900</v>
      </c>
      <c r="M11" s="179">
        <v>0.9</v>
      </c>
    </row>
    <row r="12" spans="1:13" x14ac:dyDescent="0.2">
      <c r="F12" s="135"/>
      <c r="G12" s="135"/>
      <c r="H12" s="135"/>
      <c r="I12" s="135"/>
      <c r="J12" s="180">
        <f>-1160651.59/7.45</f>
        <v>-155792.15973154362</v>
      </c>
      <c r="K12" s="180">
        <f>-3444210/7.45</f>
        <v>-462310.06711409392</v>
      </c>
      <c r="L12" s="176">
        <v>45900</v>
      </c>
    </row>
    <row r="13" spans="1:13" x14ac:dyDescent="0.2">
      <c r="F13" s="135"/>
      <c r="G13" s="135"/>
      <c r="H13" s="135"/>
      <c r="I13" s="135"/>
      <c r="J13" s="142">
        <f>J7+J12</f>
        <v>-255672.84697986575</v>
      </c>
      <c r="K13" s="142">
        <f>K7+K12</f>
        <v>-660442.95302013424</v>
      </c>
      <c r="L13" s="143"/>
    </row>
    <row r="14" spans="1:13" x14ac:dyDescent="0.2">
      <c r="F14" s="135"/>
      <c r="G14" s="135"/>
      <c r="H14" s="135"/>
      <c r="I14" s="135"/>
      <c r="J14" s="173"/>
      <c r="K14" s="173"/>
    </row>
    <row r="15" spans="1:13" x14ac:dyDescent="0.2">
      <c r="B15" s="141" t="s">
        <v>121</v>
      </c>
      <c r="F15" s="135"/>
      <c r="G15" s="135"/>
      <c r="H15" s="135"/>
      <c r="I15" s="135"/>
      <c r="J15" t="s">
        <v>101</v>
      </c>
      <c r="K15" s="135"/>
    </row>
    <row r="16" spans="1:13" x14ac:dyDescent="0.2">
      <c r="D16" s="146" t="s">
        <v>103</v>
      </c>
      <c r="E16" s="145"/>
      <c r="F16" s="146"/>
      <c r="G16" s="146"/>
      <c r="H16" s="146"/>
      <c r="I16" s="146"/>
      <c r="J16" s="146" t="s">
        <v>104</v>
      </c>
      <c r="K16" s="146" t="s">
        <v>104</v>
      </c>
      <c r="L16" s="146"/>
    </row>
    <row r="17" spans="1:13" x14ac:dyDescent="0.2">
      <c r="D17" s="146" t="s">
        <v>105</v>
      </c>
      <c r="E17" s="145" t="s">
        <v>36</v>
      </c>
      <c r="F17" s="146" t="s">
        <v>106</v>
      </c>
      <c r="G17" s="146" t="s">
        <v>107</v>
      </c>
      <c r="H17" s="146" t="s">
        <v>108</v>
      </c>
      <c r="I17" s="146" t="s">
        <v>109</v>
      </c>
      <c r="J17" s="146" t="s">
        <v>110</v>
      </c>
      <c r="K17" s="146" t="s">
        <v>111</v>
      </c>
      <c r="L17" s="146" t="s">
        <v>122</v>
      </c>
    </row>
    <row r="18" spans="1:13" ht="16" x14ac:dyDescent="0.2">
      <c r="A18" s="140" t="s">
        <v>114</v>
      </c>
      <c r="B18" s="174" t="s">
        <v>123</v>
      </c>
      <c r="C18" t="s">
        <v>82</v>
      </c>
      <c r="D18" s="147">
        <f>9.95*0.9396</f>
        <v>9.3490199999999994</v>
      </c>
      <c r="E18" s="144">
        <v>1</v>
      </c>
      <c r="F18" s="135">
        <v>-105000</v>
      </c>
      <c r="G18" s="135">
        <f>F18*D18</f>
        <v>-981647.1</v>
      </c>
      <c r="H18" s="135"/>
      <c r="I18" s="135"/>
      <c r="J18" s="135"/>
      <c r="K18" s="135"/>
    </row>
    <row r="19" spans="1:13" x14ac:dyDescent="0.2">
      <c r="C19" t="s">
        <v>45</v>
      </c>
      <c r="D19" s="147">
        <f>19.56*0.9396</f>
        <v>18.378575999999999</v>
      </c>
      <c r="E19" s="144">
        <v>0.45</v>
      </c>
      <c r="F19" s="135"/>
      <c r="G19" s="135"/>
      <c r="H19" s="135">
        <v>47250</v>
      </c>
      <c r="I19" s="135">
        <v>868387.72</v>
      </c>
      <c r="J19" s="135"/>
      <c r="K19" s="135"/>
      <c r="L19" s="176">
        <v>45900</v>
      </c>
      <c r="M19" s="179">
        <v>0.9</v>
      </c>
    </row>
    <row r="20" spans="1:13" x14ac:dyDescent="0.2">
      <c r="J20" s="175">
        <f>(-284342.3)/7.45</f>
        <v>-38166.75167785235</v>
      </c>
      <c r="K20" s="175">
        <f>(-843780)/7.45</f>
        <v>-113259.06040268455</v>
      </c>
    </row>
    <row r="21" spans="1:13" x14ac:dyDescent="0.2">
      <c r="J21" s="173"/>
      <c r="K21" s="173"/>
    </row>
    <row r="22" spans="1:13" x14ac:dyDescent="0.2">
      <c r="F22" s="135"/>
      <c r="G22" s="135"/>
      <c r="H22" s="135"/>
      <c r="I22" s="135"/>
      <c r="J22" t="s">
        <v>101</v>
      </c>
      <c r="K22" s="135"/>
    </row>
    <row r="23" spans="1:13" x14ac:dyDescent="0.2">
      <c r="B23" s="141" t="s">
        <v>124</v>
      </c>
      <c r="D23" s="146" t="s">
        <v>103</v>
      </c>
      <c r="E23" s="145"/>
      <c r="F23" s="146"/>
      <c r="G23" s="146"/>
      <c r="H23" s="146"/>
      <c r="I23" s="146"/>
      <c r="J23" s="146" t="s">
        <v>104</v>
      </c>
      <c r="K23" s="146" t="s">
        <v>104</v>
      </c>
      <c r="L23" s="146"/>
    </row>
    <row r="24" spans="1:13" x14ac:dyDescent="0.2">
      <c r="D24" s="146" t="s">
        <v>105</v>
      </c>
      <c r="E24" s="145" t="s">
        <v>36</v>
      </c>
      <c r="F24" s="146" t="s">
        <v>106</v>
      </c>
      <c r="G24" s="146" t="s">
        <v>107</v>
      </c>
      <c r="H24" s="146" t="s">
        <v>108</v>
      </c>
      <c r="I24" s="146" t="s">
        <v>109</v>
      </c>
      <c r="J24" s="146" t="s">
        <v>110</v>
      </c>
      <c r="K24" s="146" t="s">
        <v>111</v>
      </c>
      <c r="L24" s="146" t="s">
        <v>122</v>
      </c>
    </row>
    <row r="25" spans="1:13" x14ac:dyDescent="0.2">
      <c r="A25" s="140" t="s">
        <v>114</v>
      </c>
      <c r="B25" s="139" t="s">
        <v>125</v>
      </c>
      <c r="C25" t="s">
        <v>54</v>
      </c>
      <c r="D25" s="147">
        <f>10.88*0.9396</f>
        <v>10.222848000000001</v>
      </c>
      <c r="E25" s="144">
        <v>1</v>
      </c>
      <c r="F25" s="135">
        <v>-26400</v>
      </c>
      <c r="G25" s="135">
        <f>F25*D25</f>
        <v>-269883.18720000004</v>
      </c>
      <c r="H25" s="135"/>
      <c r="I25" s="135"/>
      <c r="J25" s="135"/>
      <c r="K25" s="135"/>
    </row>
    <row r="26" spans="1:13" x14ac:dyDescent="0.2">
      <c r="C26" t="s">
        <v>68</v>
      </c>
      <c r="D26" s="147">
        <f>10 *0.9396</f>
        <v>9.3960000000000008</v>
      </c>
      <c r="E26" s="144">
        <v>0.33329999999999999</v>
      </c>
      <c r="F26" s="135"/>
      <c r="G26" s="135"/>
      <c r="H26" s="135">
        <f>(F25*E26)*-1</f>
        <v>8799.119999999999</v>
      </c>
      <c r="I26" s="135">
        <f>D26*H26</f>
        <v>82676.531520000004</v>
      </c>
      <c r="J26" s="135"/>
      <c r="K26" s="135"/>
      <c r="L26" s="176">
        <v>45900</v>
      </c>
      <c r="M26" s="179">
        <v>0.8</v>
      </c>
    </row>
    <row r="27" spans="1:13" x14ac:dyDescent="0.2">
      <c r="F27" s="135"/>
      <c r="G27" s="135"/>
      <c r="H27" s="135"/>
      <c r="I27" s="135"/>
      <c r="J27" s="175">
        <f>-469969.18/7.45</f>
        <v>-63083.11140939597</v>
      </c>
      <c r="K27" s="175">
        <f>-1394624/7.45</f>
        <v>-187197.85234899327</v>
      </c>
    </row>
    <row r="28" spans="1:13" x14ac:dyDescent="0.2">
      <c r="F28" s="135"/>
      <c r="G28" s="135"/>
      <c r="H28" s="135"/>
      <c r="I28" s="135"/>
      <c r="J28" s="135"/>
      <c r="K28" s="135"/>
    </row>
    <row r="29" spans="1:13" x14ac:dyDescent="0.2">
      <c r="F29" s="135"/>
      <c r="G29" s="135"/>
      <c r="H29" s="135"/>
      <c r="I29" s="135"/>
      <c r="J29" s="135"/>
      <c r="K29" s="135"/>
    </row>
    <row r="30" spans="1:13" x14ac:dyDescent="0.2">
      <c r="B30" s="141" t="s">
        <v>102</v>
      </c>
      <c r="F30" s="135"/>
      <c r="G30" s="135"/>
      <c r="H30" s="135"/>
      <c r="I30" s="135"/>
      <c r="J30" t="s">
        <v>101</v>
      </c>
      <c r="K30" s="135"/>
    </row>
    <row r="31" spans="1:13" x14ac:dyDescent="0.2">
      <c r="D31" s="146" t="s">
        <v>103</v>
      </c>
      <c r="E31" s="145"/>
      <c r="F31" s="146"/>
      <c r="G31" s="146"/>
      <c r="H31" s="146"/>
      <c r="I31" s="146"/>
      <c r="J31" s="146" t="s">
        <v>104</v>
      </c>
      <c r="K31" s="146" t="s">
        <v>104</v>
      </c>
      <c r="L31" s="146"/>
    </row>
    <row r="32" spans="1:13" ht="16" x14ac:dyDescent="0.2">
      <c r="D32" s="146" t="s">
        <v>105</v>
      </c>
      <c r="E32" s="145" t="s">
        <v>36</v>
      </c>
      <c r="F32" s="171" t="s">
        <v>126</v>
      </c>
      <c r="G32" s="172" t="s">
        <v>127</v>
      </c>
      <c r="H32" s="146" t="s">
        <v>108</v>
      </c>
      <c r="I32" s="146" t="s">
        <v>109</v>
      </c>
      <c r="J32" s="146" t="s">
        <v>110</v>
      </c>
      <c r="K32" s="146" t="s">
        <v>111</v>
      </c>
      <c r="L32" s="146" t="s">
        <v>122</v>
      </c>
    </row>
    <row r="33" spans="1:13" ht="32" x14ac:dyDescent="0.2">
      <c r="A33" s="178" t="s">
        <v>128</v>
      </c>
      <c r="B33" s="139" t="s">
        <v>129</v>
      </c>
      <c r="C33" t="s">
        <v>116</v>
      </c>
      <c r="D33" s="147">
        <f>21.88*0.9396</f>
        <v>20.558447999999999</v>
      </c>
      <c r="E33" s="144">
        <v>1</v>
      </c>
      <c r="F33" s="135">
        <v>-55092</v>
      </c>
      <c r="G33" s="135">
        <f>F33*D33</f>
        <v>-1132606.017216</v>
      </c>
      <c r="H33" s="135"/>
      <c r="I33" s="135"/>
      <c r="J33" s="135"/>
      <c r="K33" s="135"/>
    </row>
    <row r="34" spans="1:13" x14ac:dyDescent="0.2">
      <c r="C34" t="s">
        <v>118</v>
      </c>
      <c r="D34" s="147">
        <v>32.409999999999997</v>
      </c>
      <c r="E34" s="144">
        <v>0.33329999999999999</v>
      </c>
      <c r="F34" s="135"/>
      <c r="G34" s="135"/>
      <c r="H34" s="135">
        <f>(F33*E34)*-1</f>
        <v>18362.1636</v>
      </c>
      <c r="I34" s="135">
        <f>D34*H34</f>
        <v>595117.72227599996</v>
      </c>
      <c r="J34" s="135"/>
      <c r="K34" s="135"/>
      <c r="L34" s="176">
        <v>46053</v>
      </c>
      <c r="M34" s="179">
        <v>0.25</v>
      </c>
    </row>
    <row r="35" spans="1:13" x14ac:dyDescent="0.2">
      <c r="F35" s="135"/>
      <c r="G35" s="135"/>
      <c r="H35" s="135"/>
      <c r="I35" s="135"/>
      <c r="J35" s="175">
        <f>-493335.02</f>
        <v>-493335.02</v>
      </c>
      <c r="K35" s="175">
        <f>-537514.28</f>
        <v>-537514.28</v>
      </c>
    </row>
    <row r="39" spans="1:13" x14ac:dyDescent="0.2">
      <c r="B39" s="141" t="s">
        <v>121</v>
      </c>
      <c r="F39" s="135"/>
      <c r="G39" s="135"/>
      <c r="H39" s="135"/>
      <c r="I39" s="135"/>
      <c r="J39" t="s">
        <v>101</v>
      </c>
      <c r="K39" s="135"/>
    </row>
    <row r="40" spans="1:13" x14ac:dyDescent="0.2">
      <c r="D40" s="146" t="s">
        <v>103</v>
      </c>
      <c r="E40" s="145"/>
      <c r="F40" s="146"/>
      <c r="G40" s="146"/>
      <c r="H40" s="146"/>
      <c r="I40" s="146"/>
      <c r="J40" s="146" t="s">
        <v>104</v>
      </c>
      <c r="K40" s="146" t="s">
        <v>104</v>
      </c>
      <c r="L40" s="146"/>
    </row>
    <row r="41" spans="1:13" ht="16" x14ac:dyDescent="0.2">
      <c r="D41" s="146" t="s">
        <v>105</v>
      </c>
      <c r="E41" s="145" t="s">
        <v>36</v>
      </c>
      <c r="F41" s="171" t="s">
        <v>126</v>
      </c>
      <c r="G41" s="172" t="s">
        <v>127</v>
      </c>
      <c r="H41" s="146" t="s">
        <v>108</v>
      </c>
      <c r="I41" s="146" t="s">
        <v>109</v>
      </c>
      <c r="J41" s="146" t="s">
        <v>110</v>
      </c>
      <c r="K41" s="146" t="s">
        <v>111</v>
      </c>
      <c r="L41" s="146" t="s">
        <v>122</v>
      </c>
    </row>
    <row r="42" spans="1:13" ht="32" x14ac:dyDescent="0.2">
      <c r="A42" s="178" t="s">
        <v>128</v>
      </c>
      <c r="B42" s="139" t="s">
        <v>130</v>
      </c>
      <c r="C42" t="s">
        <v>82</v>
      </c>
      <c r="D42" s="147">
        <f>10.81*0.9396</f>
        <v>10.157076</v>
      </c>
      <c r="E42" s="144">
        <v>1</v>
      </c>
      <c r="F42" s="135">
        <v>-116100</v>
      </c>
      <c r="G42" s="135">
        <f>F42*D42</f>
        <v>-1179236.5236</v>
      </c>
      <c r="H42" s="135"/>
      <c r="I42" s="135"/>
      <c r="J42" s="135"/>
      <c r="K42" s="135"/>
    </row>
    <row r="43" spans="1:13" x14ac:dyDescent="0.2">
      <c r="C43" t="s">
        <v>45</v>
      </c>
      <c r="D43" s="147">
        <f>22.22*0.9396</f>
        <v>20.877911999999998</v>
      </c>
      <c r="E43" s="144">
        <v>0.45</v>
      </c>
      <c r="F43" s="135"/>
      <c r="G43" s="135"/>
      <c r="H43" s="135">
        <f>F42/3*-1</f>
        <v>38700</v>
      </c>
      <c r="I43" s="135">
        <f>D43*H43</f>
        <v>807975.19439999992</v>
      </c>
      <c r="J43" s="135"/>
      <c r="K43" s="135"/>
      <c r="L43" s="176">
        <v>46037</v>
      </c>
      <c r="M43" s="179">
        <v>0.25</v>
      </c>
    </row>
    <row r="44" spans="1:13" x14ac:dyDescent="0.2">
      <c r="F44" s="135"/>
      <c r="G44" s="135"/>
      <c r="H44" s="135"/>
      <c r="I44" s="135"/>
      <c r="J44" s="175">
        <f>-85055.18</f>
        <v>-85055.18</v>
      </c>
      <c r="K44" s="175">
        <f>-88700.4</f>
        <v>-88700.4</v>
      </c>
    </row>
    <row r="47" spans="1:13" x14ac:dyDescent="0.2">
      <c r="B47" s="141" t="s">
        <v>124</v>
      </c>
      <c r="F47" s="135"/>
      <c r="G47" s="135"/>
      <c r="H47" s="135"/>
      <c r="I47" s="135"/>
      <c r="J47" t="s">
        <v>101</v>
      </c>
      <c r="K47" s="135"/>
    </row>
    <row r="48" spans="1:13" x14ac:dyDescent="0.2">
      <c r="D48" s="146" t="s">
        <v>103</v>
      </c>
      <c r="E48" s="145"/>
      <c r="F48" s="146"/>
      <c r="G48" s="146"/>
      <c r="H48" s="146"/>
      <c r="I48" s="146"/>
      <c r="J48" s="146" t="s">
        <v>104</v>
      </c>
      <c r="K48" s="146" t="s">
        <v>104</v>
      </c>
      <c r="L48" s="146"/>
    </row>
    <row r="49" spans="1:13" ht="16" x14ac:dyDescent="0.2">
      <c r="D49" s="146" t="s">
        <v>105</v>
      </c>
      <c r="E49" s="145" t="s">
        <v>36</v>
      </c>
      <c r="F49" s="171" t="s">
        <v>126</v>
      </c>
      <c r="G49" s="172" t="s">
        <v>127</v>
      </c>
      <c r="H49" s="146" t="s">
        <v>108</v>
      </c>
      <c r="I49" s="146" t="s">
        <v>109</v>
      </c>
      <c r="J49" s="146" t="s">
        <v>110</v>
      </c>
      <c r="K49" s="146" t="s">
        <v>111</v>
      </c>
      <c r="L49" s="146" t="s">
        <v>122</v>
      </c>
    </row>
    <row r="50" spans="1:13" ht="32" x14ac:dyDescent="0.2">
      <c r="A50" s="178" t="s">
        <v>128</v>
      </c>
      <c r="B50" s="139" t="s">
        <v>131</v>
      </c>
      <c r="C50" t="s">
        <v>54</v>
      </c>
      <c r="D50" s="147">
        <f>10.74*0.9396</f>
        <v>10.091304000000001</v>
      </c>
      <c r="E50" s="144">
        <v>1</v>
      </c>
      <c r="F50" s="135">
        <f>-50400</f>
        <v>-50400</v>
      </c>
      <c r="G50" s="177">
        <f>D50*F50</f>
        <v>-508601.72160000005</v>
      </c>
    </row>
    <row r="51" spans="1:13" x14ac:dyDescent="0.2">
      <c r="C51" t="s">
        <v>68</v>
      </c>
      <c r="D51" s="147">
        <f>12.22*0.9396</f>
        <v>11.481912000000001</v>
      </c>
      <c r="E51" s="144">
        <v>0.5</v>
      </c>
      <c r="H51" s="177">
        <f>(F50*E51)*-1</f>
        <v>25200</v>
      </c>
      <c r="I51" s="177">
        <f>H51*D51</f>
        <v>289344.18240000005</v>
      </c>
    </row>
    <row r="52" spans="1:13" x14ac:dyDescent="0.2">
      <c r="J52" s="175">
        <f>-1499206.68/7.45</f>
        <v>-201235.79597315434</v>
      </c>
      <c r="K52" s="175">
        <f>-1633464/7.45</f>
        <v>-219256.91275167785</v>
      </c>
      <c r="L52" s="176">
        <v>46052</v>
      </c>
      <c r="M52" s="179">
        <v>0.25</v>
      </c>
    </row>
  </sheetData>
  <pageMargins left="0.7" right="0.7" top="0.75" bottom="0.75" header="0.3" footer="0.3"/>
  <customProperties>
    <customPr name="_pios_id" r:id="rId1"/>
  </customProperties>
</worksheet>
</file>

<file path=docMetadata/LabelInfo.xml><?xml version="1.0" encoding="utf-8"?>
<clbl:labelList xmlns:clbl="http://schemas.microsoft.com/office/2020/mipLabelMetadata">
  <clbl:label id="{1ab8c0df-c8b2-4a64-a121-e08e1a3847b8}" enabled="0" method="" siteId="{1ab8c0df-c8b2-4a64-a121-e08e1a3847b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DP3.Brewing Feb Ap ORIG</vt:lpstr>
      <vt:lpstr>DP3.Brewing Mar-May</vt:lpstr>
      <vt:lpstr>DP2.Brewing Jan Mar</vt:lpstr>
      <vt:lpstr>BDGT 2026 Orig- Oficial Jan 23</vt:lpstr>
      <vt:lpstr>BDGT SAP Jan 2026</vt:lpstr>
      <vt:lpstr>ReYTD Jun + DP Brew Jul_ Dec</vt:lpstr>
      <vt:lpstr>Opps SF Brewing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Rodriguez</dc:creator>
  <cp:keywords/>
  <dc:description/>
  <cp:lastModifiedBy>Oscar Farias</cp:lastModifiedBy>
  <cp:revision/>
  <cp:lastPrinted>2025-10-20T16:02:37Z</cp:lastPrinted>
  <dcterms:created xsi:type="dcterms:W3CDTF">2025-02-17T22:03:42Z</dcterms:created>
  <dcterms:modified xsi:type="dcterms:W3CDTF">2026-06-27T15:56:27Z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