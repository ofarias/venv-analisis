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otecsamexico.sharepoint.com/sites/SistemadeGestindeCalidadeInocuidad9/Documentos compartidos/General/SGIA 22000_2024/Aseguramiento de calidad/Formatos/"/>
    </mc:Choice>
  </mc:AlternateContent>
  <xr:revisionPtr revIDLastSave="249" documentId="8_{8355355E-B548-486E-BB12-AA89EA98648E}" xr6:coauthVersionLast="47" xr6:coauthVersionMax="47" xr10:uidLastSave="{5A257A4B-828B-469B-8511-C826F2D90A73}"/>
  <bookViews>
    <workbookView xWindow="-120" yWindow="-120" windowWidth="29040" windowHeight="15720" tabRatio="601" xr2:uid="{00000000-000D-0000-FFFF-FFFF00000000}"/>
  </bookViews>
  <sheets>
    <sheet name="ACF35" sheetId="25" r:id="rId1"/>
    <sheet name="Verificación PPR´s (Julio)" sheetId="5" state="hidden" r:id="rId2"/>
    <sheet name="Verificación PPR´s(agosto)" sheetId="7" state="hidden" r:id="rId3"/>
    <sheet name="Verificación PPR´s (Sept) " sheetId="6" state="hidden" r:id="rId4"/>
    <sheet name="Verificación PPR´s (Octubre))" sheetId="8" state="hidden" r:id="rId5"/>
    <sheet name="verificación de PPR´s Enero 21" sheetId="13" state="hidden" r:id="rId6"/>
    <sheet name="verificación de PPR´s Feb  21" sheetId="14" state="hidden" r:id="rId7"/>
    <sheet name="verificación de PPR´s Marzo21" sheetId="15" state="hidden" r:id="rId8"/>
    <sheet name="verificación de PPR´s Abril21" sheetId="16" state="hidden" r:id="rId9"/>
    <sheet name="verificación de PPR´s Mayo 21" sheetId="17" state="hidden" r:id="rId10"/>
    <sheet name="verificación de PPR´s Junio21" sheetId="18" state="hidden" r:id="rId11"/>
  </sheets>
  <definedNames>
    <definedName name="_xlnm._FilterDatabase" localSheetId="8" hidden="1">'verificación de PPR´s Abril21'!$A$13:$XFC$22</definedName>
    <definedName name="_xlnm._FilterDatabase" localSheetId="5" hidden="1">'verificación de PPR´s Enero 21'!$A$13:$XFC$21</definedName>
    <definedName name="_xlnm._FilterDatabase" localSheetId="6" hidden="1">'verificación de PPR´s Feb  21'!$A$13:$XFC$21</definedName>
    <definedName name="_xlnm._FilterDatabase" localSheetId="10" hidden="1">'verificación de PPR´s Junio21'!$A$13:$XFC$22</definedName>
    <definedName name="_xlnm._FilterDatabase" localSheetId="7" hidden="1">'verificación de PPR´s Marzo21'!$A$13:$XFC$22</definedName>
    <definedName name="_xlnm._FilterDatabase" localSheetId="9" hidden="1">'verificación de PPR´s Mayo 21'!$A$13:$XFC$22</definedName>
    <definedName name="_xlnm._FilterDatabase" localSheetId="1" hidden="1">'Verificación PPR´s (Julio)'!$A$13:$XFC$36</definedName>
    <definedName name="_xlnm._FilterDatabase" localSheetId="4" hidden="1">'Verificación PPR´s (Octubre))'!$A$13:$XFC$23</definedName>
    <definedName name="_xlnm._FilterDatabase" localSheetId="3" hidden="1">'Verificación PPR´s (Sept) '!$A$13:$XFC$23</definedName>
    <definedName name="_xlnm._FilterDatabase" localSheetId="2" hidden="1">'Verificación PPR´s(agosto)'!$13:$38</definedName>
    <definedName name="_xlnm.Print_Area" localSheetId="0">'ACF35'!$A$1:$AI$18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1" i="25" l="1"/>
  <c r="W11" i="25"/>
  <c r="K11" i="18"/>
  <c r="J11" i="18"/>
  <c r="I11" i="18"/>
  <c r="K11" i="17"/>
  <c r="J11" i="17"/>
  <c r="I11" i="17"/>
  <c r="K11" i="16"/>
  <c r="J11" i="16"/>
  <c r="I11" i="16"/>
  <c r="K11" i="15"/>
  <c r="J11" i="15"/>
  <c r="I11" i="15"/>
  <c r="K11" i="14"/>
  <c r="J11" i="14"/>
  <c r="I11" i="14"/>
  <c r="J11" i="13"/>
  <c r="L11" i="18" l="1"/>
  <c r="M11" i="18" s="1"/>
  <c r="L11" i="17"/>
  <c r="M11" i="17" s="1"/>
  <c r="L11" i="16"/>
  <c r="M11" i="16" s="1"/>
  <c r="L11" i="15"/>
  <c r="M11" i="15" s="1"/>
  <c r="L11" i="14"/>
  <c r="M11" i="14" s="1"/>
  <c r="L11" i="13"/>
  <c r="M11" i="13" s="1"/>
  <c r="J11" i="8" l="1"/>
  <c r="I11" i="8"/>
  <c r="F8" i="8"/>
  <c r="J11" i="6"/>
  <c r="K11" i="8"/>
  <c r="L11" i="8" l="1"/>
  <c r="M11" i="8" s="1"/>
  <c r="G8" i="7" l="1"/>
  <c r="J11" i="7"/>
  <c r="K11" i="7"/>
  <c r="L11" i="7"/>
  <c r="M11" i="7" l="1"/>
  <c r="N11" i="7" s="1"/>
  <c r="I11" i="6" l="1"/>
  <c r="K11" i="6" l="1"/>
  <c r="I11" i="5"/>
  <c r="L11" i="6" l="1"/>
  <c r="M11" i="6" s="1"/>
  <c r="K11" i="5" l="1"/>
  <c r="J11" i="5"/>
  <c r="L11" i="5" l="1"/>
  <c r="M11" i="5" s="1"/>
</calcChain>
</file>

<file path=xl/sharedStrings.xml><?xml version="1.0" encoding="utf-8"?>
<sst xmlns="http://schemas.openxmlformats.org/spreadsheetml/2006/main" count="1493" uniqueCount="443">
  <si>
    <t>Concentrado de acciones correctivas</t>
  </si>
  <si>
    <t>PROYECTO/ AUDITORÍA</t>
  </si>
  <si>
    <t>FECHA ELABORACIÓN:</t>
  </si>
  <si>
    <t>REVISÓ/ AUDITÓ</t>
  </si>
  <si>
    <t>FECHA DE REVISIÓN:</t>
  </si>
  <si>
    <t>Cerradas</t>
  </si>
  <si>
    <t>En proceso</t>
  </si>
  <si>
    <t>Retrasadas</t>
  </si>
  <si>
    <t>Total de acciones</t>
  </si>
  <si>
    <t>% AVANCE</t>
  </si>
  <si>
    <t>Quejas</t>
  </si>
  <si>
    <t>Auditoria interna</t>
  </si>
  <si>
    <t>Auditoria externa</t>
  </si>
  <si>
    <t>REVISÓ/AUDITÓ</t>
  </si>
  <si>
    <t>ACCIONES</t>
  </si>
  <si>
    <t>#</t>
  </si>
  <si>
    <t>AC</t>
  </si>
  <si>
    <t>AREA/ FUENTE</t>
  </si>
  <si>
    <t>HALLAZGO</t>
  </si>
  <si>
    <t>CATEGORIA</t>
  </si>
  <si>
    <t>RIESGO</t>
  </si>
  <si>
    <t>ACCIONES CORRECTIVAS</t>
  </si>
  <si>
    <t>RESPONSABLE</t>
  </si>
  <si>
    <t>FECHA COMPROMISO</t>
  </si>
  <si>
    <t>FECHA 
INICIO</t>
  </si>
  <si>
    <t>FECHA TERMINO</t>
  </si>
  <si>
    <t>VALIDÓ</t>
  </si>
  <si>
    <t>ESTATUS</t>
  </si>
  <si>
    <t>VERIFICACION DE LA EFICACIA</t>
  </si>
  <si>
    <t>OBSERVACIONES Y/O COMENTARIOS DEL HALLAZGO</t>
  </si>
  <si>
    <t>CONCENTRADO DE ACCIONES CORRECTIVAS</t>
  </si>
  <si>
    <t>Revisión: Inicia</t>
  </si>
  <si>
    <t>Clave: ACF35</t>
  </si>
  <si>
    <t>Fecha: 15/05/2020</t>
  </si>
  <si>
    <t>Página: 1 de 1</t>
  </si>
  <si>
    <t>Segumiento a plan de acción PPR´s</t>
  </si>
  <si>
    <t>REVISÓ/
AUDITÓ</t>
  </si>
  <si>
    <t>Karen, Elvia, Blanca</t>
  </si>
  <si>
    <t>NA</t>
  </si>
  <si>
    <t>CERRADAS</t>
  </si>
  <si>
    <t>EN PROCESO</t>
  </si>
  <si>
    <t>RETRASADAS</t>
  </si>
  <si>
    <t>TOTAL ACCIONES</t>
  </si>
  <si>
    <t>HALLAZGOS</t>
  </si>
  <si>
    <t>Verificación de la eficacia</t>
  </si>
  <si>
    <t>Verificación de PPR´s</t>
  </si>
  <si>
    <t>Falta 1 análisis posterior al tratamiento de personal con incidencia</t>
  </si>
  <si>
    <t>BPM´s</t>
  </si>
  <si>
    <t>Medio</t>
  </si>
  <si>
    <t xml:space="preserve">Programar el análisis  pendiente </t>
  </si>
  <si>
    <t xml:space="preserve">Blanca Garduño </t>
  </si>
  <si>
    <t>B. Garduño</t>
  </si>
  <si>
    <t>Cerrado</t>
  </si>
  <si>
    <t xml:space="preserve">Análisis </t>
  </si>
  <si>
    <t>Tratamiento efectivo. Sin hallazgos</t>
  </si>
  <si>
    <t>Presencia de envolturas de dulces, papel en la parte superior del casillero.
Presencia de gorra en casillero de control de químicos.</t>
  </si>
  <si>
    <t>Reforzar las reglas de BPM´s con el personal / Orden y limpieza</t>
  </si>
  <si>
    <t>B.Garduño</t>
  </si>
  <si>
    <t>Revisión en el siguiente recorrido no se tenga hallazgo.</t>
  </si>
  <si>
    <t>Se asigna al Sr. Jose luis para realizar la limpieza de los casilleros.
Verificación física.</t>
  </si>
  <si>
    <t>Se observó hongo en maquinaria en deshuso en cuarto limpio 1</t>
  </si>
  <si>
    <t>Limpieza</t>
  </si>
  <si>
    <t>medio</t>
  </si>
  <si>
    <t>Reforzar la limpieza de la maquinaria en desuso</t>
  </si>
  <si>
    <t>Arturo Villagrana</t>
  </si>
  <si>
    <t xml:space="preserve">Se realizó limpieza correctiva. </t>
  </si>
  <si>
    <t>Equipo en desuso. Se realizó limpieza correctiva y se reforzó para la capacitación de POE cuarto limpio.</t>
  </si>
  <si>
    <t>Falta actualizar bitácora en área de comedor (ultimos registros del mes de junio 2020)</t>
  </si>
  <si>
    <t>Control de Químico</t>
  </si>
  <si>
    <t>Actualizar bitácora</t>
  </si>
  <si>
    <t>Alma Granados</t>
  </si>
  <si>
    <t xml:space="preserve">Karen Abrego </t>
  </si>
  <si>
    <t xml:space="preserve">Personal responsable del llenado de bitácora en incapacidad </t>
  </si>
  <si>
    <t>Se observó 1 porrón en el cuarto de químicos sin identificar</t>
  </si>
  <si>
    <t>Control de químicos</t>
  </si>
  <si>
    <t>Identificar químico
Reforzar procedimiento de Control de químicos con personal de producción</t>
  </si>
  <si>
    <t>Omisión al procedimiento control de químicos</t>
  </si>
  <si>
    <t>Falta la evidencia de capacitación  y manejo seguro de químicos de los técnicos asignados.</t>
  </si>
  <si>
    <t>Control de plagas</t>
  </si>
  <si>
    <t xml:space="preserve">Medio </t>
  </si>
  <si>
    <t>Solicitar la documentación faltante</t>
  </si>
  <si>
    <t>Incluido capacitación, lay out y reportes de tendencia en carpeta.</t>
  </si>
  <si>
    <t>El lay out indica 40 trampas internas y físicamente son 41</t>
  </si>
  <si>
    <t>Solicitar corrección de lay out al proveedor</t>
  </si>
  <si>
    <t>Arturo villagrana</t>
  </si>
  <si>
    <t>Lay out corregido</t>
  </si>
  <si>
    <t xml:space="preserve">Se observa cerca de la puerta de emergencia de desarrollos cochinillas arañas, etc. </t>
  </si>
  <si>
    <t>1. Reforzar la limpieza del área
sellar los claros de luz de la puerta de textil</t>
  </si>
  <si>
    <t>No incidencia en recorridos</t>
  </si>
  <si>
    <t>Se retroalimentó  a personal de limpieza Durante recorrido de mes septiembre. Se capacitó previamente en POE.</t>
  </si>
  <si>
    <t>Se observó análisis de riesgo por el proveedor de servicio, no se encontró evidencia del seguimiento.</t>
  </si>
  <si>
    <t>1. dar seguimiento a analisis de riesgos</t>
  </si>
  <si>
    <t xml:space="preserve">Verificación física. El hallazgo del mes de agosto se descarta. Ya que el claro que identifica el proveedor  </t>
  </si>
  <si>
    <t>Se observó equipo en desuso en patio trasero y en rack (un equipo de aire acondicionado obsoleto).</t>
  </si>
  <si>
    <t>Sellar claros de luz/ revisar disposición de equipos en desuso</t>
  </si>
  <si>
    <t xml:space="preserve">Arturo Villagrana </t>
  </si>
  <si>
    <t xml:space="preserve">Por definir </t>
  </si>
  <si>
    <t xml:space="preserve">El Sr. Arturo mostró evidencia fotográfica de la solicitud de la gestión. </t>
  </si>
  <si>
    <t>Se observó que requiere mantenimiento a cuarto limpio (interior y exterior)</t>
  </si>
  <si>
    <t xml:space="preserve">Mantenimiento </t>
  </si>
  <si>
    <t xml:space="preserve">Programar mantenimiento a cuarto limpio </t>
  </si>
  <si>
    <t xml:space="preserve">Reparación de pared externa y piso. </t>
  </si>
  <si>
    <t>Se observaron reparaciones temporales en los porta playos, extensiones eléctricas,</t>
  </si>
  <si>
    <t>Realizar reparación de porta playos</t>
  </si>
  <si>
    <t>Un componente de plástico roto de la lámpara en el cuarto de químicos</t>
  </si>
  <si>
    <t xml:space="preserve">Control de vidrio </t>
  </si>
  <si>
    <t xml:space="preserve">Se va a indicar la pieza faltante en el check. No es necesario </t>
  </si>
  <si>
    <t>Sarainés Acevedo</t>
  </si>
  <si>
    <t>Se desgastó y se retiró la cubierta</t>
  </si>
  <si>
    <t>Se observaron   letrero roto en el almacén ashland</t>
  </si>
  <si>
    <t>Control de Materia extraña</t>
  </si>
  <si>
    <t>Solicitar el retiro y realizar la compra de los letreros para sustituir</t>
  </si>
  <si>
    <t>Elvia Martinez/ Blnaca Garduño</t>
  </si>
  <si>
    <t>Se solicita el retiro ya que el letrero corresponde a una identificación obsoleta de seguridad e higiene</t>
  </si>
  <si>
    <t xml:space="preserve">Lista de alérgenos de almacén sin actualizar y en desarrollos no hay una lista disponible de los alérgenos que utilizan para sus pruebas. </t>
  </si>
  <si>
    <t>Alérgenos</t>
  </si>
  <si>
    <t>Se colcan listados actualizados en las 3 áreas (comedor, almacén y desarrollos).</t>
  </si>
  <si>
    <t>Zaira Munguía</t>
  </si>
  <si>
    <t>Falta de utensilios para manejo de alérgenos en el laboratorio de desarrollos.  En producción si se cuenta con utensilios.</t>
  </si>
  <si>
    <t>Implementar identificación de utensilios</t>
  </si>
  <si>
    <t>Se actualizó procedimiento de trazabilidad el 06/05/2020 falta realizar la difusión a las áreas y responsables involucrados.</t>
  </si>
  <si>
    <t>Trazabilidad</t>
  </si>
  <si>
    <t xml:space="preserve">Se realizó difusión con la difusión de PPR´s </t>
  </si>
  <si>
    <t>Blanca Garduño</t>
  </si>
  <si>
    <t>Listado en proceso de actualización, falta incluir los equipos de desarrollos.</t>
  </si>
  <si>
    <t xml:space="preserve">Calibración </t>
  </si>
  <si>
    <t xml:space="preserve">Se incluyen equipos de desarrollos </t>
  </si>
  <si>
    <t>Falta actualizar el listado de los equipos de desarrollo</t>
  </si>
  <si>
    <t>Acumulación de polvo en esquinas de franjas sanitarias.</t>
  </si>
  <si>
    <t>Almacenamiento</t>
  </si>
  <si>
    <t>Se agrega en formato que se debe detallar la limpieza de la base de rack</t>
  </si>
  <si>
    <t>Realizan limpieza correctiva. Verificar en siguiente recorrido</t>
  </si>
  <si>
    <t>Falta la actualización de evaluación de proveedores</t>
  </si>
  <si>
    <t>Compras</t>
  </si>
  <si>
    <t xml:space="preserve">Actualizar evaluación para proveedores de MP y de servicio </t>
  </si>
  <si>
    <t>Anabel estrada</t>
  </si>
  <si>
    <t>No se tiene Check list de defensa de alimentos.</t>
  </si>
  <si>
    <t>Defensa de alimentos</t>
  </si>
  <si>
    <t>Implementar check list</t>
  </si>
  <si>
    <t xml:space="preserve">Al realiza la actualización no se actualizó el check list </t>
  </si>
  <si>
    <t>Cartón acumulado en el almacen / basura acumulada en el área de industrial</t>
  </si>
  <si>
    <t>Gestión de desechos</t>
  </si>
  <si>
    <t>Reforzar con personal retiro frecuente de desechos con el procedimiento gestión de deschos</t>
  </si>
  <si>
    <t xml:space="preserve">Se retira fisicamente de la planta el desecho de manejo especial de la planta. </t>
  </si>
  <si>
    <t>ANALISIS CAUSA RAÍZ</t>
  </si>
  <si>
    <t>Equipo en desuso</t>
  </si>
  <si>
    <t xml:space="preserve">B. Garduño </t>
  </si>
  <si>
    <t>1. Reforzar la limpieza del área
sellar los claros de luz de la puerta de desarrollos</t>
  </si>
  <si>
    <t>1. Falta de limpieza en el área
2. la puerta no sella completamente</t>
  </si>
  <si>
    <t>EN proceso</t>
  </si>
  <si>
    <t xml:space="preserve">Falta de seguimiento a analisis de riesgo. </t>
  </si>
  <si>
    <t xml:space="preserve">Solicitado al proveedor no lo ha realizado. </t>
  </si>
  <si>
    <t xml:space="preserve">Ya se retiró </t>
  </si>
  <si>
    <t xml:space="preserve">Reforzar las caracterizaciones y/o procedimientos con el personal de almacén. </t>
  </si>
  <si>
    <t>No se ha entregado evidencia de la limpieza de la franja</t>
  </si>
  <si>
    <t>Falta capacitar en el procedimiento actualizado recientemente de gestión de desechos</t>
  </si>
  <si>
    <t>Capacitación proporcionada en triptico de PPR´s</t>
  </si>
  <si>
    <t>Reforzar con personal retiro frecuente de desechos con el procedimiento gestión de desehos</t>
  </si>
  <si>
    <t>Desechos del momento de la actividad}</t>
  </si>
  <si>
    <t>Llave de lavabo izquierdo del baño de mujeres no sirve.</t>
  </si>
  <si>
    <t xml:space="preserve">Programar reparación </t>
  </si>
  <si>
    <t>Revisión física</t>
  </si>
  <si>
    <t>Casillero de Cuarto de químicos (producción) con ropa de calle encima de la ropa de trabajo</t>
  </si>
  <si>
    <t>Reforzar el guardar ropa de calle en sus lockers.</t>
  </si>
  <si>
    <t>Retroalimentación de personal</t>
  </si>
  <si>
    <t>Se observó lavabo de caballeros y mujeres con acumulación de suciedad y formación de hongo.</t>
  </si>
  <si>
    <t>1. Solicitar a responsable del personal de limpieza  la limpieza profunda. 
2. Solicitar cepillos para realizar la limpieza</t>
  </si>
  <si>
    <t>Solicitaron cepillos</t>
  </si>
  <si>
    <t>1 porrón sin identificar en el cuarto de químicos</t>
  </si>
  <si>
    <t>Etiquetar porrón.</t>
  </si>
  <si>
    <t>Karen Abrego</t>
  </si>
  <si>
    <t>revisión física</t>
  </si>
  <si>
    <t>Se observó telaraña detrás de rack industrial y cochinilla en puerta de textil desarrollos.</t>
  </si>
  <si>
    <t>Control de Plagas</t>
  </si>
  <si>
    <t xml:space="preserve">Reforzar limpieza. </t>
  </si>
  <si>
    <t>Se verifica que en cada limpieza se detalle el marco de la pared.  Retiro de telaraña</t>
  </si>
  <si>
    <t>Se observa reparación temporal de portaplayos producción alimentos. Y de rack c6 industrial.</t>
  </si>
  <si>
    <t xml:space="preserve">EN PROCESO </t>
  </si>
  <si>
    <t>Se solicitó no se ha reparado</t>
  </si>
  <si>
    <t>Personal desconocía o entendía poco la política de vidrio.</t>
  </si>
  <si>
    <t>Reforzar política con personal</t>
  </si>
  <si>
    <t>Ya se solicitó la reparación.</t>
  </si>
  <si>
    <t>2 personas con bata consumiendo alimentos en el comedor.</t>
  </si>
  <si>
    <t>Control de alérgenos</t>
  </si>
  <si>
    <t>Reforzar procedimiento de control de alérgenos.</t>
  </si>
  <si>
    <t>Retroalimentación al personal.</t>
  </si>
  <si>
    <t>1 porrón de químicos sin identificar</t>
  </si>
  <si>
    <t>trazabilidad</t>
  </si>
  <si>
    <t>Identificar porrón</t>
  </si>
  <si>
    <t>exceso de playo y basura acumulada en el almacén</t>
  </si>
  <si>
    <t>Gestion de residuos</t>
  </si>
  <si>
    <t xml:space="preserve">Solicitar a proveedor retiro </t>
  </si>
  <si>
    <t>Elvia Martinez</t>
  </si>
  <si>
    <t xml:space="preserve"> Revisión física</t>
  </si>
  <si>
    <t>Segumiento a plan de acción PPR´s OCTUBRE</t>
  </si>
  <si>
    <t>Karen / Blanca</t>
  </si>
  <si>
    <t xml:space="preserve">Almacén </t>
  </si>
  <si>
    <t>Se observa en general polvo acumulado en esquinas de racks, teleraña en tubo de agua pluvial en almacén de pharma, polvo de bajo de racks debajo de racks. Y arañas y cohcinillas muertas en franja sanitaria.</t>
  </si>
  <si>
    <t xml:space="preserve">Limpieza y sanitización </t>
  </si>
  <si>
    <t>Realizar limpieza para quitar telarañas</t>
  </si>
  <si>
    <t>CERRADO</t>
  </si>
  <si>
    <t>Se revisa el área ya se quitaron telarañas. Se solicita reforzar el programa de limpieza.</t>
  </si>
  <si>
    <t>Producción</t>
  </si>
  <si>
    <t>Lámpara # 6 no corrresponde a lay out</t>
  </si>
  <si>
    <t>Solicitar al proveedor la corrección del lay out</t>
  </si>
  <si>
    <t>El día 18/11/2020 Se solicita al proveedor la actualización del lay out.</t>
  </si>
  <si>
    <t>Evidencia de arañas muertas y 1 viva y cpochinillas en alamcén de pharma y en isla N sobre franja sanitaria</t>
  </si>
  <si>
    <t>Realizar limpieza de franja sanitaria</t>
  </si>
  <si>
    <t>Se realiza limpieza correctiva</t>
  </si>
  <si>
    <t>Equipos en desuso en la parte exterior, hoyo en pared (industrial) y exceso de polvo en esquinas del almacén.</t>
  </si>
  <si>
    <t>Control de plagas / mantto</t>
  </si>
  <si>
    <t>Alto</t>
  </si>
  <si>
    <t>Reparación temporal en porta playos hoyo relleno con papel en industrial, maleza en la parte exterior trasera.</t>
  </si>
  <si>
    <t>Mantto</t>
  </si>
  <si>
    <t>Programar reparación y retiro de  maleza</t>
  </si>
  <si>
    <t xml:space="preserve">En proceso </t>
  </si>
  <si>
    <t>Letreros rotos en el almacen</t>
  </si>
  <si>
    <t>control d materia extraña</t>
  </si>
  <si>
    <t xml:space="preserve">letreros rotos </t>
  </si>
  <si>
    <t>Elvia Martinez/Blanca</t>
  </si>
  <si>
    <t xml:space="preserve">Desarrollos </t>
  </si>
  <si>
    <t xml:space="preserve">Muestras de desarrollo sin etiquetar </t>
  </si>
  <si>
    <t xml:space="preserve">Bajo </t>
  </si>
  <si>
    <t xml:space="preserve">colocar de manera visible la identificación de la muestra. </t>
  </si>
  <si>
    <t xml:space="preserve">Comentan que si estaba etiquetado. </t>
  </si>
  <si>
    <t xml:space="preserve">almacén </t>
  </si>
  <si>
    <t>Rack y franja sanitaria sucias de las esquinas, presencia de araña viva en franja de farmacia y araña muerta en franja de isla N (industrial).</t>
  </si>
  <si>
    <t xml:space="preserve">Retirar cadaveres de plagas y reforzar limpieza </t>
  </si>
  <si>
    <t>Tableros de luz de abiertas (industrial)</t>
  </si>
  <si>
    <t xml:space="preserve">Revisar el motivo de no mantener cerrado </t>
  </si>
  <si>
    <t>Durante el recorrido se observa cartón y playo acumulado</t>
  </si>
  <si>
    <t>sacar con mayor frecuencia los desechos</t>
  </si>
  <si>
    <t>Verificación de PPR´s Enero 2021</t>
  </si>
  <si>
    <t xml:space="preserve">Blanca E. Garduño  / Karen Abrego </t>
  </si>
  <si>
    <t xml:space="preserve">Llave de lavabo de mujeres que no sirve </t>
  </si>
  <si>
    <t>BPM</t>
  </si>
  <si>
    <t>Programar reparación</t>
  </si>
  <si>
    <t>Elvia/ Blanca</t>
  </si>
  <si>
    <t xml:space="preserve">Cerrado </t>
  </si>
  <si>
    <t>Presencia de ropa sobre químicos en cuarto de químicos</t>
  </si>
  <si>
    <t>Retroalimentar personal</t>
  </si>
  <si>
    <t xml:space="preserve">Se retroalimenta personal y se retiran del área. </t>
  </si>
  <si>
    <t>Formación de hongo en empaque ventana cuarto limpio 1 y en baños</t>
  </si>
  <si>
    <t xml:space="preserve">Programar limpieza </t>
  </si>
  <si>
    <t xml:space="preserve">Se realiza limpieza profunda en baño mujeres y se identifica que no es hongo. </t>
  </si>
  <si>
    <t>En producción industrial (mezcla de utensilio verde y gris con negro).</t>
  </si>
  <si>
    <t>Por definir</t>
  </si>
  <si>
    <t xml:space="preserve">Cuestión cultural de empleados. </t>
  </si>
  <si>
    <t>Falta reporte de tendencia de Dic- 20 y Ene 21</t>
  </si>
  <si>
    <t>Plagas</t>
  </si>
  <si>
    <t xml:space="preserve">Solicitar reportes de tendencia </t>
  </si>
  <si>
    <t xml:space="preserve">Entrega reportes pendientes </t>
  </si>
  <si>
    <t>Presencia de arañas muertas cerca de trampa # 4, telarañas en isla C, telarañas en columnas blancas y en algunas tarimas, escarabajo muerto rack P06.</t>
  </si>
  <si>
    <t xml:space="preserve">Programar limpieza de franja sanitaria </t>
  </si>
  <si>
    <t>Hoyos en el almacén parte industrial y equipos en desuso en racks.</t>
  </si>
  <si>
    <t>Programar reparación de hoyos</t>
  </si>
  <si>
    <t xml:space="preserve">Se cierra hallazgo no se van a mover hasta contar con autorización. </t>
  </si>
  <si>
    <t>Programa de mantenimiento sin actualizar  el del 2021</t>
  </si>
  <si>
    <t xml:space="preserve">Mantto </t>
  </si>
  <si>
    <t>Actualizar programa 2021 y cerrar 2020</t>
  </si>
  <si>
    <t>Entrega programa actualizado hadtsa mayo 2021</t>
  </si>
  <si>
    <t>Grietas en pared de almacén industrial a lado de pared de desarrollos, pintura descarapelada por humedad (pared farmacia) hoyos pared producción industrial.</t>
  </si>
  <si>
    <t xml:space="preserve">Se cubren grietas por remodelación de nueva área de industrial. Se quita pared y se coloca cortina. </t>
  </si>
  <si>
    <t xml:space="preserve">Por remodelación se observan residuos de alambres, clavos. En pasillos cercanos al área tratada. </t>
  </si>
  <si>
    <t xml:space="preserve">Retroalimentar al proveedor. </t>
  </si>
  <si>
    <t xml:space="preserve">Se le dá la indicación al proveedor que sean más cuidadosos. Y los trabajos de remodelación se observa cese total hasta abril </t>
  </si>
  <si>
    <t>Letreros rotos Rack B01</t>
  </si>
  <si>
    <t>Mat. Extraña</t>
  </si>
  <si>
    <t xml:space="preserve">Retirar letreros rotos </t>
  </si>
  <si>
    <r>
      <rPr>
        <sz val="12"/>
        <color theme="1"/>
        <rFont val="Calibri"/>
        <family val="2"/>
        <scheme val="minor"/>
      </rPr>
      <t>Falta</t>
    </r>
    <r>
      <rPr>
        <sz val="11"/>
        <color theme="1"/>
        <rFont val="Calibri"/>
        <family val="2"/>
        <scheme val="minor"/>
      </rPr>
      <t xml:space="preserve"> actualización de evaluación de proveedores</t>
    </r>
  </si>
  <si>
    <t xml:space="preserve">Compras </t>
  </si>
  <si>
    <t>Actualizar formato COF04 y COF05</t>
  </si>
  <si>
    <t>Anabel Estrada</t>
  </si>
  <si>
    <t xml:space="preserve">Reforzar con personal que tipo de desechos se genera en su área </t>
  </si>
  <si>
    <t>G. Desechos</t>
  </si>
  <si>
    <t xml:space="preserve">Proporcionar capacitación de desechos. </t>
  </si>
  <si>
    <t>Verificación de PPR´s Febrero 21</t>
  </si>
  <si>
    <t>Llave de lavabo de mujeres  derecha) no sirve.</t>
  </si>
  <si>
    <t>Casillero almacén: Presencia de ropa
Casillero producción:  Falta orden en casillero uniforme sobre químicos de limpieza.</t>
  </si>
  <si>
    <t>Presencia de astillas de madera en varias áreas del almacén.</t>
  </si>
  <si>
    <t>Realizar limpieza e incluir en capacitación de BPA el tema.</t>
  </si>
  <si>
    <t>Juan Carlos Vera</t>
  </si>
  <si>
    <t>Se refuerza tema en BPA. Y aumento de barrido del almacén</t>
  </si>
  <si>
    <t>Formación de hongo debajo de empaque en ventana CL1
Hongo en paredes baño mujeres y hombres
Falta de orden y limpieza en área de pero ducción industrial.</t>
  </si>
  <si>
    <t>Programar limpieza</t>
  </si>
  <si>
    <t>Trampa #28 fuera de lugar</t>
  </si>
  <si>
    <t xml:space="preserve">Se ancla trampa durante recorrido. </t>
  </si>
  <si>
    <t>Presencia de plaga: Palomilla en tarima isla A, Azotador vivo en cámara de refrigeración. Presencia de telarañas en tarimas de área industrial.</t>
  </si>
  <si>
    <t>Trampas desancladas interior : #6, #12, 40, #14 y # 28
Trampas desancladas exterior: 08 y 23 golpeada.</t>
  </si>
  <si>
    <t>Anclar trampas</t>
  </si>
  <si>
    <t>Equipos en desuso en racks.</t>
  </si>
  <si>
    <t xml:space="preserve">No autorizado </t>
  </si>
  <si>
    <t>No se tiene el calendario actualizado al 2021</t>
  </si>
  <si>
    <t>Realizar actualización del calendario anual 2021</t>
  </si>
  <si>
    <t>Entrega programa actualizado hasta mayo 2021</t>
  </si>
  <si>
    <t xml:space="preserve">Grietas en pared de almacén industrial a lado de pared de desarrollos, pintura descarapelada por humedad (pared farmacia) hoyos pared producción industrial. </t>
  </si>
  <si>
    <t>Realizar reparaciones</t>
  </si>
  <si>
    <t>Pared industrial quedó reparado con la remodelación. Pared farmacia en stand bye.</t>
  </si>
  <si>
    <t>Reparación temporal de cables (tablero eléctrico prod. Industrial).</t>
  </si>
  <si>
    <t>Realizar reparación</t>
  </si>
  <si>
    <t xml:space="preserve">Se identifica en recorrido de industria limpia.  Cierre de acción previo a la auditoría. </t>
  </si>
  <si>
    <t>Ventana # 18 empaques desprendidos.</t>
  </si>
  <si>
    <t xml:space="preserve">Astillas y letrero roto rack industrial y rack B01 </t>
  </si>
  <si>
    <t xml:space="preserve">Retiro de letrero </t>
  </si>
  <si>
    <t>Se retiran letreros</t>
  </si>
  <si>
    <t>Verificación de PPR´s Marzo 2021</t>
  </si>
  <si>
    <t>Se observa evidencia de anilla de lata de refresco debajo de casilleros que se encuentran provisionalmente dentro del almacén.</t>
  </si>
  <si>
    <t xml:space="preserve">Reforzar reglas de BPM´s en la capacitación anual de PPR´s </t>
  </si>
  <si>
    <t>Llave de lavabo de mujeres  derecha no sirve.</t>
  </si>
  <si>
    <t xml:space="preserve">Programar mantenimiento </t>
  </si>
  <si>
    <t xml:space="preserve">Casillero cuarto de químicos: Casillero con evidencia de consumo de refresco (Coca de 600 ml). Queda pendiente la reubicación de los casilleros del personal. </t>
  </si>
  <si>
    <t xml:space="preserve">Posterior a la remodelación regresar los casilleros al pasillo hacia los sanitarios. </t>
  </si>
  <si>
    <t xml:space="preserve">Astillas de madera en varias partes del almacén. </t>
  </si>
  <si>
    <t xml:space="preserve">Aumentar frecuencia de limpieza de pisos. </t>
  </si>
  <si>
    <t xml:space="preserve">Formación de hongo debajo de empaque en ventana CL1
Hongo en paredes baño mujeres y hombres
Durante recorrido se observa falta de limpieza en cuarto limpios sin utilizar. </t>
  </si>
  <si>
    <t>Limpíeza</t>
  </si>
  <si>
    <t xml:space="preserve">Programa limpiezas para verificar la presencia de hongos. </t>
  </si>
  <si>
    <t xml:space="preserve">Se muestra evidencia (facturas, cotizaciones) de servicio programado y realizado falta descargar información en formatos de limpieza. </t>
  </si>
  <si>
    <t>Actualizar formatos de limpieza.</t>
  </si>
  <si>
    <t>Se revisa con proveedor lista de productos el cual tiene reportados 2 productos que fisicamente no se colocan por lo que va a corregir listado de productos aprobados.</t>
  </si>
  <si>
    <t>Solicitar al proveedor actualizar listado.</t>
  </si>
  <si>
    <t xml:space="preserve">Entrega fichas técnicas correspondientes a listado declarado. </t>
  </si>
  <si>
    <t xml:space="preserve">Presencia de telaraña en farmacia y araña muerta cerca de la trampa # 8 </t>
  </si>
  <si>
    <t xml:space="preserve">Se realiza limpieza de corrección </t>
  </si>
  <si>
    <t>Se identifican varias trampas desancladas. 
#6,#37,#2.</t>
  </si>
  <si>
    <t>Retroalimentar al proveedor</t>
  </si>
  <si>
    <t xml:space="preserve">Grietas en pared de almacén industrial a lado de pared de desarrollos, pintura descarapelada por humedad (pared farmacia) hoyos pared producción industrial. Piso de la coladera de industrial  está dañado. </t>
  </si>
  <si>
    <t xml:space="preserve">Control de plagas/ mantto </t>
  </si>
  <si>
    <t>Programar mantto</t>
  </si>
  <si>
    <t>Falta actualización del programa 2021</t>
  </si>
  <si>
    <t>Actualizar programa de mantto</t>
  </si>
  <si>
    <t xml:space="preserve">Vidrio y plástico </t>
  </si>
  <si>
    <t xml:space="preserve">Aumentar frecuencia de limpieza </t>
  </si>
  <si>
    <t xml:space="preserve">Se observa presencia de papel debajo de rack izquierdo de farmacia. Araña y telarañas en  diversas partes del rack derecho de farmacia. </t>
  </si>
  <si>
    <t>Revisar cumplimiento del programa de limpieza</t>
  </si>
  <si>
    <t>1 lámpara del microparque acceso principal está fundida La puerta de acceso principal con tubo roto.</t>
  </si>
  <si>
    <t xml:space="preserve">Administración de mantto por el microparque. Se refuerza con seguridad de la planta. </t>
  </si>
  <si>
    <t>Se reporta al microparque. Acción no depende de biotecsa. Se refuerza con control de accesos a la nacve de biotecsa.</t>
  </si>
  <si>
    <t xml:space="preserve">Los gafetes se acaban de reponer ¿, sin embargo algunos ya no cuentan con cordón. </t>
  </si>
  <si>
    <t>Revisar el estado de los gafetes y si comprar los cordines faltantes.</t>
  </si>
  <si>
    <t>Se segrgan gafetes rotos</t>
  </si>
  <si>
    <t>Durante el recorrido se observaron desechos acumulados.</t>
  </si>
  <si>
    <t xml:space="preserve">Gestión de residuos. </t>
  </si>
  <si>
    <t>Reforzar con personal la disposición correcta de residuos de manejo especial</t>
  </si>
  <si>
    <t>Verificación de PPR´s Abril 2021</t>
  </si>
  <si>
    <t xml:space="preserve">Blanca E. Garduño   </t>
  </si>
  <si>
    <t xml:space="preserve">Se detecta residuos de consumo de alimentos en el piso  alacena de desarrollos. </t>
  </si>
  <si>
    <t>Reforzamiento de BPM´s</t>
  </si>
  <si>
    <t xml:space="preserve">Se retroalimenta personal t retiran del área los productos no </t>
  </si>
  <si>
    <t>Llave de lavabo de mujeres  (Izquierda) no sirve.</t>
  </si>
  <si>
    <t xml:space="preserve">En casillero de producción se identificó celular. </t>
  </si>
  <si>
    <t>Reforzar BPM´s</t>
  </si>
  <si>
    <t>Formación de hongo debajo de empaque en ventana CL1
Hongo en paredes baño mujeres y hombres.</t>
  </si>
  <si>
    <t xml:space="preserve">Mezcla de utensilios gris/ negro con verde en producción industrial. </t>
  </si>
  <si>
    <t>Revisar con producción el almacenamiento correcto de utensilios</t>
  </si>
  <si>
    <t>Retroalimentación del personal hasta agosto 2021</t>
  </si>
  <si>
    <t xml:space="preserve">Para las limpiezas externas se muestra evidencia de servicio programado como (cotizaciones, facturas etc.) sin embargo, no están actualizados los formatos correspondientes de limpieza externa. </t>
  </si>
  <si>
    <t xml:space="preserve">Se actualizan formatos. </t>
  </si>
  <si>
    <t>Falta actualizar bitácora de producción.</t>
  </si>
  <si>
    <t>Control químicos</t>
  </si>
  <si>
    <t>Escarabajo a la entrada de recepción embarques, Telarañas en esquinas de estructura de rack: Farmacia e isla MO1</t>
  </si>
  <si>
    <t>En proceso de actualización el programa 2021</t>
  </si>
  <si>
    <t xml:space="preserve">Pintura descarapelada por humedad (pared farmacia). Piso de la coladera de industrial  está dañado. </t>
  </si>
  <si>
    <t>Restructuración de área.</t>
  </si>
  <si>
    <t>Ventana #19 en cuarto limpio 2 estrellada
Ventana # 18 con empaques desprendidos.
Ventana # 28 pestaña desprendida (parte de abajo).</t>
  </si>
  <si>
    <t xml:space="preserve">Se mantiene en vigilancia permanente sin desprendimiento de fragmentos de plástico. </t>
  </si>
  <si>
    <t xml:space="preserve">Revisión bajo inventario mesual. </t>
  </si>
  <si>
    <t xml:space="preserve">Presencia de telarañas  de tras de isla M01 y de racks farmacia al fondo del rack. </t>
  </si>
  <si>
    <t>Evaluación de servicio: Falta desde Agosto del año 2020 a Abril 2021.
Evaluación de MP: Falta la evaluación de Ene-Abril 2021</t>
  </si>
  <si>
    <t xml:space="preserve">Actualizar evaluaciones de servicio y MP </t>
  </si>
  <si>
    <t xml:space="preserve">Anabel Estrada </t>
  </si>
  <si>
    <t xml:space="preserve">Actualizado al mes en curso. </t>
  </si>
  <si>
    <t>Se programa residuos de manejo especial en plan de capacitación 2021.</t>
  </si>
  <si>
    <t>Verificación de PPR´s Mayo 2021</t>
  </si>
  <si>
    <t xml:space="preserve">Blanca E. Garduño  </t>
  </si>
  <si>
    <t xml:space="preserve">Presencia de hongo en paredes de baños. </t>
  </si>
  <si>
    <t>Polvo acumulado en la parte superior de los casilleros y se atoran con papel (falta de mantenimiento).</t>
  </si>
  <si>
    <t xml:space="preserve">Programar limpieza de casilleros y retroalimentar sobre la limpieza completa. </t>
  </si>
  <si>
    <t xml:space="preserve">Se le comenta a martita consigue escalera para accesar. </t>
  </si>
  <si>
    <t>En área industrial ocupaban una cubeta de color verde y utensilios gris con negro</t>
  </si>
  <si>
    <t xml:space="preserve">Solo falta realizar los formatos de limpiezas realizadas como evidencia se tiene los pagos y cotizaciones de limpiezas realizadas. </t>
  </si>
  <si>
    <t xml:space="preserve">La bitácora de producción solo tiene registrado hasta el 14/04/2021, siendo que ha habido más producciones. </t>
  </si>
  <si>
    <t xml:space="preserve">Actualizar bitácora de control de químicos a la fecha </t>
  </si>
  <si>
    <t>Se observó que los despachadores de jabón y gel antibacterial ya se borraron se requiere sustituir los letreros.</t>
  </si>
  <si>
    <t xml:space="preserve">Volver a identificar </t>
  </si>
  <si>
    <t>Actualizar listado de químicos vs FT y SDS</t>
  </si>
  <si>
    <t>El proveedor completa las sds</t>
  </si>
  <si>
    <t>Lay out desactualizado</t>
  </si>
  <si>
    <t>Solicitar al proveedor actualizar el lay out</t>
  </si>
  <si>
    <t xml:space="preserve">Arturo villagrana </t>
  </si>
  <si>
    <t xml:space="preserve">Se observa claro de luz en puerta de emergencia de textil </t>
  </si>
  <si>
    <t xml:space="preserve">Pendiente </t>
  </si>
  <si>
    <t>Falta letrero de restricción en el nuevo laboratorio de calidad</t>
  </si>
  <si>
    <t>Laboratorio calidad</t>
  </si>
  <si>
    <t>comprar y colocar letrero de restricción</t>
  </si>
  <si>
    <t xml:space="preserve">Blanca / Elvia </t>
  </si>
  <si>
    <t>Reparación temporal en porta playo de producción, Se observa falta de mantenimiento a puerta de cuarto limpio # 2 ya que los empaques se observan desprendidos. 
Se observa empaque desprendido en puerta de acceso al almacén. 
Puerta de anaquel desarrollos no cierra bien.</t>
  </si>
  <si>
    <t xml:space="preserve">Los utensilios para limpieza de vidrio no se ha localizado su ubicación. </t>
  </si>
  <si>
    <t>Vidrio</t>
  </si>
  <si>
    <t xml:space="preserve">Realizar compra de utensilios para incidencias de vidrio </t>
  </si>
  <si>
    <t>Elvia Martínez</t>
  </si>
  <si>
    <t>Pendiente por definir</t>
  </si>
  <si>
    <t>Presencia de astillas en almacén y franja sanitaria sucia. En area de producción industrial con acumulación de materiales de mantenimiento.</t>
  </si>
  <si>
    <t xml:space="preserve">La franja sanitaria y estructuras de racks se observan polvosas, y presencia de telarañas.  </t>
  </si>
  <si>
    <t>Falta letrero de acceso restringido en el laboratorio</t>
  </si>
  <si>
    <t xml:space="preserve">Realizar compra del letrero </t>
  </si>
  <si>
    <t>Ya est{á solicitado aún no envían el letrero.</t>
  </si>
  <si>
    <t>Se observan botes vacíos y residuos de playo acumulados en el almacén, basura acumulada detrás de tanques de producción industrial.</t>
  </si>
  <si>
    <t>Cambio de plantilla de personal producción para reforzar cumplimientos generales.</t>
  </si>
  <si>
    <t xml:space="preserve">Cuestión cultural del personal </t>
  </si>
  <si>
    <t>Verificación de PPR´s Junio 2021</t>
  </si>
  <si>
    <t xml:space="preserve">Blanca E. Garduño </t>
  </si>
  <si>
    <t>Presencia de papas fritas y gomitas en el anaquel blanco del laboratorio desarrollos</t>
  </si>
  <si>
    <t xml:space="preserve">Reforzar cumplimiento de BPM´s con el depto. De desarrollos. </t>
  </si>
  <si>
    <t>Se retiran del área</t>
  </si>
  <si>
    <t>Almacén con presencia de astillas y estructuras de racks sucias.</t>
  </si>
  <si>
    <t xml:space="preserve">Continuar con el retiro frecuente de astillas. / reforzar utilización de tarimas en buen estado. </t>
  </si>
  <si>
    <t xml:space="preserve">Contratación de ayudantes generales. Eviencia recorrido físico. </t>
  </si>
  <si>
    <t>Los formatos de limpieza de exteriores no están actualizados.</t>
  </si>
  <si>
    <t xml:space="preserve">Realizar actualización de formatos. </t>
  </si>
  <si>
    <t>Se actualizan formatos</t>
  </si>
  <si>
    <t xml:space="preserve">Utensilios verdes (mangos de cepillo), tirados detrás de tanques de producción industrial. 
Los utensilios del almacén está sucios y mal almacenados. </t>
  </si>
  <si>
    <t>Retroalimentar personal para que almacenen en lugar asignado. Cambio de plantilla de producción.</t>
  </si>
  <si>
    <t xml:space="preserve">Se retiran y se refuerza limpieza </t>
  </si>
  <si>
    <t>Bitácora  de producción sin actualizar último registro 10/06/2021</t>
  </si>
  <si>
    <t xml:space="preserve">Actualizar bitácora control de químicos. </t>
  </si>
  <si>
    <t xml:space="preserve">Se actualizan bitácora. </t>
  </si>
  <si>
    <t>Actualizar Lay out</t>
  </si>
  <si>
    <t>Solicitar la actualización de lay out</t>
  </si>
  <si>
    <t>Se actualiza el lay out</t>
  </si>
  <si>
    <t>Araña muerta en franja sanitaria rack farmacia y telaraña en pared rack industrial.</t>
  </si>
  <si>
    <t xml:space="preserve">Realizar limpieza </t>
  </si>
  <si>
    <t xml:space="preserve">Se refuerza limpieza detrás de franja sanitaria. Organización de cuadrilla de limpieza. </t>
  </si>
  <si>
    <t xml:space="preserve">No se tiene actualizado el formato MTF01. Solicitud de mantenimiento. </t>
  </si>
  <si>
    <t xml:space="preserve">No se tiene actualizado el inventario de herramientas. </t>
  </si>
  <si>
    <t xml:space="preserve">Realización de actualización de formatos </t>
  </si>
  <si>
    <t>Los pisos de producción  industrial  se observan dañados. Pared del pasillo racks industrial almacén dañados.</t>
  </si>
  <si>
    <t xml:space="preserve">Pendiente por reubicación de equipos del área. </t>
  </si>
  <si>
    <t xml:space="preserve">Se realiza reparación de rejillas </t>
  </si>
  <si>
    <t xml:space="preserve">No se cuenta con la evaluación actualizada del año en curso. (tanto proveedores de servicio como de materias primas). </t>
  </si>
  <si>
    <t>Solicitar la actualización del COF04 y COF05</t>
  </si>
  <si>
    <t>Falta letrero de acceso restringido del área de calidad
La puerta de acceso al almacén no ha sido codificada</t>
  </si>
  <si>
    <t>cprogramar compra de letrero de laboratorio. 
No se ha codificado por reparaciones pendientes. Revisar cuando se puede reprogramar.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</si>
</sst>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2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0"/>
      <name val="Calibri"/>
      <family val="2"/>
      <scheme val="minor"/>
    </font>
    <font>
      <sz val="20"/>
      <color theme="1"/>
      <name val="Arial"/>
      <family val="2"/>
    </font>
    <font>
      <sz val="9"/>
      <color theme="1"/>
      <name val="Calibri"/>
      <family val="2"/>
      <scheme val="minor"/>
    </font>
    <font>
      <sz val="12"/>
      <color theme="1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4"/>
      <color theme="1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Abadi"/>
      <family val="2"/>
    </font>
    <font>
      <b/>
      <sz val="20"/>
      <color theme="1"/>
      <name val="Arial"/>
      <family val="2"/>
    </font>
    <font>
      <sz val="10"/>
      <color theme="1"/>
      <name val="Abadi"/>
      <family val="2"/>
    </font>
    <font>
      <b/>
      <sz val="10"/>
      <name val="Abadi"/>
      <family val="2"/>
    </font>
    <font>
      <b/>
      <sz val="10"/>
      <color theme="1"/>
      <name val="Abadi"/>
      <family val="2"/>
    </font>
    <font>
      <b/>
      <sz val="9"/>
      <name val="Abadi"/>
      <family val="2"/>
    </font>
    <font>
      <sz val="11"/>
      <color theme="1"/>
      <name val="Abadi"/>
      <family val="2"/>
    </font>
    <font>
      <b/>
      <sz val="11"/>
      <color theme="1"/>
      <name val="Abadi"/>
      <family val="2"/>
    </font>
    <font>
      <sz val="10"/>
      <color theme="1"/>
      <name val="Abadi "/>
    </font>
    <font>
      <b/>
      <sz val="10"/>
      <color theme="1"/>
      <name val="Abadi 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B8C9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9" fillId="0" borderId="0"/>
    <xf numFmtId="0" fontId="19" fillId="0" borderId="0"/>
  </cellStyleXfs>
  <cellXfs count="183">
    <xf numFmtId="0" fontId="0" fillId="0" borderId="0" xfId="0"/>
    <xf numFmtId="0" fontId="0" fillId="0" borderId="1" xfId="0" applyBorder="1"/>
    <xf numFmtId="0" fontId="1" fillId="2" borderId="1" xfId="1" applyFill="1" applyBorder="1"/>
    <xf numFmtId="0" fontId="0" fillId="0" borderId="5" xfId="0" applyBorder="1"/>
    <xf numFmtId="0" fontId="0" fillId="0" borderId="6" xfId="0" applyBorder="1"/>
    <xf numFmtId="0" fontId="0" fillId="2" borderId="0" xfId="0" applyFill="1"/>
    <xf numFmtId="0" fontId="7" fillId="0" borderId="15" xfId="0" applyFont="1" applyBorder="1" applyAlignment="1">
      <alignment wrapText="1"/>
    </xf>
    <xf numFmtId="0" fontId="1" fillId="2" borderId="0" xfId="1" applyFill="1"/>
    <xf numFmtId="0" fontId="6" fillId="2" borderId="0" xfId="1" applyFont="1" applyFill="1" applyAlignment="1">
      <alignment horizontal="center"/>
    </xf>
    <xf numFmtId="0" fontId="6" fillId="2" borderId="19" xfId="1" applyFont="1" applyFill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9" fontId="6" fillId="2" borderId="21" xfId="2" applyFont="1" applyFill="1" applyBorder="1" applyAlignment="1">
      <alignment horizontal="center" vertical="center"/>
    </xf>
    <xf numFmtId="0" fontId="0" fillId="5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3" borderId="2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3" borderId="15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3" borderId="6" xfId="1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17" xfId="0" applyBorder="1"/>
    <xf numFmtId="0" fontId="4" fillId="0" borderId="0" xfId="0" applyFont="1" applyAlignment="1">
      <alignment vertical="center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10" fillId="3" borderId="1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6" fillId="2" borderId="28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/>
    <xf numFmtId="0" fontId="10" fillId="3" borderId="6" xfId="1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justify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justify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vertical="center"/>
    </xf>
    <xf numFmtId="0" fontId="6" fillId="4" borderId="16" xfId="0" applyFont="1" applyFill="1" applyBorder="1"/>
    <xf numFmtId="0" fontId="8" fillId="4" borderId="0" xfId="0" applyFont="1" applyFill="1" applyAlignment="1">
      <alignment horizontal="center" wrapText="1"/>
    </xf>
    <xf numFmtId="0" fontId="14" fillId="0" borderId="29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/>
    <xf numFmtId="0" fontId="14" fillId="0" borderId="29" xfId="0" applyFont="1" applyBorder="1" applyAlignment="1">
      <alignment vertical="center" wrapText="1"/>
    </xf>
    <xf numFmtId="14" fontId="15" fillId="6" borderId="0" xfId="0" applyNumberFormat="1" applyFont="1" applyFill="1" applyAlignment="1">
      <alignment horizontal="center" vertical="center"/>
    </xf>
    <xf numFmtId="14" fontId="13" fillId="6" borderId="0" xfId="0" applyNumberFormat="1" applyFont="1" applyFill="1" applyAlignment="1">
      <alignment vertical="center"/>
    </xf>
    <xf numFmtId="0" fontId="16" fillId="2" borderId="28" xfId="1" applyFont="1" applyFill="1" applyBorder="1" applyAlignment="1">
      <alignment horizontal="center" vertical="center" wrapText="1"/>
    </xf>
    <xf numFmtId="0" fontId="14" fillId="0" borderId="29" xfId="0" applyFont="1" applyBorder="1" applyAlignment="1">
      <alignment vertical="center"/>
    </xf>
    <xf numFmtId="0" fontId="14" fillId="0" borderId="29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vertical="center" wrapText="1"/>
    </xf>
    <xf numFmtId="0" fontId="17" fillId="3" borderId="6" xfId="1" applyFont="1" applyFill="1" applyBorder="1" applyAlignment="1">
      <alignment horizontal="center" vertical="center"/>
    </xf>
    <xf numFmtId="0" fontId="0" fillId="0" borderId="29" xfId="0" applyBorder="1" applyAlignment="1">
      <alignment vertical="center" wrapText="1"/>
    </xf>
    <xf numFmtId="0" fontId="0" fillId="0" borderId="29" xfId="0" applyBorder="1" applyAlignment="1">
      <alignment vertical="center"/>
    </xf>
    <xf numFmtId="0" fontId="0" fillId="0" borderId="29" xfId="0" applyBorder="1" applyAlignment="1">
      <alignment wrapText="1"/>
    </xf>
    <xf numFmtId="0" fontId="0" fillId="0" borderId="29" xfId="0" applyBorder="1"/>
    <xf numFmtId="14" fontId="18" fillId="6" borderId="0" xfId="0" applyNumberFormat="1" applyFont="1" applyFill="1" applyAlignment="1">
      <alignment vertical="center"/>
    </xf>
    <xf numFmtId="0" fontId="0" fillId="7" borderId="1" xfId="0" applyFill="1" applyBorder="1" applyAlignment="1">
      <alignment vertical="center"/>
    </xf>
    <xf numFmtId="0" fontId="0" fillId="0" borderId="1" xfId="0" applyBorder="1" applyAlignment="1">
      <alignment horizontal="justify" vertical="center"/>
    </xf>
    <xf numFmtId="0" fontId="0" fillId="0" borderId="1" xfId="0" applyBorder="1" applyAlignment="1">
      <alignment horizontal="left" vertical="center"/>
    </xf>
    <xf numFmtId="0" fontId="0" fillId="7" borderId="1" xfId="0" applyFill="1" applyBorder="1"/>
    <xf numFmtId="0" fontId="6" fillId="4" borderId="16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4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justify"/>
    </xf>
    <xf numFmtId="0" fontId="0" fillId="5" borderId="0" xfId="0" applyFill="1" applyAlignment="1">
      <alignment horizontal="center"/>
    </xf>
    <xf numFmtId="0" fontId="21" fillId="4" borderId="0" xfId="0" applyFont="1" applyFill="1" applyAlignment="1">
      <alignment horizontal="center" wrapText="1"/>
    </xf>
    <xf numFmtId="0" fontId="21" fillId="4" borderId="0" xfId="0" applyFont="1" applyFill="1" applyAlignment="1">
      <alignment horizontal="center" vertical="center" wrapText="1"/>
    </xf>
    <xf numFmtId="0" fontId="6" fillId="4" borderId="16" xfId="0" applyFont="1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vertical="center" wrapText="1"/>
    </xf>
    <xf numFmtId="17" fontId="0" fillId="0" borderId="1" xfId="0" applyNumberFormat="1" applyBorder="1"/>
    <xf numFmtId="0" fontId="3" fillId="3" borderId="2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3" borderId="1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left" vertical="center" wrapText="1"/>
    </xf>
    <xf numFmtId="0" fontId="0" fillId="8" borderId="1" xfId="0" applyFill="1" applyBorder="1"/>
    <xf numFmtId="14" fontId="12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7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wrapText="1"/>
    </xf>
    <xf numFmtId="0" fontId="0" fillId="8" borderId="1" xfId="0" applyFill="1" applyBorder="1" applyAlignment="1">
      <alignment horizontal="justify" vertical="center" wrapText="1"/>
    </xf>
    <xf numFmtId="0" fontId="12" fillId="8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14" fontId="0" fillId="8" borderId="1" xfId="0" applyNumberFormat="1" applyFill="1" applyBorder="1" applyAlignment="1">
      <alignment vertical="center"/>
    </xf>
    <xf numFmtId="0" fontId="14" fillId="8" borderId="29" xfId="0" applyFont="1" applyFill="1" applyBorder="1" applyAlignment="1">
      <alignment vertical="center" wrapText="1"/>
    </xf>
    <xf numFmtId="0" fontId="22" fillId="2" borderId="0" xfId="0" applyFont="1" applyFill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justify" vertical="center"/>
    </xf>
    <xf numFmtId="0" fontId="7" fillId="0" borderId="29" xfId="0" applyFont="1" applyBorder="1" applyAlignment="1">
      <alignment horizontal="justify" vertical="center"/>
    </xf>
    <xf numFmtId="0" fontId="7" fillId="0" borderId="1" xfId="0" applyFont="1" applyBorder="1" applyAlignment="1">
      <alignment horizontal="justify" vertical="center"/>
    </xf>
    <xf numFmtId="0" fontId="0" fillId="0" borderId="5" xfId="0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30" fillId="2" borderId="0" xfId="1" applyFont="1" applyFill="1"/>
    <xf numFmtId="0" fontId="31" fillId="2" borderId="0" xfId="1" applyFont="1" applyFill="1" applyAlignment="1">
      <alignment horizontal="center"/>
    </xf>
    <xf numFmtId="0" fontId="31" fillId="2" borderId="0" xfId="1" applyFont="1" applyFill="1" applyAlignment="1">
      <alignment horizontal="center" vertical="center" wrapText="1"/>
    </xf>
    <xf numFmtId="0" fontId="31" fillId="2" borderId="0" xfId="1" applyFont="1" applyFill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0" fontId="1" fillId="2" borderId="5" xfId="1" applyFill="1" applyBorder="1"/>
    <xf numFmtId="0" fontId="25" fillId="8" borderId="1" xfId="1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justify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29" xfId="0" applyFont="1" applyBorder="1" applyAlignment="1">
      <alignment horizontal="justify" vertical="center"/>
    </xf>
    <xf numFmtId="0" fontId="7" fillId="0" borderId="30" xfId="0" applyFont="1" applyBorder="1" applyAlignment="1">
      <alignment horizontal="justify" vertical="center"/>
    </xf>
    <xf numFmtId="0" fontId="7" fillId="0" borderId="5" xfId="0" applyFont="1" applyBorder="1" applyAlignment="1">
      <alignment horizontal="justify" vertical="center"/>
    </xf>
    <xf numFmtId="0" fontId="24" fillId="0" borderId="1" xfId="0" applyFont="1" applyBorder="1" applyAlignment="1">
      <alignment horizontal="justify" vertical="center"/>
    </xf>
    <xf numFmtId="0" fontId="24" fillId="0" borderId="1" xfId="0" applyFont="1" applyBorder="1" applyAlignment="1">
      <alignment horizontal="justify" vertical="center" wrapText="1"/>
    </xf>
    <xf numFmtId="14" fontId="24" fillId="0" borderId="1" xfId="0" applyNumberFormat="1" applyFont="1" applyBorder="1" applyAlignment="1">
      <alignment horizontal="justify" vertical="center"/>
    </xf>
    <xf numFmtId="0" fontId="25" fillId="8" borderId="1" xfId="1" applyFont="1" applyFill="1" applyBorder="1" applyAlignment="1">
      <alignment horizontal="center" vertical="center"/>
    </xf>
    <xf numFmtId="0" fontId="25" fillId="8" borderId="1" xfId="1" applyFont="1" applyFill="1" applyBorder="1" applyAlignment="1">
      <alignment horizontal="center" vertical="center" wrapText="1"/>
    </xf>
    <xf numFmtId="0" fontId="24" fillId="0" borderId="1" xfId="0" quotePrefix="1" applyFont="1" applyBorder="1" applyAlignment="1">
      <alignment horizontal="justify" vertical="center"/>
    </xf>
    <xf numFmtId="0" fontId="23" fillId="0" borderId="0" xfId="0" applyFont="1" applyAlignment="1">
      <alignment horizontal="left" vertical="center"/>
    </xf>
    <xf numFmtId="0" fontId="27" fillId="2" borderId="0" xfId="0" applyFont="1" applyFill="1" applyAlignment="1">
      <alignment horizontal="center" vertical="center" wrapText="1"/>
    </xf>
    <xf numFmtId="14" fontId="28" fillId="8" borderId="0" xfId="0" applyNumberFormat="1" applyFont="1" applyFill="1" applyAlignment="1">
      <alignment horizontal="center" vertical="center"/>
    </xf>
    <xf numFmtId="14" fontId="29" fillId="8" borderId="0" xfId="0" applyNumberFormat="1" applyFont="1" applyFill="1" applyAlignment="1">
      <alignment horizontal="center" vertical="center"/>
    </xf>
    <xf numFmtId="0" fontId="28" fillId="8" borderId="0" xfId="0" applyFont="1" applyFill="1" applyAlignment="1">
      <alignment horizontal="justify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9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9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29" xfId="0" applyBorder="1" applyAlignment="1">
      <alignment horizontal="justify" vertical="center"/>
    </xf>
    <xf numFmtId="0" fontId="0" fillId="0" borderId="5" xfId="0" applyBorder="1" applyAlignment="1">
      <alignment horizontal="justify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0" fillId="3" borderId="6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0" fillId="0" borderId="29" xfId="0" applyBorder="1" applyAlignment="1">
      <alignment horizontal="justify" vertical="center" wrapText="1"/>
    </xf>
    <xf numFmtId="14" fontId="0" fillId="0" borderId="29" xfId="0" applyNumberFormat="1" applyBorder="1" applyAlignment="1">
      <alignment horizontal="center" vertical="center"/>
    </xf>
    <xf numFmtId="0" fontId="0" fillId="0" borderId="29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justify" vertical="center" wrapText="1"/>
    </xf>
    <xf numFmtId="0" fontId="0" fillId="8" borderId="29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29" xfId="0" applyFill="1" applyBorder="1" applyAlignment="1">
      <alignment horizontal="justify" vertical="center" wrapText="1"/>
    </xf>
    <xf numFmtId="0" fontId="0" fillId="8" borderId="5" xfId="0" applyFill="1" applyBorder="1" applyAlignment="1">
      <alignment horizontal="justify" vertical="center" wrapText="1"/>
    </xf>
    <xf numFmtId="0" fontId="0" fillId="0" borderId="29" xfId="0" applyBorder="1" applyAlignment="1">
      <alignment horizontal="justify" wrapText="1"/>
    </xf>
    <xf numFmtId="0" fontId="0" fillId="0" borderId="5" xfId="0" applyBorder="1" applyAlignment="1">
      <alignment horizontal="justify" wrapText="1"/>
    </xf>
    <xf numFmtId="0" fontId="0" fillId="8" borderId="30" xfId="0" applyFill="1" applyBorder="1" applyAlignment="1">
      <alignment horizontal="center" vertical="center"/>
    </xf>
    <xf numFmtId="0" fontId="0" fillId="8" borderId="29" xfId="0" applyFill="1" applyBorder="1" applyAlignment="1">
      <alignment horizontal="justify" wrapText="1"/>
    </xf>
    <xf numFmtId="0" fontId="0" fillId="8" borderId="5" xfId="0" applyFill="1" applyBorder="1" applyAlignment="1">
      <alignment horizontal="justify" wrapText="1"/>
    </xf>
    <xf numFmtId="0" fontId="0" fillId="8" borderId="29" xfId="0" applyFill="1" applyBorder="1" applyAlignment="1">
      <alignment horizontal="justify" vertical="center"/>
    </xf>
    <xf numFmtId="0" fontId="0" fillId="8" borderId="5" xfId="0" applyFill="1" applyBorder="1" applyAlignment="1">
      <alignment horizontal="justify" vertical="center"/>
    </xf>
  </cellXfs>
  <cellStyles count="5">
    <cellStyle name="Normal" xfId="0" builtinId="0"/>
    <cellStyle name="Normal 2" xfId="1" xr:uid="{00000000-0005-0000-0000-000001000000}"/>
    <cellStyle name="Normal 3" xfId="4" xr:uid="{00000000-0005-0000-0000-000002000000}"/>
    <cellStyle name="Normal 4" xfId="3" xr:uid="{00000000-0005-0000-0000-000003000000}"/>
    <cellStyle name="Porcentual 2" xfId="2" xr:uid="{00000000-0005-0000-0000-000004000000}"/>
  </cellStyles>
  <dxfs count="79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757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7575"/>
      <color rgb="FFFFFFFF"/>
      <color rgb="FF3B8C97"/>
      <color rgb="FF4F7983"/>
      <color rgb="FF5485A6"/>
      <color rgb="FF8CB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Avance</a:t>
            </a:r>
            <a:r>
              <a:rPr lang="es-MX" baseline="0"/>
              <a:t> al cumplimiento de acciones correctivas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9059203221103964E-2"/>
          <c:y val="0.23075683186660492"/>
          <c:w val="0.94061505942836288"/>
          <c:h val="0.47763011282362738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'ACF35'!$O$10</c:f>
              <c:strCache>
                <c:ptCount val="1"/>
                <c:pt idx="0">
                  <c:v>Cerradas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'ACF35'!$O$11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6255-43F0-8484-E616C958BBF4}"/>
            </c:ext>
          </c:extLst>
        </c:ser>
        <c:ser>
          <c:idx val="1"/>
          <c:order val="1"/>
          <c:tx>
            <c:strRef>
              <c:f>'ACF35'!$Q$10</c:f>
              <c:strCache>
                <c:ptCount val="1"/>
                <c:pt idx="0">
                  <c:v>En proceso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'ACF35'!$Q$11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6255-43F0-8484-E616C958BBF4}"/>
            </c:ext>
          </c:extLst>
        </c:ser>
        <c:ser>
          <c:idx val="2"/>
          <c:order val="2"/>
          <c:tx>
            <c:strRef>
              <c:f>'ACF35'!$S$10</c:f>
              <c:strCache>
                <c:ptCount val="1"/>
                <c:pt idx="0">
                  <c:v>Retrasadas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'ACF35'!$S$11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6255-43F0-8484-E616C958B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1332304"/>
        <c:axId val="331758376"/>
        <c:axId val="0"/>
      </c:bar3DChart>
      <c:catAx>
        <c:axId val="331332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8376"/>
        <c:crosses val="autoZero"/>
        <c:auto val="1"/>
        <c:lblAlgn val="ctr"/>
        <c:lblOffset val="100"/>
        <c:noMultiLvlLbl val="0"/>
      </c:catAx>
      <c:valAx>
        <c:axId val="33175837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33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Acciones</a:t>
            </a:r>
            <a:r>
              <a:rPr lang="es-MX" baseline="0"/>
              <a:t> correctivas por tipo de evento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9059203221103964E-2"/>
          <c:y val="0.23075683186660492"/>
          <c:w val="0.94061505942836288"/>
          <c:h val="0.47763011282362738"/>
        </c:manualLayout>
      </c:layout>
      <c:bar3D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('ACF35'!$AA$10,'ACF35'!$AC$10,'ACF35'!$AE$10)</c:f>
              <c:strCache>
                <c:ptCount val="3"/>
                <c:pt idx="0">
                  <c:v>Quejas</c:v>
                </c:pt>
                <c:pt idx="1">
                  <c:v>Auditoria interna</c:v>
                </c:pt>
                <c:pt idx="2">
                  <c:v>Auditoria externa</c:v>
                </c:pt>
              </c:strCache>
            </c:strRef>
          </c:cat>
          <c:val>
            <c:numRef>
              <c:f>('ACF35'!$AA$11,'ACF35'!$AC$11,'ACF35'!$AE$11)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853A-4376-8DE7-33618EAE1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1332304"/>
        <c:axId val="331758376"/>
        <c:axId val="0"/>
      </c:bar3DChart>
      <c:catAx>
        <c:axId val="33133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8376"/>
        <c:crosses val="autoZero"/>
        <c:auto val="1"/>
        <c:lblAlgn val="ctr"/>
        <c:lblOffset val="100"/>
        <c:noMultiLvlLbl val="0"/>
      </c:catAx>
      <c:valAx>
        <c:axId val="331758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33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Avance</a:t>
            </a:r>
            <a:r>
              <a:rPr lang="es-MX" baseline="0"/>
              <a:t> al cumplimiento de acciones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511024027715225E-2"/>
          <c:y val="0.22291375270094896"/>
          <c:w val="0.89077665137298345"/>
          <c:h val="0.47763011282362738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'Verificación PPR´s (Julio)'!$I$10</c:f>
              <c:strCache>
                <c:ptCount val="1"/>
                <c:pt idx="0">
                  <c:v>CERRADAS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PPR´s (Julio)'!$I$11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D-4E89-BD41-90FD0A827C71}"/>
            </c:ext>
          </c:extLst>
        </c:ser>
        <c:ser>
          <c:idx val="1"/>
          <c:order val="1"/>
          <c:tx>
            <c:strRef>
              <c:f>'Verificación PPR´s (Julio)'!$J$10</c:f>
              <c:strCache>
                <c:ptCount val="1"/>
                <c:pt idx="0">
                  <c:v>EN PROCESO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PPR´s (Julio)'!$J$11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2D-4E89-BD41-90FD0A827C71}"/>
            </c:ext>
          </c:extLst>
        </c:ser>
        <c:ser>
          <c:idx val="2"/>
          <c:order val="2"/>
          <c:tx>
            <c:strRef>
              <c:f>'Verificación PPR´s (Julio)'!$K$10</c:f>
              <c:strCache>
                <c:ptCount val="1"/>
                <c:pt idx="0">
                  <c:v>RETRASADAS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PPR´s (Julio)'!$K$11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2D-4E89-BD41-90FD0A827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1757592"/>
        <c:axId val="331756024"/>
        <c:axId val="0"/>
      </c:bar3DChart>
      <c:catAx>
        <c:axId val="331757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6024"/>
        <c:crosses val="autoZero"/>
        <c:auto val="1"/>
        <c:lblAlgn val="ctr"/>
        <c:lblOffset val="100"/>
        <c:noMultiLvlLbl val="0"/>
      </c:catAx>
      <c:valAx>
        <c:axId val="33175602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7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Avance</a:t>
            </a:r>
            <a:r>
              <a:rPr lang="es-MX" baseline="0"/>
              <a:t> al cumplimiento de acciones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511024027715225E-2"/>
          <c:y val="0.22291375270094896"/>
          <c:w val="0.89077665137298345"/>
          <c:h val="0.47763011282362738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'Verificación PPR´s(agosto)'!$J$10</c:f>
              <c:strCache>
                <c:ptCount val="1"/>
                <c:pt idx="0">
                  <c:v>CERRADAS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PPR´s(agosto)'!$J$11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D-4E89-BD41-90FD0A827C71}"/>
            </c:ext>
          </c:extLst>
        </c:ser>
        <c:ser>
          <c:idx val="1"/>
          <c:order val="1"/>
          <c:tx>
            <c:strRef>
              <c:f>'Verificación PPR´s(agosto)'!$K$10</c:f>
              <c:strCache>
                <c:ptCount val="1"/>
                <c:pt idx="0">
                  <c:v>EN PROCESO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PPR´s(agosto)'!$K$11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2D-4E89-BD41-90FD0A827C71}"/>
            </c:ext>
          </c:extLst>
        </c:ser>
        <c:ser>
          <c:idx val="2"/>
          <c:order val="2"/>
          <c:tx>
            <c:strRef>
              <c:f>'Verificación PPR´s(agosto)'!$L$10</c:f>
              <c:strCache>
                <c:ptCount val="1"/>
                <c:pt idx="0">
                  <c:v>RETRASADAS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PPR´s(agosto)'!$L$11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2D-4E89-BD41-90FD0A827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1755240"/>
        <c:axId val="331760728"/>
        <c:axId val="0"/>
      </c:bar3DChart>
      <c:catAx>
        <c:axId val="331755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60728"/>
        <c:crosses val="autoZero"/>
        <c:auto val="1"/>
        <c:lblAlgn val="ctr"/>
        <c:lblOffset val="100"/>
        <c:noMultiLvlLbl val="0"/>
      </c:catAx>
      <c:valAx>
        <c:axId val="331760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Avance</a:t>
            </a:r>
            <a:r>
              <a:rPr lang="es-MX" baseline="0"/>
              <a:t> al cumplimiento de acciones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511024027715225E-2"/>
          <c:y val="0.22291375270094896"/>
          <c:w val="0.89077665137298345"/>
          <c:h val="0.47763011282362738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'Verificación PPR´s (Sept) '!$I$10</c:f>
              <c:strCache>
                <c:ptCount val="1"/>
                <c:pt idx="0">
                  <c:v>CERRADAS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PPR´s (Sept) '!$I$11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D-4E89-BD41-90FD0A827C71}"/>
            </c:ext>
          </c:extLst>
        </c:ser>
        <c:ser>
          <c:idx val="1"/>
          <c:order val="1"/>
          <c:tx>
            <c:strRef>
              <c:f>'Verificación PPR´s (Sept) '!$J$10</c:f>
              <c:strCache>
                <c:ptCount val="1"/>
                <c:pt idx="0">
                  <c:v>EN PROCESO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PPR´s (Sept) '!$J$11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2D-4E89-BD41-90FD0A827C71}"/>
            </c:ext>
          </c:extLst>
        </c:ser>
        <c:ser>
          <c:idx val="2"/>
          <c:order val="2"/>
          <c:tx>
            <c:strRef>
              <c:f>'Verificación PPR´s (Sept) '!$K$10</c:f>
              <c:strCache>
                <c:ptCount val="1"/>
                <c:pt idx="0">
                  <c:v>RETRASADAS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PPR´s (Sept) '!$K$11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2D-4E89-BD41-90FD0A827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1756416"/>
        <c:axId val="331757984"/>
        <c:axId val="0"/>
      </c:bar3DChart>
      <c:catAx>
        <c:axId val="331756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7984"/>
        <c:crosses val="autoZero"/>
        <c:auto val="1"/>
        <c:lblAlgn val="ctr"/>
        <c:lblOffset val="100"/>
        <c:noMultiLvlLbl val="0"/>
      </c:catAx>
      <c:valAx>
        <c:axId val="33175798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Avance</a:t>
            </a:r>
            <a:r>
              <a:rPr lang="es-MX" baseline="0"/>
              <a:t> al cumplimiento de acciones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511024027715225E-2"/>
          <c:y val="0.22291375270094896"/>
          <c:w val="0.89077665137298345"/>
          <c:h val="0.47763011282362738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'Verificación PPR´s (Octubre))'!$I$10</c:f>
              <c:strCache>
                <c:ptCount val="1"/>
                <c:pt idx="0">
                  <c:v>CERRADAS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PPR´s (Octubre))'!$I$11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D-4E89-BD41-90FD0A827C71}"/>
            </c:ext>
          </c:extLst>
        </c:ser>
        <c:ser>
          <c:idx val="1"/>
          <c:order val="1"/>
          <c:tx>
            <c:strRef>
              <c:f>'Verificación PPR´s (Octubre))'!$J$10</c:f>
              <c:strCache>
                <c:ptCount val="1"/>
                <c:pt idx="0">
                  <c:v>EN PROCESO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PPR´s (Octubre))'!$J$11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2D-4E89-BD41-90FD0A827C71}"/>
            </c:ext>
          </c:extLst>
        </c:ser>
        <c:ser>
          <c:idx val="2"/>
          <c:order val="2"/>
          <c:tx>
            <c:strRef>
              <c:f>'Verificación PPR´s (Octubre))'!$K$10</c:f>
              <c:strCache>
                <c:ptCount val="1"/>
                <c:pt idx="0">
                  <c:v>RETRASADAS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PPR´s (Octubre))'!$K$11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2D-4E89-BD41-90FD0A827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1761512"/>
        <c:axId val="331758768"/>
        <c:axId val="0"/>
      </c:bar3DChart>
      <c:catAx>
        <c:axId val="331761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8768"/>
        <c:crosses val="autoZero"/>
        <c:auto val="1"/>
        <c:lblAlgn val="ctr"/>
        <c:lblOffset val="100"/>
        <c:noMultiLvlLbl val="0"/>
      </c:catAx>
      <c:valAx>
        <c:axId val="33175876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6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Avance</a:t>
            </a:r>
            <a:r>
              <a:rPr lang="es-MX" baseline="0"/>
              <a:t> al cumplimiento de acciones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511024027715225E-2"/>
          <c:y val="0.22291375270094896"/>
          <c:w val="0.89077665137298345"/>
          <c:h val="0.47763011282362738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'verificación de PPR´s Enero 21'!$I$10</c:f>
              <c:strCache>
                <c:ptCount val="1"/>
                <c:pt idx="0">
                  <c:v>CERRADAS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de PPR´s Enero 21'!$I$11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7-4F7D-9FA4-469CEB97F73B}"/>
            </c:ext>
          </c:extLst>
        </c:ser>
        <c:ser>
          <c:idx val="1"/>
          <c:order val="1"/>
          <c:tx>
            <c:strRef>
              <c:f>'verificación de PPR´s Enero 21'!$J$10</c:f>
              <c:strCache>
                <c:ptCount val="1"/>
                <c:pt idx="0">
                  <c:v>EN PROCESO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de PPR´s Enero 21'!$J$11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E7-4F7D-9FA4-469CEB97F73B}"/>
            </c:ext>
          </c:extLst>
        </c:ser>
        <c:ser>
          <c:idx val="2"/>
          <c:order val="2"/>
          <c:tx>
            <c:strRef>
              <c:f>'verificación de PPR´s Enero 21'!$K$10</c:f>
              <c:strCache>
                <c:ptCount val="1"/>
                <c:pt idx="0">
                  <c:v>RETRASADAS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de PPR´s Enero 21'!$K$11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E7-4F7D-9FA4-469CEB97F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1759944"/>
        <c:axId val="331754064"/>
        <c:axId val="0"/>
      </c:bar3DChart>
      <c:catAx>
        <c:axId val="331759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4064"/>
        <c:crosses val="autoZero"/>
        <c:auto val="1"/>
        <c:lblAlgn val="ctr"/>
        <c:lblOffset val="100"/>
        <c:noMultiLvlLbl val="0"/>
      </c:catAx>
      <c:valAx>
        <c:axId val="3317540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Avance</a:t>
            </a:r>
            <a:r>
              <a:rPr lang="es-MX" baseline="0"/>
              <a:t> al cumplimiento de acciones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511024027715225E-2"/>
          <c:y val="0.22291375270094896"/>
          <c:w val="0.89077665137298345"/>
          <c:h val="0.47763011282362738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'verificación de PPR´s Feb  21'!$I$10</c:f>
              <c:strCache>
                <c:ptCount val="1"/>
                <c:pt idx="0">
                  <c:v>CERRADAS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de PPR´s Feb  21'!$I$11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A-417C-A306-34CB9F7CD51E}"/>
            </c:ext>
          </c:extLst>
        </c:ser>
        <c:ser>
          <c:idx val="1"/>
          <c:order val="1"/>
          <c:tx>
            <c:strRef>
              <c:f>'verificación de PPR´s Feb  21'!$J$10</c:f>
              <c:strCache>
                <c:ptCount val="1"/>
                <c:pt idx="0">
                  <c:v>EN PROCESO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de PPR´s Feb  21'!$J$11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5A-417C-A306-34CB9F7CD51E}"/>
            </c:ext>
          </c:extLst>
        </c:ser>
        <c:ser>
          <c:idx val="2"/>
          <c:order val="2"/>
          <c:tx>
            <c:strRef>
              <c:f>'verificación de PPR´s Feb  21'!$K$10</c:f>
              <c:strCache>
                <c:ptCount val="1"/>
                <c:pt idx="0">
                  <c:v>RETRASADAS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de PPR´s Feb  21'!$K$11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5A-417C-A306-34CB9F7CD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1759944"/>
        <c:axId val="331754064"/>
        <c:axId val="0"/>
      </c:bar3DChart>
      <c:catAx>
        <c:axId val="331759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4064"/>
        <c:crosses val="autoZero"/>
        <c:auto val="1"/>
        <c:lblAlgn val="ctr"/>
        <c:lblOffset val="100"/>
        <c:noMultiLvlLbl val="0"/>
      </c:catAx>
      <c:valAx>
        <c:axId val="3317540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Avance</a:t>
            </a:r>
            <a:r>
              <a:rPr lang="es-MX" baseline="0"/>
              <a:t> al cumplimiento de acciones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511024027715225E-2"/>
          <c:y val="0.22291375270094896"/>
          <c:w val="0.89077665137298345"/>
          <c:h val="0.47763011282362738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'verificación de PPR´s Marzo21'!$I$10</c:f>
              <c:strCache>
                <c:ptCount val="1"/>
                <c:pt idx="0">
                  <c:v>CERRADAS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de PPR´s Marzo21'!$I$11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9-4079-8E41-E3A74B6AFFA2}"/>
            </c:ext>
          </c:extLst>
        </c:ser>
        <c:ser>
          <c:idx val="1"/>
          <c:order val="1"/>
          <c:tx>
            <c:strRef>
              <c:f>'verificación de PPR´s Marzo21'!$J$10</c:f>
              <c:strCache>
                <c:ptCount val="1"/>
                <c:pt idx="0">
                  <c:v>EN PROCESO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de PPR´s Marzo21'!$J$11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29-4079-8E41-E3A74B6AFFA2}"/>
            </c:ext>
          </c:extLst>
        </c:ser>
        <c:ser>
          <c:idx val="2"/>
          <c:order val="2"/>
          <c:tx>
            <c:strRef>
              <c:f>'verificación de PPR´s Marzo21'!$K$10</c:f>
              <c:strCache>
                <c:ptCount val="1"/>
                <c:pt idx="0">
                  <c:v>RETRASADAS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de PPR´s Marzo21'!$K$11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29-4079-8E41-E3A74B6AF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1759944"/>
        <c:axId val="331754064"/>
        <c:axId val="0"/>
      </c:bar3DChart>
      <c:catAx>
        <c:axId val="331759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4064"/>
        <c:crosses val="autoZero"/>
        <c:auto val="1"/>
        <c:lblAlgn val="ctr"/>
        <c:lblOffset val="100"/>
        <c:noMultiLvlLbl val="0"/>
      </c:catAx>
      <c:valAx>
        <c:axId val="3317540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Avance</a:t>
            </a:r>
            <a:r>
              <a:rPr lang="es-MX" baseline="0"/>
              <a:t> al cumplimiento de acciones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511024027715225E-2"/>
          <c:y val="0.22291375270094896"/>
          <c:w val="0.89077665137298345"/>
          <c:h val="0.47763011282362738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'verificación de PPR´s Abril21'!$I$10</c:f>
              <c:strCache>
                <c:ptCount val="1"/>
                <c:pt idx="0">
                  <c:v>CERRADAS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de PPR´s Abril21'!$I$11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F-466C-A940-7C182AE01992}"/>
            </c:ext>
          </c:extLst>
        </c:ser>
        <c:ser>
          <c:idx val="1"/>
          <c:order val="1"/>
          <c:tx>
            <c:strRef>
              <c:f>'verificación de PPR´s Abril21'!$J$10</c:f>
              <c:strCache>
                <c:ptCount val="1"/>
                <c:pt idx="0">
                  <c:v>EN PROCESO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de PPR´s Abril21'!$J$11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F-466C-A940-7C182AE01992}"/>
            </c:ext>
          </c:extLst>
        </c:ser>
        <c:ser>
          <c:idx val="2"/>
          <c:order val="2"/>
          <c:tx>
            <c:strRef>
              <c:f>'verificación de PPR´s Abril21'!$K$10</c:f>
              <c:strCache>
                <c:ptCount val="1"/>
                <c:pt idx="0">
                  <c:v>RETRASADAS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de PPR´s Abril21'!$K$11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CF-466C-A940-7C182AE01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1759944"/>
        <c:axId val="331754064"/>
        <c:axId val="0"/>
      </c:bar3DChart>
      <c:catAx>
        <c:axId val="331759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4064"/>
        <c:crosses val="autoZero"/>
        <c:auto val="1"/>
        <c:lblAlgn val="ctr"/>
        <c:lblOffset val="100"/>
        <c:noMultiLvlLbl val="0"/>
      </c:catAx>
      <c:valAx>
        <c:axId val="3317540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Avance</a:t>
            </a:r>
            <a:r>
              <a:rPr lang="es-MX" baseline="0"/>
              <a:t> al cumplimiento de acciones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511024027715225E-2"/>
          <c:y val="0.22291375270094896"/>
          <c:w val="0.89077665137298345"/>
          <c:h val="0.47763011282362738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'verificación de PPR´s Mayo 21'!$I$10</c:f>
              <c:strCache>
                <c:ptCount val="1"/>
                <c:pt idx="0">
                  <c:v>CERRADAS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de PPR´s Mayo 21'!$I$11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0-4AA7-A7B0-44C48600C46E}"/>
            </c:ext>
          </c:extLst>
        </c:ser>
        <c:ser>
          <c:idx val="1"/>
          <c:order val="1"/>
          <c:tx>
            <c:strRef>
              <c:f>'verificación de PPR´s Mayo 21'!$J$10</c:f>
              <c:strCache>
                <c:ptCount val="1"/>
                <c:pt idx="0">
                  <c:v>EN PROCESO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de PPR´s Mayo 21'!$J$11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80-4AA7-A7B0-44C48600C46E}"/>
            </c:ext>
          </c:extLst>
        </c:ser>
        <c:ser>
          <c:idx val="2"/>
          <c:order val="2"/>
          <c:tx>
            <c:strRef>
              <c:f>'verificación de PPR´s Mayo 21'!$K$10</c:f>
              <c:strCache>
                <c:ptCount val="1"/>
                <c:pt idx="0">
                  <c:v>RETRASADAS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de PPR´s Mayo 21'!$K$11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80-4AA7-A7B0-44C48600C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1759944"/>
        <c:axId val="331754064"/>
        <c:axId val="0"/>
      </c:bar3DChart>
      <c:catAx>
        <c:axId val="331759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4064"/>
        <c:crosses val="autoZero"/>
        <c:auto val="1"/>
        <c:lblAlgn val="ctr"/>
        <c:lblOffset val="100"/>
        <c:noMultiLvlLbl val="0"/>
      </c:catAx>
      <c:valAx>
        <c:axId val="3317540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Avance</a:t>
            </a:r>
            <a:r>
              <a:rPr lang="es-MX" baseline="0"/>
              <a:t> al cumplimiento de acciones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511024027715225E-2"/>
          <c:y val="0.22291375270094896"/>
          <c:w val="0.89077665137298345"/>
          <c:h val="0.47763011282362738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'verificación de PPR´s Junio21'!$I$10</c:f>
              <c:strCache>
                <c:ptCount val="1"/>
                <c:pt idx="0">
                  <c:v>CERRADAS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de PPR´s Junio21'!$I$11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8-479A-9EE1-A912007C606C}"/>
            </c:ext>
          </c:extLst>
        </c:ser>
        <c:ser>
          <c:idx val="1"/>
          <c:order val="1"/>
          <c:tx>
            <c:strRef>
              <c:f>'verificación de PPR´s Junio21'!$J$10</c:f>
              <c:strCache>
                <c:ptCount val="1"/>
                <c:pt idx="0">
                  <c:v>EN PROCESO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de PPR´s Junio21'!$J$11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8-479A-9EE1-A912007C606C}"/>
            </c:ext>
          </c:extLst>
        </c:ser>
        <c:ser>
          <c:idx val="2"/>
          <c:order val="2"/>
          <c:tx>
            <c:strRef>
              <c:f>'verificación de PPR´s Junio21'!$K$10</c:f>
              <c:strCache>
                <c:ptCount val="1"/>
                <c:pt idx="0">
                  <c:v>RETRASADAS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'verificación de PPR´s Junio21'!$K$11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38-479A-9EE1-A912007C6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1759944"/>
        <c:axId val="331754064"/>
        <c:axId val="0"/>
      </c:bar3DChart>
      <c:catAx>
        <c:axId val="331759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4064"/>
        <c:crosses val="autoZero"/>
        <c:auto val="1"/>
        <c:lblAlgn val="ctr"/>
        <c:lblOffset val="100"/>
        <c:noMultiLvlLbl val="0"/>
      </c:catAx>
      <c:valAx>
        <c:axId val="3317540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75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247650</xdr:colOff>
      <xdr:row>0</xdr:row>
      <xdr:rowOff>82813</xdr:rowOff>
    </xdr:from>
    <xdr:to>
      <xdr:col>34</xdr:col>
      <xdr:colOff>457201</xdr:colOff>
      <xdr:row>3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6A1296-4F13-4488-A119-80B6EC5B5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59875" y="82813"/>
          <a:ext cx="2352676" cy="631562"/>
        </a:xfrm>
        <a:prstGeom prst="rect">
          <a:avLst/>
        </a:prstGeom>
      </xdr:spPr>
    </xdr:pic>
    <xdr:clientData/>
  </xdr:twoCellAnchor>
  <xdr:twoCellAnchor>
    <xdr:from>
      <xdr:col>13</xdr:col>
      <xdr:colOff>171449</xdr:colOff>
      <xdr:row>3</xdr:row>
      <xdr:rowOff>142875</xdr:rowOff>
    </xdr:from>
    <xdr:to>
      <xdr:col>22</xdr:col>
      <xdr:colOff>466725</xdr:colOff>
      <xdr:row>8</xdr:row>
      <xdr:rowOff>257175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BEE20C9-D32C-4BC6-B5FC-CB1683D0FF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285750</xdr:colOff>
      <xdr:row>4</xdr:row>
      <xdr:rowOff>57150</xdr:rowOff>
    </xdr:from>
    <xdr:to>
      <xdr:col>33</xdr:col>
      <xdr:colOff>581026</xdr:colOff>
      <xdr:row>8</xdr:row>
      <xdr:rowOff>361950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89D41A5-038A-429C-B553-549B7F252B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485447</xdr:colOff>
      <xdr:row>0</xdr:row>
      <xdr:rowOff>85724</xdr:rowOff>
    </xdr:from>
    <xdr:to>
      <xdr:col>2</xdr:col>
      <xdr:colOff>1552575</xdr:colOff>
      <xdr:row>3</xdr:row>
      <xdr:rowOff>38099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997" y="85724"/>
          <a:ext cx="1791028" cy="523875"/>
        </a:xfrm>
        <a:prstGeom prst="rect">
          <a:avLst/>
        </a:prstGeom>
      </xdr:spPr>
    </xdr:pic>
    <xdr:clientData/>
  </xdr:twoCellAnchor>
  <xdr:twoCellAnchor>
    <xdr:from>
      <xdr:col>6</xdr:col>
      <xdr:colOff>1257299</xdr:colOff>
      <xdr:row>4</xdr:row>
      <xdr:rowOff>95250</xdr:rowOff>
    </xdr:from>
    <xdr:to>
      <xdr:col>12</xdr:col>
      <xdr:colOff>942974</xdr:colOff>
      <xdr:row>8</xdr:row>
      <xdr:rowOff>409575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485447</xdr:colOff>
      <xdr:row>0</xdr:row>
      <xdr:rowOff>85724</xdr:rowOff>
    </xdr:from>
    <xdr:ext cx="1791028" cy="52387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447" y="85724"/>
          <a:ext cx="1791028" cy="523875"/>
        </a:xfrm>
        <a:prstGeom prst="rect">
          <a:avLst/>
        </a:prstGeom>
      </xdr:spPr>
    </xdr:pic>
    <xdr:clientData/>
  </xdr:oneCellAnchor>
  <xdr:twoCellAnchor>
    <xdr:from>
      <xdr:col>7</xdr:col>
      <xdr:colOff>1257299</xdr:colOff>
      <xdr:row>4</xdr:row>
      <xdr:rowOff>95250</xdr:rowOff>
    </xdr:from>
    <xdr:to>
      <xdr:col>13</xdr:col>
      <xdr:colOff>942974</xdr:colOff>
      <xdr:row>8</xdr:row>
      <xdr:rowOff>409575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485447</xdr:colOff>
      <xdr:row>0</xdr:row>
      <xdr:rowOff>85724</xdr:rowOff>
    </xdr:from>
    <xdr:to>
      <xdr:col>2</xdr:col>
      <xdr:colOff>1552575</xdr:colOff>
      <xdr:row>3</xdr:row>
      <xdr:rowOff>38099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997" y="85724"/>
          <a:ext cx="1791028" cy="523875"/>
        </a:xfrm>
        <a:prstGeom prst="rect">
          <a:avLst/>
        </a:prstGeom>
      </xdr:spPr>
    </xdr:pic>
    <xdr:clientData/>
  </xdr:twoCellAnchor>
  <xdr:twoCellAnchor>
    <xdr:from>
      <xdr:col>6</xdr:col>
      <xdr:colOff>1257299</xdr:colOff>
      <xdr:row>4</xdr:row>
      <xdr:rowOff>95250</xdr:rowOff>
    </xdr:from>
    <xdr:to>
      <xdr:col>12</xdr:col>
      <xdr:colOff>942974</xdr:colOff>
      <xdr:row>8</xdr:row>
      <xdr:rowOff>409575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485447</xdr:colOff>
      <xdr:row>0</xdr:row>
      <xdr:rowOff>85724</xdr:rowOff>
    </xdr:from>
    <xdr:to>
      <xdr:col>2</xdr:col>
      <xdr:colOff>1552575</xdr:colOff>
      <xdr:row>3</xdr:row>
      <xdr:rowOff>38099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997" y="85724"/>
          <a:ext cx="1791028" cy="523875"/>
        </a:xfrm>
        <a:prstGeom prst="rect">
          <a:avLst/>
        </a:prstGeom>
      </xdr:spPr>
    </xdr:pic>
    <xdr:clientData/>
  </xdr:twoCellAnchor>
  <xdr:twoCellAnchor>
    <xdr:from>
      <xdr:col>6</xdr:col>
      <xdr:colOff>1257299</xdr:colOff>
      <xdr:row>4</xdr:row>
      <xdr:rowOff>95250</xdr:rowOff>
    </xdr:from>
    <xdr:to>
      <xdr:col>12</xdr:col>
      <xdr:colOff>942974</xdr:colOff>
      <xdr:row>8</xdr:row>
      <xdr:rowOff>409575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485447</xdr:colOff>
      <xdr:row>0</xdr:row>
      <xdr:rowOff>85724</xdr:rowOff>
    </xdr:from>
    <xdr:to>
      <xdr:col>2</xdr:col>
      <xdr:colOff>1609725</xdr:colOff>
      <xdr:row>3</xdr:row>
      <xdr:rowOff>38099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F8DEF1-A545-4627-A532-74D7A6B30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997" y="85724"/>
          <a:ext cx="1791028" cy="523875"/>
        </a:xfrm>
        <a:prstGeom prst="rect">
          <a:avLst/>
        </a:prstGeom>
      </xdr:spPr>
    </xdr:pic>
    <xdr:clientData/>
  </xdr:twoCellAnchor>
  <xdr:twoCellAnchor>
    <xdr:from>
      <xdr:col>6</xdr:col>
      <xdr:colOff>1257299</xdr:colOff>
      <xdr:row>4</xdr:row>
      <xdr:rowOff>95250</xdr:rowOff>
    </xdr:from>
    <xdr:to>
      <xdr:col>12</xdr:col>
      <xdr:colOff>942974</xdr:colOff>
      <xdr:row>8</xdr:row>
      <xdr:rowOff>409575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0839FA-AAF4-4C65-A488-21BC8F9F7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485447</xdr:colOff>
      <xdr:row>0</xdr:row>
      <xdr:rowOff>85724</xdr:rowOff>
    </xdr:from>
    <xdr:to>
      <xdr:col>2</xdr:col>
      <xdr:colOff>1609725</xdr:colOff>
      <xdr:row>3</xdr:row>
      <xdr:rowOff>38099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E334FF-D86F-40A7-A917-3D58F3374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997" y="85724"/>
          <a:ext cx="1791028" cy="523875"/>
        </a:xfrm>
        <a:prstGeom prst="rect">
          <a:avLst/>
        </a:prstGeom>
      </xdr:spPr>
    </xdr:pic>
    <xdr:clientData/>
  </xdr:twoCellAnchor>
  <xdr:twoCellAnchor>
    <xdr:from>
      <xdr:col>6</xdr:col>
      <xdr:colOff>1257299</xdr:colOff>
      <xdr:row>4</xdr:row>
      <xdr:rowOff>95250</xdr:rowOff>
    </xdr:from>
    <xdr:to>
      <xdr:col>12</xdr:col>
      <xdr:colOff>942974</xdr:colOff>
      <xdr:row>8</xdr:row>
      <xdr:rowOff>409575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468C24E-C9C0-4A11-869E-F03CB6FD8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485447</xdr:colOff>
      <xdr:row>0</xdr:row>
      <xdr:rowOff>85724</xdr:rowOff>
    </xdr:from>
    <xdr:to>
      <xdr:col>2</xdr:col>
      <xdr:colOff>1609725</xdr:colOff>
      <xdr:row>3</xdr:row>
      <xdr:rowOff>38099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0101B9-3FD5-4B96-A09D-FC6424F7D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997" y="85724"/>
          <a:ext cx="1791028" cy="523875"/>
        </a:xfrm>
        <a:prstGeom prst="rect">
          <a:avLst/>
        </a:prstGeom>
      </xdr:spPr>
    </xdr:pic>
    <xdr:clientData/>
  </xdr:twoCellAnchor>
  <xdr:twoCellAnchor>
    <xdr:from>
      <xdr:col>6</xdr:col>
      <xdr:colOff>1257299</xdr:colOff>
      <xdr:row>4</xdr:row>
      <xdr:rowOff>95250</xdr:rowOff>
    </xdr:from>
    <xdr:to>
      <xdr:col>12</xdr:col>
      <xdr:colOff>942974</xdr:colOff>
      <xdr:row>8</xdr:row>
      <xdr:rowOff>409575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10F035-E2C9-434D-8BC9-C9562219B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485447</xdr:colOff>
      <xdr:row>0</xdr:row>
      <xdr:rowOff>85724</xdr:rowOff>
    </xdr:from>
    <xdr:to>
      <xdr:col>2</xdr:col>
      <xdr:colOff>1609725</xdr:colOff>
      <xdr:row>3</xdr:row>
      <xdr:rowOff>38099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963BCB-258C-4484-A3CC-FAA78B83D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997" y="85724"/>
          <a:ext cx="1791028" cy="523875"/>
        </a:xfrm>
        <a:prstGeom prst="rect">
          <a:avLst/>
        </a:prstGeom>
      </xdr:spPr>
    </xdr:pic>
    <xdr:clientData/>
  </xdr:twoCellAnchor>
  <xdr:twoCellAnchor>
    <xdr:from>
      <xdr:col>6</xdr:col>
      <xdr:colOff>1257299</xdr:colOff>
      <xdr:row>4</xdr:row>
      <xdr:rowOff>95250</xdr:rowOff>
    </xdr:from>
    <xdr:to>
      <xdr:col>12</xdr:col>
      <xdr:colOff>942974</xdr:colOff>
      <xdr:row>8</xdr:row>
      <xdr:rowOff>409575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3F7A6C-FE55-40A2-835C-7C32F74898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485447</xdr:colOff>
      <xdr:row>0</xdr:row>
      <xdr:rowOff>85724</xdr:rowOff>
    </xdr:from>
    <xdr:to>
      <xdr:col>2</xdr:col>
      <xdr:colOff>1609725</xdr:colOff>
      <xdr:row>3</xdr:row>
      <xdr:rowOff>38099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2428C48-CF2F-49E9-9421-2E0EAAD07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997" y="85724"/>
          <a:ext cx="1791028" cy="523875"/>
        </a:xfrm>
        <a:prstGeom prst="rect">
          <a:avLst/>
        </a:prstGeom>
      </xdr:spPr>
    </xdr:pic>
    <xdr:clientData/>
  </xdr:twoCellAnchor>
  <xdr:twoCellAnchor>
    <xdr:from>
      <xdr:col>6</xdr:col>
      <xdr:colOff>1257299</xdr:colOff>
      <xdr:row>4</xdr:row>
      <xdr:rowOff>95250</xdr:rowOff>
    </xdr:from>
    <xdr:to>
      <xdr:col>12</xdr:col>
      <xdr:colOff>942974</xdr:colOff>
      <xdr:row>8</xdr:row>
      <xdr:rowOff>409575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837371-9AEC-4F61-BCAC-32CDB31DE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485447</xdr:colOff>
      <xdr:row>0</xdr:row>
      <xdr:rowOff>85724</xdr:rowOff>
    </xdr:from>
    <xdr:to>
      <xdr:col>2</xdr:col>
      <xdr:colOff>1609725</xdr:colOff>
      <xdr:row>3</xdr:row>
      <xdr:rowOff>38099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1D4C69-B9B3-432A-8E17-73FAE27EE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997" y="85724"/>
          <a:ext cx="1791028" cy="523875"/>
        </a:xfrm>
        <a:prstGeom prst="rect">
          <a:avLst/>
        </a:prstGeom>
      </xdr:spPr>
    </xdr:pic>
    <xdr:clientData/>
  </xdr:twoCellAnchor>
  <xdr:twoCellAnchor>
    <xdr:from>
      <xdr:col>6</xdr:col>
      <xdr:colOff>1257299</xdr:colOff>
      <xdr:row>4</xdr:row>
      <xdr:rowOff>95250</xdr:rowOff>
    </xdr:from>
    <xdr:to>
      <xdr:col>12</xdr:col>
      <xdr:colOff>942974</xdr:colOff>
      <xdr:row>8</xdr:row>
      <xdr:rowOff>409575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AAAC222-4104-44A5-ABA3-1B1E602C1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CDF1-9FD1-4A41-9634-97CDF63BFDD3}">
  <dimension ref="A1:AM213"/>
  <sheetViews>
    <sheetView tabSelected="1" view="pageBreakPreview" topLeftCell="A14" zoomScale="60" zoomScaleNormal="100" workbookViewId="0">
      <selection activeCell="I15" sqref="I15:J15"/>
    </sheetView>
  </sheetViews>
  <sheetFormatPr baseColWidth="10" defaultColWidth="11.42578125" defaultRowHeight="15"/>
  <cols>
    <col min="1" max="1" width="2.7109375" style="102" customWidth="1"/>
    <col min="2" max="35" width="10.7109375" style="1" customWidth="1"/>
    <col min="36" max="16384" width="11.42578125" style="1"/>
  </cols>
  <sheetData>
    <row r="1" spans="1:36" ht="15" customHeight="1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3"/>
    </row>
    <row r="2" spans="1:36" ht="15" customHeight="1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3"/>
    </row>
    <row r="3" spans="1:36" ht="15" customHeight="1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3"/>
    </row>
    <row r="4" spans="1:36" ht="15" customHeight="1">
      <c r="A4" s="131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3"/>
    </row>
    <row r="5" spans="1:36" ht="25.5" customHeight="1">
      <c r="A5" s="101"/>
      <c r="B5" s="13"/>
      <c r="C5" s="13"/>
      <c r="D5" s="14"/>
      <c r="E5" s="14"/>
      <c r="F5" s="14"/>
      <c r="G5" s="19"/>
      <c r="H5" s="14"/>
      <c r="I5" s="15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3"/>
    </row>
    <row r="6" spans="1:36" ht="31.5" customHeight="1">
      <c r="A6" s="101"/>
      <c r="B6" s="132" t="s">
        <v>1</v>
      </c>
      <c r="C6" s="132"/>
      <c r="D6" s="135"/>
      <c r="E6" s="135"/>
      <c r="F6" s="135"/>
      <c r="G6" s="19"/>
      <c r="H6" s="132" t="s">
        <v>2</v>
      </c>
      <c r="I6" s="132"/>
      <c r="J6" s="133"/>
      <c r="K6" s="133"/>
      <c r="L6" s="20"/>
      <c r="M6" s="5"/>
      <c r="N6" s="5"/>
      <c r="O6" s="5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3"/>
    </row>
    <row r="7" spans="1:36" ht="12.75" customHeight="1">
      <c r="A7" s="101"/>
      <c r="B7" s="13"/>
      <c r="C7" s="13"/>
      <c r="D7" s="14"/>
      <c r="E7" s="14"/>
      <c r="F7" s="14"/>
      <c r="G7" s="19"/>
      <c r="H7" s="14"/>
      <c r="I7" s="21"/>
      <c r="J7" s="21"/>
      <c r="K7" s="21"/>
      <c r="L7" s="21"/>
      <c r="M7" s="15"/>
      <c r="N7" s="15"/>
      <c r="O7" s="15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3"/>
    </row>
    <row r="8" spans="1:36" ht="33" customHeight="1">
      <c r="A8" s="101"/>
      <c r="B8" s="132" t="s">
        <v>3</v>
      </c>
      <c r="C8" s="132"/>
      <c r="D8" s="135"/>
      <c r="E8" s="135"/>
      <c r="F8" s="135"/>
      <c r="G8" s="19"/>
      <c r="H8" s="132" t="s">
        <v>4</v>
      </c>
      <c r="I8" s="132"/>
      <c r="J8" s="134"/>
      <c r="K8" s="134"/>
      <c r="L8" s="20"/>
      <c r="M8" s="5"/>
      <c r="N8" s="5"/>
      <c r="O8" s="5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3"/>
    </row>
    <row r="9" spans="1:36" ht="37.5" customHeight="1">
      <c r="A9" s="101"/>
      <c r="B9" s="13"/>
      <c r="C9" s="13"/>
      <c r="D9" s="19" t="s">
        <v>1</v>
      </c>
      <c r="E9" s="19"/>
      <c r="F9" s="19"/>
      <c r="G9" s="19"/>
      <c r="H9" s="19"/>
      <c r="I9" s="13"/>
      <c r="J9" s="20"/>
      <c r="K9" s="20"/>
      <c r="L9" s="20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3"/>
    </row>
    <row r="10" spans="1:36" ht="14.25" customHeight="1">
      <c r="A10" s="101"/>
      <c r="B10" s="13"/>
      <c r="C10" s="13"/>
      <c r="D10" s="20"/>
      <c r="E10" s="20"/>
      <c r="F10" s="20"/>
      <c r="G10" s="20"/>
      <c r="H10" s="20"/>
      <c r="I10" s="21"/>
      <c r="J10" s="21"/>
      <c r="K10" s="21"/>
      <c r="L10" s="21"/>
      <c r="M10" s="21"/>
      <c r="N10" s="109"/>
      <c r="O10" s="110" t="s">
        <v>5</v>
      </c>
      <c r="P10" s="110"/>
      <c r="Q10" s="110" t="s">
        <v>6</v>
      </c>
      <c r="R10" s="110"/>
      <c r="S10" s="110" t="s">
        <v>7</v>
      </c>
      <c r="T10" s="110"/>
      <c r="U10" s="110" t="s">
        <v>8</v>
      </c>
      <c r="V10" s="110"/>
      <c r="W10" s="110" t="s">
        <v>9</v>
      </c>
      <c r="X10" s="5"/>
      <c r="Y10"/>
      <c r="Z10" s="109"/>
      <c r="AA10" s="110" t="s">
        <v>10</v>
      </c>
      <c r="AB10" s="110"/>
      <c r="AC10" s="110" t="s">
        <v>11</v>
      </c>
      <c r="AD10" s="110"/>
      <c r="AE10" s="110" t="s">
        <v>12</v>
      </c>
      <c r="AF10" s="110"/>
      <c r="AG10" s="110" t="s">
        <v>8</v>
      </c>
      <c r="AH10" s="110"/>
      <c r="AI10" s="21"/>
      <c r="AJ10" s="3"/>
    </row>
    <row r="11" spans="1:36" ht="14.25" customHeight="1">
      <c r="A11" s="101"/>
      <c r="B11" s="13"/>
      <c r="C11" s="13"/>
      <c r="D11" s="22" t="s">
        <v>13</v>
      </c>
      <c r="E11" s="22"/>
      <c r="F11" s="22"/>
      <c r="G11" s="22"/>
      <c r="H11" s="22"/>
      <c r="I11" s="13"/>
      <c r="J11" s="20"/>
      <c r="K11" s="20"/>
      <c r="L11" s="20"/>
      <c r="M11" s="13"/>
      <c r="N11" s="111" t="s">
        <v>14</v>
      </c>
      <c r="O11" s="112"/>
      <c r="P11" s="112"/>
      <c r="Q11" s="112"/>
      <c r="R11" s="112"/>
      <c r="S11" s="112"/>
      <c r="T11" s="112"/>
      <c r="U11" s="112"/>
      <c r="V11" s="112"/>
      <c r="W11" s="113" t="e">
        <f>O11/U11</f>
        <v>#DIV/0!</v>
      </c>
      <c r="X11" s="5"/>
      <c r="Y11" s="109"/>
      <c r="Z11" s="111" t="s">
        <v>14</v>
      </c>
      <c r="AA11" s="112"/>
      <c r="AB11" s="112"/>
      <c r="AC11" s="112"/>
      <c r="AD11" s="112"/>
      <c r="AE11" s="112"/>
      <c r="AF11" s="112"/>
      <c r="AG11" s="112">
        <f>SUM(AA11:AF11)</f>
        <v>0</v>
      </c>
      <c r="AH11" s="113"/>
      <c r="AI11" s="13"/>
      <c r="AJ11" s="3"/>
    </row>
    <row r="12" spans="1:36" ht="9" customHeight="1">
      <c r="A12" s="101"/>
      <c r="B12" s="13"/>
      <c r="C12" s="13"/>
      <c r="D12" s="20"/>
      <c r="E12" s="20"/>
      <c r="F12" s="20"/>
      <c r="G12" s="20"/>
      <c r="H12" s="20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5"/>
      <c r="Z12" s="5"/>
      <c r="AA12"/>
      <c r="AB12" s="13"/>
      <c r="AC12" s="13"/>
      <c r="AD12" s="13"/>
      <c r="AE12" s="13"/>
      <c r="AF12" s="13"/>
      <c r="AG12" s="13"/>
      <c r="AH12" s="13"/>
      <c r="AI12" s="13"/>
      <c r="AJ12" s="3"/>
    </row>
    <row r="13" spans="1:36" s="2" customFormat="1" ht="46.5" customHeight="1">
      <c r="A13" s="117" t="s">
        <v>15</v>
      </c>
      <c r="B13" s="115" t="s">
        <v>16</v>
      </c>
      <c r="C13" s="128" t="s">
        <v>17</v>
      </c>
      <c r="D13" s="128"/>
      <c r="E13" s="128" t="s">
        <v>18</v>
      </c>
      <c r="F13" s="128"/>
      <c r="G13" s="128"/>
      <c r="H13" s="128"/>
      <c r="I13" s="128" t="s">
        <v>19</v>
      </c>
      <c r="J13" s="128"/>
      <c r="K13" s="128" t="s">
        <v>20</v>
      </c>
      <c r="L13" s="128"/>
      <c r="M13" s="128" t="s">
        <v>21</v>
      </c>
      <c r="N13" s="128"/>
      <c r="O13" s="128"/>
      <c r="P13" s="128"/>
      <c r="Q13" s="128" t="s">
        <v>22</v>
      </c>
      <c r="R13" s="128"/>
      <c r="S13" s="129" t="s">
        <v>23</v>
      </c>
      <c r="T13" s="129"/>
      <c r="U13" s="129" t="s">
        <v>24</v>
      </c>
      <c r="V13" s="129"/>
      <c r="W13" s="129" t="s">
        <v>25</v>
      </c>
      <c r="X13" s="129"/>
      <c r="Y13" s="116" t="s">
        <v>9</v>
      </c>
      <c r="Z13" s="129" t="s">
        <v>26</v>
      </c>
      <c r="AA13" s="129"/>
      <c r="AB13" s="129" t="s">
        <v>27</v>
      </c>
      <c r="AC13" s="129"/>
      <c r="AD13" s="129" t="s">
        <v>28</v>
      </c>
      <c r="AE13" s="129"/>
      <c r="AF13" s="129" t="s">
        <v>29</v>
      </c>
      <c r="AG13" s="129"/>
      <c r="AH13" s="129"/>
      <c r="AI13" s="129"/>
      <c r="AJ13" s="114"/>
    </row>
    <row r="14" spans="1:36" ht="60" customHeight="1">
      <c r="A14" s="108">
        <v>1</v>
      </c>
      <c r="B14" s="107"/>
      <c r="C14" s="125"/>
      <c r="D14" s="125"/>
      <c r="E14" s="130"/>
      <c r="F14" s="125"/>
      <c r="G14" s="125"/>
      <c r="H14" s="125"/>
      <c r="I14" s="125"/>
      <c r="J14" s="125"/>
      <c r="K14" s="125"/>
      <c r="L14" s="125"/>
      <c r="M14" s="126"/>
      <c r="N14" s="126"/>
      <c r="O14" s="126"/>
      <c r="P14" s="126"/>
      <c r="Q14" s="126"/>
      <c r="R14" s="126"/>
      <c r="S14" s="127"/>
      <c r="T14" s="127"/>
      <c r="U14" s="127"/>
      <c r="V14" s="127"/>
      <c r="W14" s="127"/>
      <c r="X14" s="127"/>
      <c r="Y14" s="118"/>
      <c r="Z14" s="125"/>
      <c r="AA14" s="125"/>
      <c r="AB14" s="125"/>
      <c r="AC14" s="125"/>
      <c r="AD14" s="126"/>
      <c r="AE14" s="126"/>
      <c r="AF14" s="126"/>
      <c r="AG14" s="126"/>
      <c r="AH14" s="126"/>
      <c r="AI14" s="126"/>
    </row>
    <row r="15" spans="1:36" ht="60" customHeight="1">
      <c r="A15" s="108">
        <v>2</v>
      </c>
      <c r="B15" s="107"/>
      <c r="C15" s="125"/>
      <c r="D15" s="125"/>
      <c r="E15" s="130"/>
      <c r="F15" s="125"/>
      <c r="G15" s="125"/>
      <c r="H15" s="125"/>
      <c r="I15" s="125"/>
      <c r="J15" s="125"/>
      <c r="K15" s="125"/>
      <c r="L15" s="125"/>
      <c r="M15" s="126"/>
      <c r="N15" s="126"/>
      <c r="O15" s="126"/>
      <c r="P15" s="126"/>
      <c r="Q15" s="126"/>
      <c r="R15" s="126"/>
      <c r="S15" s="127"/>
      <c r="T15" s="127"/>
      <c r="U15" s="127"/>
      <c r="V15" s="127"/>
      <c r="W15" s="127"/>
      <c r="X15" s="127"/>
      <c r="Y15" s="118"/>
      <c r="Z15" s="125"/>
      <c r="AA15" s="125"/>
      <c r="AB15" s="125"/>
      <c r="AC15" s="125"/>
      <c r="AD15" s="126"/>
      <c r="AE15" s="126"/>
      <c r="AF15" s="126"/>
      <c r="AG15" s="126"/>
      <c r="AH15" s="126"/>
      <c r="AI15" s="126"/>
    </row>
    <row r="16" spans="1:36" ht="60" customHeight="1">
      <c r="A16" s="108">
        <v>3</v>
      </c>
      <c r="B16" s="107"/>
      <c r="C16" s="125"/>
      <c r="D16" s="125"/>
      <c r="E16" s="130"/>
      <c r="F16" s="125"/>
      <c r="G16" s="125"/>
      <c r="H16" s="125"/>
      <c r="I16" s="125"/>
      <c r="J16" s="125"/>
      <c r="K16" s="125"/>
      <c r="L16" s="125"/>
      <c r="M16" s="126"/>
      <c r="N16" s="126"/>
      <c r="O16" s="126"/>
      <c r="P16" s="126"/>
      <c r="Q16" s="126"/>
      <c r="R16" s="126"/>
      <c r="S16" s="127"/>
      <c r="T16" s="127"/>
      <c r="U16" s="127"/>
      <c r="V16" s="127"/>
      <c r="W16" s="127"/>
      <c r="X16" s="127"/>
      <c r="Y16" s="118"/>
      <c r="Z16" s="125"/>
      <c r="AA16" s="125"/>
      <c r="AB16" s="125"/>
      <c r="AC16" s="125"/>
      <c r="AD16" s="126"/>
      <c r="AE16" s="126"/>
      <c r="AF16" s="126"/>
      <c r="AG16" s="126"/>
      <c r="AH16" s="126"/>
      <c r="AI16" s="126"/>
    </row>
    <row r="17" spans="1:35" ht="60" customHeight="1">
      <c r="A17" s="108">
        <v>4</v>
      </c>
      <c r="B17" s="107"/>
      <c r="C17" s="125"/>
      <c r="D17" s="125"/>
      <c r="E17" s="130"/>
      <c r="F17" s="125"/>
      <c r="G17" s="125"/>
      <c r="H17" s="125"/>
      <c r="I17" s="125"/>
      <c r="J17" s="125"/>
      <c r="K17" s="125"/>
      <c r="L17" s="125"/>
      <c r="M17" s="126"/>
      <c r="N17" s="126"/>
      <c r="O17" s="126"/>
      <c r="P17" s="126"/>
      <c r="Q17" s="126"/>
      <c r="R17" s="126"/>
      <c r="S17" s="127"/>
      <c r="T17" s="127"/>
      <c r="U17" s="127"/>
      <c r="V17" s="127"/>
      <c r="W17" s="127"/>
      <c r="X17" s="127"/>
      <c r="Y17" s="118"/>
      <c r="Z17" s="125"/>
      <c r="AA17" s="125"/>
      <c r="AB17" s="125"/>
      <c r="AC17" s="125"/>
      <c r="AD17" s="126"/>
      <c r="AE17" s="126"/>
      <c r="AF17" s="126"/>
      <c r="AG17" s="126"/>
      <c r="AH17" s="126"/>
      <c r="AI17" s="126"/>
    </row>
    <row r="18" spans="1:35" ht="60" customHeight="1">
      <c r="A18" s="108">
        <v>5</v>
      </c>
      <c r="B18" s="107"/>
      <c r="C18" s="125"/>
      <c r="D18" s="125"/>
      <c r="E18" s="130"/>
      <c r="F18" s="125"/>
      <c r="G18" s="125"/>
      <c r="H18" s="125"/>
      <c r="I18" s="125"/>
      <c r="J18" s="125"/>
      <c r="K18" s="125"/>
      <c r="L18" s="125"/>
      <c r="M18" s="126"/>
      <c r="N18" s="126"/>
      <c r="O18" s="126"/>
      <c r="P18" s="126"/>
      <c r="Q18" s="126"/>
      <c r="R18" s="126"/>
      <c r="S18" s="127"/>
      <c r="T18" s="127"/>
      <c r="U18" s="127"/>
      <c r="V18" s="127"/>
      <c r="W18" s="127"/>
      <c r="X18" s="127"/>
      <c r="Y18" s="118"/>
      <c r="Z18" s="125"/>
      <c r="AA18" s="125"/>
      <c r="AB18" s="125"/>
      <c r="AC18" s="125"/>
      <c r="AD18" s="126"/>
      <c r="AE18" s="126"/>
      <c r="AF18" s="126"/>
      <c r="AG18" s="126"/>
      <c r="AH18" s="126"/>
      <c r="AI18" s="126"/>
    </row>
    <row r="19" spans="1:35" ht="30" customHeight="1">
      <c r="B19" s="105"/>
      <c r="C19" s="105"/>
      <c r="D19" s="105"/>
      <c r="E19" s="105"/>
      <c r="F19" s="105"/>
      <c r="G19" s="105"/>
      <c r="H19" s="105"/>
      <c r="I19" s="105"/>
      <c r="J19" s="105"/>
      <c r="K19" s="104"/>
      <c r="L19" s="104"/>
      <c r="M19" s="122"/>
      <c r="N19" s="123"/>
      <c r="O19" s="123"/>
      <c r="P19" s="124"/>
      <c r="Q19" s="122"/>
      <c r="R19" s="123"/>
      <c r="S19" s="123"/>
      <c r="T19" s="123"/>
      <c r="U19" s="124"/>
      <c r="V19" s="103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</row>
    <row r="20" spans="1:35" ht="30" customHeight="1">
      <c r="B20" s="105"/>
      <c r="C20" s="105"/>
      <c r="D20" s="105"/>
      <c r="E20" s="105"/>
      <c r="F20" s="105"/>
      <c r="G20" s="105"/>
      <c r="H20" s="105"/>
      <c r="I20" s="105"/>
      <c r="J20" s="105"/>
      <c r="K20" s="104"/>
      <c r="L20" s="104"/>
      <c r="M20" s="122"/>
      <c r="N20" s="123"/>
      <c r="O20" s="123"/>
      <c r="P20" s="124"/>
      <c r="Q20" s="122"/>
      <c r="R20" s="123"/>
      <c r="S20" s="123"/>
      <c r="T20" s="123"/>
      <c r="U20" s="124"/>
      <c r="V20" s="103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</row>
    <row r="21" spans="1:35" ht="30" customHeight="1">
      <c r="K21" s="61"/>
      <c r="L21" s="61"/>
      <c r="M21" s="119"/>
      <c r="N21" s="120"/>
      <c r="O21" s="120"/>
      <c r="P21" s="121"/>
      <c r="Q21" s="119"/>
      <c r="R21" s="120"/>
      <c r="S21" s="120"/>
      <c r="T21" s="120"/>
      <c r="U21" s="121"/>
      <c r="V21" s="106"/>
    </row>
    <row r="22" spans="1:35" ht="30" customHeight="1">
      <c r="K22" s="61"/>
      <c r="L22" s="61"/>
      <c r="M22" s="119"/>
      <c r="N22" s="120"/>
      <c r="O22" s="120"/>
      <c r="P22" s="121"/>
    </row>
    <row r="23" spans="1:35" ht="30" customHeight="1">
      <c r="K23" s="61"/>
      <c r="L23" s="61"/>
      <c r="M23" s="119"/>
      <c r="N23" s="120"/>
      <c r="O23" s="120"/>
      <c r="P23" s="121"/>
    </row>
    <row r="24" spans="1:35" ht="30" customHeight="1">
      <c r="K24" s="61"/>
      <c r="L24" s="61"/>
      <c r="M24" s="119"/>
      <c r="N24" s="120"/>
      <c r="O24" s="120"/>
      <c r="P24" s="121"/>
    </row>
    <row r="25" spans="1:35" ht="30" customHeight="1">
      <c r="K25" s="61"/>
      <c r="L25" s="61"/>
      <c r="M25" s="119"/>
      <c r="N25" s="120"/>
      <c r="O25" s="120"/>
      <c r="P25" s="121"/>
    </row>
    <row r="26" spans="1:35" ht="30" customHeight="1">
      <c r="K26" s="61"/>
      <c r="L26" s="61"/>
      <c r="M26" s="119"/>
      <c r="N26" s="120"/>
      <c r="O26" s="120"/>
      <c r="P26" s="121"/>
    </row>
    <row r="27" spans="1:35" ht="30" customHeight="1">
      <c r="K27" s="61"/>
      <c r="L27" s="61"/>
      <c r="M27" s="119"/>
      <c r="N27" s="120"/>
      <c r="O27" s="120"/>
      <c r="P27" s="121"/>
    </row>
    <row r="28" spans="1:35" ht="30" customHeight="1">
      <c r="K28" s="61"/>
      <c r="L28" s="61"/>
      <c r="M28" s="119"/>
      <c r="N28" s="120"/>
      <c r="O28" s="120"/>
      <c r="P28" s="121"/>
    </row>
    <row r="29" spans="1:35" ht="30" customHeight="1">
      <c r="K29" s="61"/>
      <c r="L29" s="61"/>
      <c r="M29" s="119"/>
      <c r="N29" s="120"/>
      <c r="O29" s="120"/>
      <c r="P29" s="121"/>
    </row>
    <row r="30" spans="1:35" ht="30" customHeight="1">
      <c r="K30" s="61"/>
      <c r="L30" s="61"/>
      <c r="M30" s="119"/>
      <c r="N30" s="120"/>
      <c r="O30" s="120"/>
      <c r="P30" s="121"/>
    </row>
    <row r="31" spans="1:35" ht="30" customHeight="1">
      <c r="K31" s="61"/>
      <c r="L31" s="61"/>
      <c r="M31" s="119"/>
      <c r="N31" s="120"/>
      <c r="O31" s="120"/>
      <c r="P31" s="121"/>
    </row>
    <row r="32" spans="1:35" ht="30" customHeight="1">
      <c r="K32" s="61"/>
      <c r="L32" s="61"/>
      <c r="M32" s="119"/>
      <c r="N32" s="120"/>
      <c r="O32" s="120"/>
      <c r="P32" s="121"/>
    </row>
    <row r="33" spans="11:16" ht="30" customHeight="1">
      <c r="K33" s="61"/>
      <c r="L33" s="61"/>
      <c r="M33" s="119"/>
      <c r="N33" s="120"/>
      <c r="O33" s="120"/>
      <c r="P33" s="121"/>
    </row>
    <row r="34" spans="11:16" ht="30" customHeight="1">
      <c r="K34" s="61"/>
      <c r="L34" s="61"/>
      <c r="M34" s="119"/>
      <c r="N34" s="120"/>
      <c r="O34" s="120"/>
      <c r="P34" s="121"/>
    </row>
    <row r="35" spans="11:16" ht="30" customHeight="1">
      <c r="K35" s="61"/>
      <c r="L35" s="61"/>
      <c r="M35" s="119"/>
      <c r="N35" s="120"/>
      <c r="O35" s="120"/>
      <c r="P35" s="121"/>
    </row>
    <row r="36" spans="11:16" ht="30" customHeight="1">
      <c r="K36" s="61"/>
      <c r="L36" s="61"/>
      <c r="M36" s="119"/>
      <c r="N36" s="120"/>
      <c r="O36" s="120"/>
      <c r="P36" s="121"/>
    </row>
    <row r="37" spans="11:16" ht="30" customHeight="1">
      <c r="K37" s="61"/>
      <c r="L37" s="61"/>
      <c r="M37" s="119"/>
      <c r="N37" s="120"/>
      <c r="O37" s="120"/>
      <c r="P37" s="121"/>
    </row>
    <row r="38" spans="11:16" ht="30" customHeight="1">
      <c r="K38" s="61"/>
      <c r="L38" s="61"/>
      <c r="M38" s="119"/>
      <c r="N38" s="120"/>
      <c r="O38" s="120"/>
      <c r="P38" s="121"/>
    </row>
    <row r="39" spans="11:16" ht="30" customHeight="1">
      <c r="K39" s="61"/>
      <c r="L39" s="61"/>
      <c r="M39" s="119"/>
      <c r="N39" s="120"/>
      <c r="O39" s="120"/>
      <c r="P39" s="121"/>
    </row>
    <row r="40" spans="11:16" ht="30" customHeight="1">
      <c r="K40" s="61"/>
      <c r="L40" s="61"/>
      <c r="M40" s="119"/>
      <c r="N40" s="120"/>
      <c r="O40" s="120"/>
      <c r="P40" s="121"/>
    </row>
    <row r="41" spans="11:16" ht="30" customHeight="1">
      <c r="K41" s="61"/>
      <c r="L41" s="61"/>
      <c r="M41" s="119"/>
      <c r="N41" s="120"/>
      <c r="O41" s="120"/>
      <c r="P41" s="121"/>
    </row>
    <row r="42" spans="11:16" ht="30" customHeight="1">
      <c r="K42" s="61"/>
      <c r="L42" s="61"/>
      <c r="M42" s="119"/>
      <c r="N42" s="120"/>
      <c r="O42" s="120"/>
      <c r="P42" s="121"/>
    </row>
    <row r="43" spans="11:16" ht="30" customHeight="1">
      <c r="K43" s="61"/>
      <c r="L43" s="61"/>
      <c r="M43" s="119"/>
      <c r="N43" s="120"/>
      <c r="O43" s="120"/>
      <c r="P43" s="121"/>
    </row>
    <row r="44" spans="11:16" ht="30" customHeight="1">
      <c r="K44" s="61"/>
      <c r="L44" s="61"/>
      <c r="M44" s="119"/>
      <c r="N44" s="120"/>
      <c r="O44" s="120"/>
      <c r="P44" s="121"/>
    </row>
    <row r="45" spans="11:16" ht="30" customHeight="1">
      <c r="K45" s="61"/>
      <c r="L45" s="61"/>
      <c r="M45" s="119"/>
      <c r="N45" s="120"/>
      <c r="O45" s="120"/>
      <c r="P45" s="121"/>
    </row>
    <row r="46" spans="11:16" ht="30" customHeight="1">
      <c r="K46" s="61"/>
      <c r="L46" s="61"/>
      <c r="M46" s="119"/>
      <c r="N46" s="120"/>
      <c r="O46" s="120"/>
      <c r="P46" s="121"/>
    </row>
    <row r="47" spans="11:16" ht="30" customHeight="1">
      <c r="K47" s="61"/>
      <c r="L47" s="61"/>
      <c r="M47" s="119"/>
      <c r="N47" s="120"/>
      <c r="O47" s="120"/>
      <c r="P47" s="121"/>
    </row>
    <row r="48" spans="11:16" ht="30" customHeight="1">
      <c r="K48" s="61"/>
      <c r="L48" s="61"/>
      <c r="M48" s="119"/>
      <c r="N48" s="120"/>
      <c r="O48" s="120"/>
      <c r="P48" s="121"/>
    </row>
    <row r="49" spans="11:16" ht="30" customHeight="1">
      <c r="K49" s="61"/>
      <c r="L49" s="61"/>
      <c r="M49" s="119"/>
      <c r="N49" s="120"/>
      <c r="O49" s="120"/>
      <c r="P49" s="121"/>
    </row>
    <row r="50" spans="11:16" ht="30" customHeight="1">
      <c r="K50" s="61"/>
      <c r="L50" s="61"/>
      <c r="M50" s="119"/>
      <c r="N50" s="120"/>
      <c r="O50" s="120"/>
      <c r="P50" s="121"/>
    </row>
    <row r="51" spans="11:16" ht="30" customHeight="1">
      <c r="K51" s="61"/>
      <c r="L51" s="61"/>
      <c r="M51" s="119"/>
      <c r="N51" s="120"/>
      <c r="O51" s="120"/>
      <c r="P51" s="121"/>
    </row>
    <row r="52" spans="11:16" ht="30" customHeight="1">
      <c r="K52" s="61"/>
      <c r="L52" s="61"/>
      <c r="M52" s="119"/>
      <c r="N52" s="120"/>
      <c r="O52" s="120"/>
      <c r="P52" s="121"/>
    </row>
    <row r="53" spans="11:16" ht="30" customHeight="1">
      <c r="K53" s="61"/>
      <c r="L53" s="61"/>
      <c r="M53" s="119"/>
      <c r="N53" s="120"/>
      <c r="O53" s="120"/>
      <c r="P53" s="121"/>
    </row>
    <row r="54" spans="11:16" ht="30" customHeight="1">
      <c r="K54" s="61"/>
      <c r="L54" s="61"/>
      <c r="M54" s="119"/>
      <c r="N54" s="120"/>
      <c r="O54" s="120"/>
      <c r="P54" s="121"/>
    </row>
    <row r="55" spans="11:16" ht="30" customHeight="1">
      <c r="K55" s="61"/>
      <c r="L55" s="61"/>
      <c r="M55" s="119"/>
      <c r="N55" s="120"/>
      <c r="O55" s="120"/>
      <c r="P55" s="121"/>
    </row>
    <row r="56" spans="11:16" ht="30" customHeight="1">
      <c r="K56" s="61"/>
      <c r="L56" s="61"/>
      <c r="M56" s="119"/>
      <c r="N56" s="120"/>
      <c r="O56" s="120"/>
      <c r="P56" s="121"/>
    </row>
    <row r="57" spans="11:16" ht="30" customHeight="1">
      <c r="K57" s="61"/>
      <c r="L57" s="61"/>
      <c r="M57" s="119"/>
      <c r="N57" s="120"/>
      <c r="O57" s="120"/>
      <c r="P57" s="121"/>
    </row>
    <row r="58" spans="11:16" ht="30" customHeight="1">
      <c r="K58" s="61"/>
      <c r="L58" s="61"/>
      <c r="M58" s="119"/>
      <c r="N58" s="120"/>
      <c r="O58" s="120"/>
      <c r="P58" s="121"/>
    </row>
    <row r="59" spans="11:16" ht="30" customHeight="1">
      <c r="K59" s="61"/>
      <c r="L59" s="61"/>
      <c r="M59" s="119"/>
      <c r="N59" s="120"/>
      <c r="O59" s="120"/>
      <c r="P59" s="121"/>
    </row>
    <row r="60" spans="11:16" ht="30" customHeight="1">
      <c r="K60" s="61"/>
      <c r="L60" s="61"/>
      <c r="M60" s="119"/>
      <c r="N60" s="120"/>
      <c r="O60" s="120"/>
      <c r="P60" s="121"/>
    </row>
    <row r="61" spans="11:16" ht="30" customHeight="1">
      <c r="K61" s="61"/>
      <c r="L61" s="61"/>
      <c r="M61" s="119"/>
      <c r="N61" s="120"/>
      <c r="O61" s="120"/>
      <c r="P61" s="121"/>
    </row>
    <row r="62" spans="11:16" ht="30" customHeight="1">
      <c r="K62" s="61"/>
      <c r="L62" s="61"/>
      <c r="M62" s="119"/>
      <c r="N62" s="120"/>
      <c r="O62" s="120"/>
      <c r="P62" s="121"/>
    </row>
    <row r="63" spans="11:16" ht="30" customHeight="1">
      <c r="K63" s="61"/>
      <c r="L63" s="61"/>
      <c r="M63" s="119"/>
      <c r="N63" s="120"/>
      <c r="O63" s="120"/>
      <c r="P63" s="121"/>
    </row>
    <row r="64" spans="11:16" ht="30" customHeight="1">
      <c r="K64" s="61"/>
      <c r="L64" s="61"/>
      <c r="M64" s="119"/>
      <c r="N64" s="120"/>
      <c r="O64" s="120"/>
      <c r="P64" s="121"/>
    </row>
    <row r="65" spans="11:16" ht="30" customHeight="1">
      <c r="K65" s="61"/>
      <c r="L65" s="61"/>
      <c r="M65" s="119"/>
      <c r="N65" s="120"/>
      <c r="O65" s="120"/>
      <c r="P65" s="121"/>
    </row>
    <row r="66" spans="11:16" ht="30" customHeight="1">
      <c r="K66" s="61"/>
      <c r="L66" s="61"/>
      <c r="M66" s="119"/>
      <c r="N66" s="120"/>
      <c r="O66" s="120"/>
      <c r="P66" s="121"/>
    </row>
    <row r="67" spans="11:16" ht="30" customHeight="1">
      <c r="K67" s="61"/>
      <c r="L67" s="61"/>
      <c r="M67" s="119"/>
      <c r="N67" s="120"/>
      <c r="O67" s="120"/>
      <c r="P67" s="121"/>
    </row>
    <row r="68" spans="11:16" ht="30" customHeight="1">
      <c r="K68" s="61"/>
      <c r="L68" s="61"/>
      <c r="M68" s="119"/>
      <c r="N68" s="120"/>
      <c r="O68" s="120"/>
      <c r="P68" s="121"/>
    </row>
    <row r="69" spans="11:16" ht="30" customHeight="1">
      <c r="K69" s="61"/>
      <c r="L69" s="61"/>
      <c r="M69" s="119"/>
      <c r="N69" s="120"/>
      <c r="O69" s="120"/>
      <c r="P69" s="121"/>
    </row>
    <row r="70" spans="11:16" ht="30" customHeight="1">
      <c r="K70" s="61"/>
      <c r="L70" s="61"/>
      <c r="M70" s="119"/>
      <c r="N70" s="120"/>
      <c r="O70" s="120"/>
      <c r="P70" s="121"/>
    </row>
    <row r="71" spans="11:16" ht="30" customHeight="1">
      <c r="K71" s="61"/>
      <c r="L71" s="61"/>
      <c r="M71" s="119"/>
      <c r="N71" s="120"/>
      <c r="O71" s="120"/>
      <c r="P71" s="121"/>
    </row>
    <row r="72" spans="11:16" ht="30" customHeight="1">
      <c r="K72" s="61"/>
      <c r="L72" s="61"/>
      <c r="M72" s="119"/>
      <c r="N72" s="120"/>
      <c r="O72" s="120"/>
      <c r="P72" s="121"/>
    </row>
    <row r="73" spans="11:16" ht="30" customHeight="1">
      <c r="K73" s="61"/>
      <c r="L73" s="61"/>
      <c r="M73" s="119"/>
      <c r="N73" s="120"/>
      <c r="O73" s="120"/>
      <c r="P73" s="121"/>
    </row>
    <row r="74" spans="11:16" ht="30" customHeight="1">
      <c r="K74" s="61"/>
      <c r="L74" s="61"/>
      <c r="M74" s="119"/>
      <c r="N74" s="120"/>
      <c r="O74" s="120"/>
      <c r="P74" s="121"/>
    </row>
    <row r="75" spans="11:16" ht="30" customHeight="1">
      <c r="K75" s="61"/>
      <c r="L75" s="61"/>
      <c r="M75" s="119"/>
      <c r="N75" s="120"/>
      <c r="O75" s="120"/>
      <c r="P75" s="121"/>
    </row>
    <row r="76" spans="11:16" ht="30" customHeight="1">
      <c r="K76" s="61"/>
      <c r="L76" s="61"/>
      <c r="M76" s="119"/>
      <c r="N76" s="120"/>
      <c r="O76" s="120"/>
      <c r="P76" s="121"/>
    </row>
    <row r="77" spans="11:16" ht="30" customHeight="1">
      <c r="K77" s="61"/>
      <c r="L77" s="61"/>
      <c r="M77" s="119"/>
      <c r="N77" s="120"/>
      <c r="O77" s="120"/>
      <c r="P77" s="121"/>
    </row>
    <row r="78" spans="11:16" ht="30" customHeight="1">
      <c r="K78" s="61"/>
      <c r="L78" s="61"/>
      <c r="M78" s="119"/>
      <c r="N78" s="120"/>
      <c r="O78" s="120"/>
      <c r="P78" s="121"/>
    </row>
    <row r="79" spans="11:16" ht="30" customHeight="1">
      <c r="K79" s="61"/>
      <c r="L79" s="61"/>
      <c r="M79" s="119"/>
      <c r="N79" s="120"/>
      <c r="O79" s="120"/>
      <c r="P79" s="121"/>
    </row>
    <row r="80" spans="11:16" ht="30" customHeight="1">
      <c r="K80" s="61"/>
      <c r="L80" s="61"/>
      <c r="M80" s="119"/>
      <c r="N80" s="120"/>
      <c r="O80" s="120"/>
      <c r="P80" s="121"/>
    </row>
    <row r="81" spans="11:16" ht="30" customHeight="1">
      <c r="K81" s="61"/>
      <c r="L81" s="61"/>
      <c r="M81" s="119"/>
      <c r="N81" s="120"/>
      <c r="O81" s="120"/>
      <c r="P81" s="121"/>
    </row>
    <row r="82" spans="11:16" ht="30" customHeight="1">
      <c r="K82" s="61"/>
      <c r="L82" s="61"/>
      <c r="M82" s="119"/>
      <c r="N82" s="120"/>
      <c r="O82" s="120"/>
      <c r="P82" s="121"/>
    </row>
    <row r="83" spans="11:16" ht="30" customHeight="1">
      <c r="K83" s="61"/>
      <c r="L83" s="61"/>
      <c r="M83" s="119"/>
      <c r="N83" s="120"/>
      <c r="O83" s="120"/>
      <c r="P83" s="121"/>
    </row>
    <row r="84" spans="11:16" ht="30" customHeight="1">
      <c r="K84" s="61"/>
      <c r="L84" s="61"/>
      <c r="M84" s="119"/>
      <c r="N84" s="120"/>
      <c r="O84" s="120"/>
      <c r="P84" s="121"/>
    </row>
    <row r="85" spans="11:16" ht="30" customHeight="1">
      <c r="K85" s="61"/>
      <c r="L85" s="61"/>
      <c r="M85" s="119"/>
      <c r="N85" s="120"/>
      <c r="O85" s="120"/>
      <c r="P85" s="121"/>
    </row>
    <row r="86" spans="11:16" ht="30" customHeight="1">
      <c r="K86" s="61"/>
      <c r="L86" s="61"/>
      <c r="M86" s="119"/>
      <c r="N86" s="120"/>
      <c r="O86" s="120"/>
      <c r="P86" s="121"/>
    </row>
    <row r="87" spans="11:16" ht="30" customHeight="1">
      <c r="K87" s="61"/>
      <c r="L87" s="61"/>
      <c r="M87" s="119"/>
      <c r="N87" s="120"/>
      <c r="O87" s="120"/>
      <c r="P87" s="121"/>
    </row>
    <row r="88" spans="11:16" ht="30" customHeight="1">
      <c r="K88" s="61"/>
      <c r="L88" s="61"/>
      <c r="M88" s="119"/>
      <c r="N88" s="120"/>
      <c r="O88" s="120"/>
      <c r="P88" s="121"/>
    </row>
    <row r="89" spans="11:16" ht="30" customHeight="1">
      <c r="K89" s="61"/>
      <c r="L89" s="61"/>
      <c r="M89" s="119"/>
      <c r="N89" s="120"/>
      <c r="O89" s="120"/>
      <c r="P89" s="121"/>
    </row>
    <row r="90" spans="11:16" ht="30" customHeight="1">
      <c r="K90" s="61"/>
      <c r="L90" s="61"/>
      <c r="M90" s="119"/>
      <c r="N90" s="120"/>
      <c r="O90" s="120"/>
      <c r="P90" s="121"/>
    </row>
    <row r="91" spans="11:16" ht="30" customHeight="1">
      <c r="K91" s="61"/>
      <c r="L91" s="61"/>
      <c r="M91" s="119"/>
      <c r="N91" s="120"/>
      <c r="O91" s="120"/>
      <c r="P91" s="121"/>
    </row>
    <row r="92" spans="11:16" ht="30" customHeight="1">
      <c r="K92" s="61"/>
      <c r="L92" s="61"/>
      <c r="M92" s="119"/>
      <c r="N92" s="120"/>
      <c r="O92" s="120"/>
      <c r="P92" s="121"/>
    </row>
    <row r="93" spans="11:16" ht="30" customHeight="1">
      <c r="K93" s="61"/>
      <c r="L93" s="61"/>
      <c r="M93" s="119"/>
      <c r="N93" s="120"/>
      <c r="O93" s="120"/>
      <c r="P93" s="121"/>
    </row>
    <row r="94" spans="11:16" ht="30" customHeight="1">
      <c r="K94" s="61"/>
      <c r="L94" s="61"/>
      <c r="M94" s="119"/>
      <c r="N94" s="120"/>
      <c r="O94" s="120"/>
      <c r="P94" s="121"/>
    </row>
    <row r="95" spans="11:16" ht="30" customHeight="1">
      <c r="K95" s="61"/>
      <c r="L95" s="61"/>
      <c r="M95" s="119"/>
      <c r="N95" s="120"/>
      <c r="O95" s="120"/>
      <c r="P95" s="121"/>
    </row>
    <row r="96" spans="11:16" ht="30" customHeight="1">
      <c r="K96" s="61"/>
      <c r="L96" s="61"/>
      <c r="M96" s="119"/>
      <c r="N96" s="120"/>
      <c r="O96" s="120"/>
      <c r="P96" s="121"/>
    </row>
    <row r="97" spans="2:39" ht="30" customHeight="1">
      <c r="K97" s="61"/>
      <c r="L97" s="61"/>
      <c r="M97" s="119"/>
      <c r="N97" s="120"/>
      <c r="O97" s="120"/>
      <c r="P97" s="121"/>
    </row>
    <row r="98" spans="2:39" ht="30" customHeight="1">
      <c r="K98" s="61"/>
      <c r="L98" s="61"/>
      <c r="M98" s="119"/>
      <c r="N98" s="120"/>
      <c r="O98" s="120"/>
      <c r="P98" s="121"/>
    </row>
    <row r="99" spans="2:39" ht="30" customHeight="1"/>
    <row r="100" spans="2:39" ht="30" customHeight="1"/>
    <row r="101" spans="2:39" s="102" customFormat="1" ht="30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2:39" s="102" customFormat="1" ht="30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2:39" s="102" customFormat="1" ht="30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2:39" s="102" customFormat="1" ht="30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2:39" s="102" customFormat="1" ht="30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2:39" s="102" customFormat="1" ht="30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2:39" s="102" customFormat="1" ht="30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2:39" s="102" customFormat="1" ht="30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2:39" s="102" customFormat="1" ht="30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2:39" s="102" customFormat="1" ht="30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2:39" s="102" customFormat="1" ht="30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2:39" s="102" customFormat="1" ht="30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2:39" s="102" customFormat="1" ht="30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2:39" s="102" customFormat="1" ht="30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2:39" s="102" customFormat="1" ht="30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2:39" s="102" customFormat="1" ht="30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2:39" s="102" customFormat="1" ht="30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2:39" s="102" customFormat="1" ht="30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2:39" s="102" customFormat="1" ht="30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2:39" s="102" customFormat="1" ht="30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2:39" s="102" customFormat="1" ht="30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2:39" s="102" customFormat="1" ht="30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2:39" s="102" customFormat="1" ht="30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2:39" s="102" customFormat="1" ht="30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2:39" s="102" customFormat="1" ht="30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2:39" s="102" customFormat="1" ht="30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2:39" s="102" customFormat="1" ht="30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2:39" s="102" customFormat="1" ht="30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2:39" s="102" customFormat="1" ht="30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2:39" s="102" customFormat="1" ht="30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2:39" s="102" customFormat="1" ht="30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2:39" s="102" customFormat="1" ht="30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2:39" s="102" customFormat="1" ht="30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2:39" s="102" customFormat="1" ht="30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2:39" s="102" customFormat="1" ht="30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2:39" s="102" customFormat="1" ht="30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2:39" s="102" customFormat="1" ht="30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2:39" s="102" customFormat="1" ht="30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2:39" s="102" customFormat="1" ht="30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2:39" s="102" customFormat="1" ht="30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2:39" s="102" customFormat="1" ht="30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2:39" s="102" customFormat="1" ht="30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2:39" s="102" customFormat="1" ht="30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2:39" s="102" customFormat="1" ht="30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2:39" s="102" customFormat="1" ht="30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2:39" s="102" customFormat="1" ht="30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2:39" s="102" customFormat="1" ht="30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2:39" s="102" customFormat="1" ht="30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2:39" s="102" customFormat="1" ht="30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2:39" s="102" customFormat="1" ht="30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2:39" s="102" customFormat="1" ht="30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2:39" s="102" customFormat="1" ht="30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2:39" s="102" customFormat="1" ht="30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2:39" s="102" customFormat="1" ht="30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2:39" s="102" customFormat="1" ht="30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2:39" s="102" customFormat="1" ht="30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2:39" s="102" customFormat="1" ht="30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2:39" s="102" customFormat="1" ht="30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2:39" s="102" customFormat="1" ht="30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2:39" s="102" customFormat="1" ht="30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2:39" s="102" customFormat="1" ht="30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2:39" s="102" customFormat="1" ht="30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2:39" s="102" customFormat="1" ht="30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2:39" s="102" customFormat="1" ht="30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2:39" s="102" customFormat="1" ht="30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2:39" s="102" customFormat="1" ht="30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2:39" s="102" customFormat="1" ht="30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2:39" s="102" customFormat="1" ht="30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2:39" s="102" customFormat="1" ht="30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2:39" s="102" customFormat="1" ht="30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2:39" s="102" customFormat="1" ht="30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2:39" s="102" customFormat="1" ht="30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2:39" s="102" customFormat="1" ht="30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2:39" s="102" customFormat="1" ht="30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2:39" s="102" customFormat="1" ht="30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2:39" s="102" customFormat="1" ht="30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2:39" s="102" customFormat="1" ht="30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2:39" s="102" customFormat="1" ht="30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2:39" s="102" customFormat="1" ht="30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2:39" s="102" customFormat="1" ht="30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2:39" s="102" customFormat="1" ht="30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2:39" s="102" customFormat="1" ht="30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2:39" s="102" customFormat="1" ht="30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2:39" s="102" customFormat="1" ht="30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2:39" s="102" customFormat="1" ht="30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2:39" s="102" customFormat="1" ht="30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2:39" s="102" customFormat="1" ht="30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2:39" s="102" customFormat="1" ht="30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2:39" s="102" customFormat="1" ht="30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2:39" s="102" customFormat="1" ht="30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2:39" s="102" customFormat="1" ht="30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2:39" s="102" customFormat="1" ht="30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2:39" s="102" customFormat="1" ht="30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2:39" s="102" customFormat="1" ht="30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2:39" s="102" customFormat="1" ht="30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2:39" s="102" customFormat="1" ht="30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2:39" s="102" customFormat="1" ht="30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2:39" s="102" customFormat="1" ht="30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2:39" s="102" customFormat="1" ht="30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2:39" s="102" customFormat="1" ht="30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2:39" s="102" customFormat="1" ht="30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2:39" s="102" customFormat="1" ht="30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2:39" s="102" customFormat="1" ht="30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2:39" s="102" customFormat="1" ht="30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2:39" s="102" customFormat="1" ht="30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2:39" s="102" customFormat="1" ht="30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2:39" s="102" customFormat="1" ht="30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2:39" s="102" customFormat="1" ht="30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2:39" s="102" customFormat="1" ht="30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2:39" s="102" customFormat="1" ht="30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2:39" s="102" customFormat="1" ht="30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2:39" s="102" customFormat="1" ht="30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2:39" s="102" customFormat="1" ht="30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</sheetData>
  <mergeCells count="170">
    <mergeCell ref="C16:D16"/>
    <mergeCell ref="C17:D17"/>
    <mergeCell ref="C18:D18"/>
    <mergeCell ref="I15:J15"/>
    <mergeCell ref="K15:L15"/>
    <mergeCell ref="Q15:R15"/>
    <mergeCell ref="S15:T15"/>
    <mergeCell ref="I16:J16"/>
    <mergeCell ref="K16:L16"/>
    <mergeCell ref="Q16:R16"/>
    <mergeCell ref="S16:T16"/>
    <mergeCell ref="I17:J17"/>
    <mergeCell ref="B6:C6"/>
    <mergeCell ref="B8:C8"/>
    <mergeCell ref="H6:I6"/>
    <mergeCell ref="H8:I8"/>
    <mergeCell ref="J6:K6"/>
    <mergeCell ref="J8:K8"/>
    <mergeCell ref="D6:F6"/>
    <mergeCell ref="D8:F8"/>
    <mergeCell ref="C15:D15"/>
    <mergeCell ref="K17:L17"/>
    <mergeCell ref="Q17:R17"/>
    <mergeCell ref="S17:T17"/>
    <mergeCell ref="I18:J18"/>
    <mergeCell ref="K18:L18"/>
    <mergeCell ref="Q18:R18"/>
    <mergeCell ref="S18:T18"/>
    <mergeCell ref="A1:AI4"/>
    <mergeCell ref="C13:D13"/>
    <mergeCell ref="C14:D14"/>
    <mergeCell ref="I13:J13"/>
    <mergeCell ref="I14:J14"/>
    <mergeCell ref="K13:L13"/>
    <mergeCell ref="K14:L14"/>
    <mergeCell ref="Q13:R13"/>
    <mergeCell ref="Q14:R14"/>
    <mergeCell ref="S13:T13"/>
    <mergeCell ref="S14:T14"/>
    <mergeCell ref="U13:V13"/>
    <mergeCell ref="U14:V14"/>
    <mergeCell ref="W13:X13"/>
    <mergeCell ref="Z13:AA13"/>
    <mergeCell ref="AB13:AC13"/>
    <mergeCell ref="AD13:AE13"/>
    <mergeCell ref="AF14:AI14"/>
    <mergeCell ref="AD14:AE14"/>
    <mergeCell ref="AB14:AC14"/>
    <mergeCell ref="Z14:AA14"/>
    <mergeCell ref="W14:X14"/>
    <mergeCell ref="E14:H14"/>
    <mergeCell ref="M14:P14"/>
    <mergeCell ref="E15:H15"/>
    <mergeCell ref="M15:P15"/>
    <mergeCell ref="AF15:AI15"/>
    <mergeCell ref="E13:H13"/>
    <mergeCell ref="M13:P13"/>
    <mergeCell ref="AF13:AI13"/>
    <mergeCell ref="U15:V15"/>
    <mergeCell ref="W15:X15"/>
    <mergeCell ref="Z15:AA15"/>
    <mergeCell ref="AB15:AC15"/>
    <mergeCell ref="AD15:AE15"/>
    <mergeCell ref="E18:H18"/>
    <mergeCell ref="M18:P18"/>
    <mergeCell ref="AF18:AI18"/>
    <mergeCell ref="E16:H16"/>
    <mergeCell ref="M16:P16"/>
    <mergeCell ref="AF16:AI16"/>
    <mergeCell ref="E17:H17"/>
    <mergeCell ref="M17:P17"/>
    <mergeCell ref="AF17:AI17"/>
    <mergeCell ref="U16:V16"/>
    <mergeCell ref="W16:X16"/>
    <mergeCell ref="Z16:AA16"/>
    <mergeCell ref="AB16:AC16"/>
    <mergeCell ref="AD16:AE16"/>
    <mergeCell ref="U17:V17"/>
    <mergeCell ref="W17:X17"/>
    <mergeCell ref="Z17:AA17"/>
    <mergeCell ref="AB17:AC17"/>
    <mergeCell ref="AD17:AE17"/>
    <mergeCell ref="U18:V18"/>
    <mergeCell ref="W18:X18"/>
    <mergeCell ref="M22:P22"/>
    <mergeCell ref="M23:P23"/>
    <mergeCell ref="M24:P24"/>
    <mergeCell ref="M25:P25"/>
    <mergeCell ref="Z18:AA18"/>
    <mergeCell ref="AB18:AC18"/>
    <mergeCell ref="AD18:AE18"/>
    <mergeCell ref="M26:P26"/>
    <mergeCell ref="M27:P27"/>
    <mergeCell ref="M19:P19"/>
    <mergeCell ref="Q19:U19"/>
    <mergeCell ref="M20:P20"/>
    <mergeCell ref="Q20:U20"/>
    <mergeCell ref="M21:P21"/>
    <mergeCell ref="Q21:U21"/>
    <mergeCell ref="M34:P34"/>
    <mergeCell ref="M35:P35"/>
    <mergeCell ref="M36:P36"/>
    <mergeCell ref="M37:P37"/>
    <mergeCell ref="M38:P38"/>
    <mergeCell ref="M39:P39"/>
    <mergeCell ref="M28:P28"/>
    <mergeCell ref="M29:P29"/>
    <mergeCell ref="M30:P30"/>
    <mergeCell ref="M31:P31"/>
    <mergeCell ref="M32:P32"/>
    <mergeCell ref="M33:P33"/>
    <mergeCell ref="M46:P46"/>
    <mergeCell ref="M47:P47"/>
    <mergeCell ref="M48:P48"/>
    <mergeCell ref="M49:P49"/>
    <mergeCell ref="M50:P50"/>
    <mergeCell ref="M51:P51"/>
    <mergeCell ref="M40:P40"/>
    <mergeCell ref="M41:P41"/>
    <mergeCell ref="M42:P42"/>
    <mergeCell ref="M43:P43"/>
    <mergeCell ref="M44:P44"/>
    <mergeCell ref="M45:P45"/>
    <mergeCell ref="M58:P58"/>
    <mergeCell ref="M59:P59"/>
    <mergeCell ref="M60:P60"/>
    <mergeCell ref="M61:P61"/>
    <mergeCell ref="M62:P62"/>
    <mergeCell ref="M63:P63"/>
    <mergeCell ref="M52:P52"/>
    <mergeCell ref="M53:P53"/>
    <mergeCell ref="M54:P54"/>
    <mergeCell ref="M55:P55"/>
    <mergeCell ref="M56:P56"/>
    <mergeCell ref="M57:P57"/>
    <mergeCell ref="M70:P70"/>
    <mergeCell ref="M71:P71"/>
    <mergeCell ref="M72:P72"/>
    <mergeCell ref="M73:P73"/>
    <mergeCell ref="M74:P74"/>
    <mergeCell ref="M75:P75"/>
    <mergeCell ref="M64:P64"/>
    <mergeCell ref="M65:P65"/>
    <mergeCell ref="M66:P66"/>
    <mergeCell ref="M67:P67"/>
    <mergeCell ref="M68:P68"/>
    <mergeCell ref="M69:P69"/>
    <mergeCell ref="M82:P82"/>
    <mergeCell ref="M83:P83"/>
    <mergeCell ref="M84:P84"/>
    <mergeCell ref="M85:P85"/>
    <mergeCell ref="M86:P86"/>
    <mergeCell ref="M87:P87"/>
    <mergeCell ref="M76:P76"/>
    <mergeCell ref="M77:P77"/>
    <mergeCell ref="M78:P78"/>
    <mergeCell ref="M79:P79"/>
    <mergeCell ref="M80:P80"/>
    <mergeCell ref="M81:P81"/>
    <mergeCell ref="M94:P94"/>
    <mergeCell ref="M95:P95"/>
    <mergeCell ref="M96:P96"/>
    <mergeCell ref="M97:P97"/>
    <mergeCell ref="M98:P98"/>
    <mergeCell ref="M88:P88"/>
    <mergeCell ref="M89:P89"/>
    <mergeCell ref="M90:P90"/>
    <mergeCell ref="M91:P91"/>
    <mergeCell ref="M92:P92"/>
    <mergeCell ref="M93:P93"/>
  </mergeCells>
  <conditionalFormatting sqref="AB14:AB18">
    <cfRule type="containsText" dxfId="78" priority="1" operator="containsText" text="Cerrado">
      <formula>NOT(ISERROR(SEARCH("Cerrado",AB14)))</formula>
    </cfRule>
  </conditionalFormatting>
  <pageMargins left="0.7" right="0.7" top="0.75" bottom="0.75" header="0.3" footer="0.3"/>
  <pageSetup scale="88" orientation="landscape" r:id="rId1"/>
  <headerFooter>
    <oddFooter>&amp;R&amp;"Abadi Extra Light,Normal"&amp;12ACF35 - Primera - 28/05/2024                                                         Página: &amp;P de &amp;N</oddFooter>
  </headerFooter>
  <colBreaks count="2" manualBreakCount="2">
    <brk id="12" max="17" man="1"/>
    <brk id="24" max="1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C78"/>
  <sheetViews>
    <sheetView topLeftCell="A4" workbookViewId="0">
      <selection activeCell="D13" sqref="D13"/>
    </sheetView>
  </sheetViews>
  <sheetFormatPr baseColWidth="10" defaultColWidth="11.42578125" defaultRowHeight="15"/>
  <cols>
    <col min="1" max="1" width="3.140625" style="1" customWidth="1"/>
    <col min="2" max="2" width="10.85546875" style="1" customWidth="1"/>
    <col min="3" max="3" width="34" style="1" customWidth="1"/>
    <col min="4" max="4" width="11.85546875" style="1" customWidth="1"/>
    <col min="5" max="5" width="10.140625" style="1" customWidth="1"/>
    <col min="6" max="6" width="14.28515625" style="1" customWidth="1"/>
    <col min="7" max="7" width="9.5703125" style="1" customWidth="1"/>
    <col min="8" max="8" width="9" style="1" customWidth="1"/>
    <col min="9" max="9" width="4.85546875" style="1" customWidth="1"/>
    <col min="10" max="10" width="5.5703125" style="1" customWidth="1"/>
    <col min="11" max="12" width="10.5703125" style="1" customWidth="1"/>
    <col min="13" max="13" width="11" style="1" customWidth="1"/>
    <col min="14" max="14" width="8.7109375" style="1" customWidth="1"/>
    <col min="15" max="15" width="8.28515625" style="1" customWidth="1"/>
    <col min="16" max="16" width="9.28515625" style="1" customWidth="1"/>
    <col min="17" max="17" width="9.140625" style="1" hidden="1" customWidth="1"/>
    <col min="18" max="18" width="20.140625" style="1" customWidth="1"/>
    <col min="19" max="16384" width="11.42578125" style="1"/>
  </cols>
  <sheetData>
    <row r="1" spans="1:16383" ht="15" customHeight="1">
      <c r="A1" s="13"/>
      <c r="B1" s="150"/>
      <c r="C1" s="151"/>
      <c r="D1" s="156" t="s">
        <v>30</v>
      </c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8"/>
      <c r="R1" s="27" t="s">
        <v>31</v>
      </c>
      <c r="S1" s="3"/>
    </row>
    <row r="2" spans="1:16383" ht="15" customHeight="1">
      <c r="A2" s="13"/>
      <c r="B2" s="152"/>
      <c r="C2" s="153"/>
      <c r="D2" s="159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1"/>
      <c r="R2" s="28" t="s">
        <v>32</v>
      </c>
      <c r="S2" s="3"/>
    </row>
    <row r="3" spans="1:16383" ht="15" customHeight="1">
      <c r="A3" s="13"/>
      <c r="B3" s="152"/>
      <c r="C3" s="153"/>
      <c r="D3" s="159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1"/>
      <c r="R3" s="28" t="s">
        <v>33</v>
      </c>
      <c r="S3" s="3"/>
    </row>
    <row r="4" spans="1:16383" ht="15" customHeight="1">
      <c r="A4" s="13"/>
      <c r="B4" s="154"/>
      <c r="C4" s="155"/>
      <c r="D4" s="162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/>
      <c r="R4" s="29" t="s">
        <v>34</v>
      </c>
      <c r="S4" s="3"/>
    </row>
    <row r="5" spans="1:16383" ht="25.5" customHeight="1">
      <c r="A5" s="13"/>
      <c r="B5" s="14"/>
      <c r="C5" s="14"/>
      <c r="D5" s="15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5"/>
      <c r="S5" s="3"/>
    </row>
    <row r="6" spans="1:16383" ht="31.5" customHeight="1">
      <c r="A6" s="13"/>
      <c r="B6" s="16" t="s">
        <v>1</v>
      </c>
      <c r="C6" s="45" t="s">
        <v>35</v>
      </c>
      <c r="D6" s="6"/>
      <c r="E6" s="6" t="s">
        <v>2</v>
      </c>
      <c r="F6" s="50">
        <v>44076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13"/>
      <c r="S6" s="3"/>
    </row>
    <row r="7" spans="1:16383" ht="12.75" customHeight="1">
      <c r="A7" s="13"/>
      <c r="B7" s="17"/>
      <c r="C7" s="17"/>
      <c r="D7" s="21"/>
      <c r="E7" s="21"/>
      <c r="F7" s="26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13"/>
      <c r="S7" s="3"/>
    </row>
    <row r="8" spans="1:16383" ht="33" customHeight="1">
      <c r="A8" s="13"/>
      <c r="B8" s="18" t="s">
        <v>36</v>
      </c>
      <c r="C8" s="44" t="s">
        <v>37</v>
      </c>
      <c r="D8" s="6"/>
      <c r="E8" s="6" t="s">
        <v>4</v>
      </c>
      <c r="F8" s="51" t="s">
        <v>38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13"/>
      <c r="S8" s="3"/>
    </row>
    <row r="9" spans="1:16383" ht="37.5" customHeight="1">
      <c r="A9" s="13"/>
      <c r="B9" s="19" t="s">
        <v>1</v>
      </c>
      <c r="C9" s="13"/>
      <c r="D9" s="13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13"/>
      <c r="S9" s="3"/>
    </row>
    <row r="10" spans="1:16383" ht="14.25" customHeight="1" thickBot="1">
      <c r="A10" s="13"/>
      <c r="B10" s="20"/>
      <c r="C10" s="21"/>
      <c r="D10" s="21"/>
      <c r="E10" s="21"/>
      <c r="F10" s="21"/>
      <c r="G10" s="21"/>
      <c r="H10" s="7"/>
      <c r="I10" s="8" t="s">
        <v>39</v>
      </c>
      <c r="J10" s="8" t="s">
        <v>40</v>
      </c>
      <c r="K10" s="8" t="s">
        <v>41</v>
      </c>
      <c r="L10" s="8" t="s">
        <v>42</v>
      </c>
      <c r="M10" s="8" t="s">
        <v>9</v>
      </c>
      <c r="N10" s="21"/>
      <c r="O10" s="21"/>
      <c r="P10" s="21"/>
      <c r="Q10" s="21"/>
      <c r="R10" s="13"/>
      <c r="S10" s="3"/>
    </row>
    <row r="11" spans="1:16383" ht="14.25" customHeight="1" thickBot="1">
      <c r="A11" s="13"/>
      <c r="B11" s="22" t="s">
        <v>13</v>
      </c>
      <c r="C11" s="13"/>
      <c r="D11" s="13"/>
      <c r="E11" s="20"/>
      <c r="F11" s="13"/>
      <c r="G11" s="13"/>
      <c r="H11" s="52" t="s">
        <v>14</v>
      </c>
      <c r="I11" s="9">
        <f>COUNTIF(P14:P36,"CERRADO")</f>
        <v>22</v>
      </c>
      <c r="J11" s="10">
        <f>COUNTIF(P14:P37,"EN PROCESO")</f>
        <v>1</v>
      </c>
      <c r="K11" s="11">
        <f>COUNTIF(P14:P37,"RETRASADO")</f>
        <v>0</v>
      </c>
      <c r="L11" s="9">
        <f>SUM(I11:K11)</f>
        <v>23</v>
      </c>
      <c r="M11" s="12">
        <f>I11/L11</f>
        <v>0.95652173913043481</v>
      </c>
      <c r="N11" s="13"/>
      <c r="O11" s="13"/>
      <c r="P11" s="13"/>
      <c r="Q11" s="13"/>
      <c r="R11" s="13"/>
      <c r="S11" s="3"/>
    </row>
    <row r="12" spans="1:16383" ht="9" customHeight="1">
      <c r="A12" s="13"/>
      <c r="B12" s="20"/>
      <c r="C12" s="13"/>
      <c r="D12" s="13"/>
      <c r="E12" s="13"/>
      <c r="F12" s="13"/>
      <c r="G12" s="13"/>
      <c r="H12" s="24"/>
      <c r="I12" s="4"/>
      <c r="J12" s="4"/>
      <c r="K12" s="4"/>
      <c r="L12" s="4"/>
      <c r="M12" s="25"/>
      <c r="N12" s="13"/>
      <c r="O12" s="13"/>
      <c r="P12" s="13"/>
      <c r="Q12" s="13"/>
      <c r="R12" s="13"/>
      <c r="S12" s="3"/>
    </row>
    <row r="13" spans="1:16383" ht="46.5" customHeight="1">
      <c r="A13" s="4"/>
      <c r="B13" s="57" t="s">
        <v>17</v>
      </c>
      <c r="C13" s="36" t="s">
        <v>43</v>
      </c>
      <c r="D13" s="36" t="s">
        <v>19</v>
      </c>
      <c r="E13" s="36" t="s">
        <v>20</v>
      </c>
      <c r="F13" s="165" t="s">
        <v>21</v>
      </c>
      <c r="G13" s="165"/>
      <c r="H13" s="166" t="s">
        <v>22</v>
      </c>
      <c r="I13" s="166"/>
      <c r="J13" s="166"/>
      <c r="K13" s="30" t="s">
        <v>23</v>
      </c>
      <c r="L13" s="30" t="s">
        <v>24</v>
      </c>
      <c r="M13" s="30" t="s">
        <v>25</v>
      </c>
      <c r="N13" s="31" t="s">
        <v>9</v>
      </c>
      <c r="O13" s="31" t="s">
        <v>26</v>
      </c>
      <c r="P13" s="31" t="s">
        <v>27</v>
      </c>
      <c r="Q13" s="23" t="s">
        <v>44</v>
      </c>
      <c r="R13" s="31" t="s">
        <v>29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</row>
    <row r="14" spans="1:16383" ht="30" customHeight="1">
      <c r="B14" s="56" t="s">
        <v>45</v>
      </c>
      <c r="C14" s="39" t="s">
        <v>46</v>
      </c>
      <c r="D14" s="33" t="s">
        <v>47</v>
      </c>
      <c r="E14" s="33" t="s">
        <v>48</v>
      </c>
      <c r="F14" s="148" t="s">
        <v>49</v>
      </c>
      <c r="G14" s="149"/>
      <c r="H14" s="139" t="s">
        <v>50</v>
      </c>
      <c r="I14" s="140"/>
      <c r="J14" s="141"/>
      <c r="K14" s="43">
        <v>44071</v>
      </c>
      <c r="L14" s="43">
        <v>44061</v>
      </c>
      <c r="M14" s="43">
        <v>44074</v>
      </c>
      <c r="N14" s="38">
        <v>100</v>
      </c>
      <c r="O14" s="48" t="s">
        <v>51</v>
      </c>
      <c r="P14" s="38" t="s">
        <v>52</v>
      </c>
      <c r="Q14" s="33" t="s">
        <v>53</v>
      </c>
      <c r="R14" s="49" t="s">
        <v>54</v>
      </c>
    </row>
    <row r="15" spans="1:16383" ht="73.5" customHeight="1">
      <c r="B15" s="56" t="s">
        <v>45</v>
      </c>
      <c r="C15" s="41" t="s">
        <v>55</v>
      </c>
      <c r="D15" s="33" t="s">
        <v>47</v>
      </c>
      <c r="E15" s="33" t="s">
        <v>48</v>
      </c>
      <c r="F15" s="148" t="s">
        <v>56</v>
      </c>
      <c r="G15" s="149"/>
      <c r="H15" s="139" t="s">
        <v>50</v>
      </c>
      <c r="I15" s="140"/>
      <c r="J15" s="141"/>
      <c r="K15" s="43">
        <v>44078</v>
      </c>
      <c r="L15" s="43">
        <v>44078</v>
      </c>
      <c r="M15" s="43">
        <v>44078</v>
      </c>
      <c r="N15" s="38">
        <v>100</v>
      </c>
      <c r="O15" s="47" t="s">
        <v>57</v>
      </c>
      <c r="P15" s="38" t="s">
        <v>52</v>
      </c>
      <c r="Q15" s="40" t="s">
        <v>58</v>
      </c>
      <c r="R15" s="46" t="s">
        <v>59</v>
      </c>
    </row>
    <row r="16" spans="1:16383" ht="39" customHeight="1">
      <c r="B16" s="56" t="s">
        <v>45</v>
      </c>
      <c r="C16" s="40" t="s">
        <v>60</v>
      </c>
      <c r="D16" s="38" t="s">
        <v>61</v>
      </c>
      <c r="E16" s="38" t="s">
        <v>62</v>
      </c>
      <c r="F16" s="146" t="s">
        <v>63</v>
      </c>
      <c r="G16" s="147"/>
      <c r="H16" s="139" t="s">
        <v>64</v>
      </c>
      <c r="I16" s="140"/>
      <c r="J16" s="141"/>
      <c r="K16" s="43">
        <v>44078</v>
      </c>
      <c r="L16" s="43">
        <v>44078</v>
      </c>
      <c r="M16" s="43">
        <v>44078</v>
      </c>
      <c r="N16" s="38">
        <v>100</v>
      </c>
      <c r="O16" s="47" t="s">
        <v>57</v>
      </c>
      <c r="P16" s="38" t="s">
        <v>52</v>
      </c>
      <c r="Q16" s="42" t="s">
        <v>65</v>
      </c>
      <c r="R16" s="54" t="s">
        <v>66</v>
      </c>
    </row>
    <row r="17" spans="2:18" ht="30" customHeight="1">
      <c r="B17" s="56" t="s">
        <v>45</v>
      </c>
      <c r="C17" s="42" t="s">
        <v>67</v>
      </c>
      <c r="D17" s="40" t="s">
        <v>68</v>
      </c>
      <c r="E17" s="1" t="s">
        <v>48</v>
      </c>
      <c r="F17" s="139" t="s">
        <v>69</v>
      </c>
      <c r="G17" s="141"/>
      <c r="H17" s="136" t="s">
        <v>70</v>
      </c>
      <c r="I17" s="137"/>
      <c r="J17" s="138"/>
      <c r="K17" s="43">
        <v>44076</v>
      </c>
      <c r="L17" s="43">
        <v>44076</v>
      </c>
      <c r="M17" s="43">
        <v>44076</v>
      </c>
      <c r="N17" s="38">
        <v>100</v>
      </c>
      <c r="O17" s="1" t="s">
        <v>71</v>
      </c>
      <c r="P17" s="38" t="s">
        <v>52</v>
      </c>
      <c r="R17" s="54" t="s">
        <v>72</v>
      </c>
    </row>
    <row r="18" spans="2:18" ht="30" customHeight="1">
      <c r="B18" s="56" t="s">
        <v>45</v>
      </c>
      <c r="C18" s="40" t="s">
        <v>73</v>
      </c>
      <c r="D18" s="40" t="s">
        <v>74</v>
      </c>
      <c r="E18" s="38" t="s">
        <v>62</v>
      </c>
      <c r="F18" s="146" t="s">
        <v>75</v>
      </c>
      <c r="G18" s="147"/>
      <c r="H18" s="136" t="s">
        <v>64</v>
      </c>
      <c r="I18" s="137"/>
      <c r="J18" s="138"/>
      <c r="K18" s="43">
        <v>44076</v>
      </c>
      <c r="L18" s="43">
        <v>44076</v>
      </c>
      <c r="M18" s="43">
        <v>44076</v>
      </c>
      <c r="N18" s="38">
        <v>100</v>
      </c>
      <c r="O18" s="1" t="s">
        <v>71</v>
      </c>
      <c r="P18" s="38" t="s">
        <v>52</v>
      </c>
      <c r="R18" s="49" t="s">
        <v>76</v>
      </c>
    </row>
    <row r="19" spans="2:18" ht="42" customHeight="1">
      <c r="B19" s="56" t="s">
        <v>45</v>
      </c>
      <c r="C19" s="42" t="s">
        <v>77</v>
      </c>
      <c r="D19" s="40" t="s">
        <v>78</v>
      </c>
      <c r="E19" s="38" t="s">
        <v>79</v>
      </c>
      <c r="F19" s="144" t="s">
        <v>80</v>
      </c>
      <c r="G19" s="145"/>
      <c r="H19" s="136" t="s">
        <v>64</v>
      </c>
      <c r="I19" s="137"/>
      <c r="J19" s="138"/>
      <c r="K19" s="43">
        <v>44076</v>
      </c>
      <c r="L19" s="43">
        <v>44076</v>
      </c>
      <c r="M19" s="43">
        <v>44076</v>
      </c>
      <c r="N19" s="38">
        <v>100</v>
      </c>
      <c r="O19" s="47" t="s">
        <v>57</v>
      </c>
      <c r="P19" s="38" t="s">
        <v>52</v>
      </c>
      <c r="R19" s="49" t="s">
        <v>81</v>
      </c>
    </row>
    <row r="20" spans="2:18" ht="30" customHeight="1">
      <c r="B20" s="56" t="s">
        <v>45</v>
      </c>
      <c r="C20" s="42" t="s">
        <v>82</v>
      </c>
      <c r="D20" s="42" t="s">
        <v>78</v>
      </c>
      <c r="E20" s="38" t="s">
        <v>79</v>
      </c>
      <c r="F20" s="142" t="s">
        <v>83</v>
      </c>
      <c r="G20" s="143"/>
      <c r="H20" s="136" t="s">
        <v>84</v>
      </c>
      <c r="I20" s="137"/>
      <c r="J20" s="138"/>
      <c r="K20" s="43">
        <v>44078</v>
      </c>
      <c r="L20" s="43">
        <v>44085</v>
      </c>
      <c r="M20" s="43">
        <v>44085</v>
      </c>
      <c r="N20" s="38">
        <v>100</v>
      </c>
      <c r="O20" s="47" t="s">
        <v>57</v>
      </c>
      <c r="P20" s="38" t="s">
        <v>52</v>
      </c>
      <c r="R20" s="53" t="s">
        <v>85</v>
      </c>
    </row>
    <row r="21" spans="2:18" ht="59.25" customHeight="1">
      <c r="B21" s="56" t="s">
        <v>45</v>
      </c>
      <c r="C21" s="42" t="s">
        <v>86</v>
      </c>
      <c r="D21" s="42" t="s">
        <v>78</v>
      </c>
      <c r="E21" s="38" t="s">
        <v>79</v>
      </c>
      <c r="F21" s="142" t="s">
        <v>87</v>
      </c>
      <c r="G21" s="143"/>
      <c r="H21" s="136" t="s">
        <v>64</v>
      </c>
      <c r="I21" s="137"/>
      <c r="J21" s="138"/>
      <c r="K21" s="43">
        <v>44103</v>
      </c>
      <c r="L21" s="43">
        <v>44103</v>
      </c>
      <c r="M21" s="43">
        <v>44103</v>
      </c>
      <c r="N21" s="38">
        <v>100</v>
      </c>
      <c r="O21" s="47" t="s">
        <v>57</v>
      </c>
      <c r="P21" s="38" t="s">
        <v>52</v>
      </c>
      <c r="Q21" s="34" t="s">
        <v>88</v>
      </c>
      <c r="R21" s="49" t="s">
        <v>89</v>
      </c>
    </row>
    <row r="22" spans="2:18" ht="47.25" customHeight="1">
      <c r="B22" s="56" t="s">
        <v>45</v>
      </c>
      <c r="C22" s="42" t="s">
        <v>90</v>
      </c>
      <c r="D22" s="42" t="s">
        <v>78</v>
      </c>
      <c r="E22" s="38" t="s">
        <v>79</v>
      </c>
      <c r="F22" s="144" t="s">
        <v>91</v>
      </c>
      <c r="G22" s="145"/>
      <c r="H22" s="136" t="s">
        <v>64</v>
      </c>
      <c r="I22" s="137"/>
      <c r="J22" s="138"/>
      <c r="K22" s="43">
        <v>44103</v>
      </c>
      <c r="L22" s="43">
        <v>44103</v>
      </c>
      <c r="M22" s="43">
        <v>44103</v>
      </c>
      <c r="N22" s="38">
        <v>100</v>
      </c>
      <c r="O22" s="47" t="s">
        <v>57</v>
      </c>
      <c r="P22" s="38" t="s">
        <v>52</v>
      </c>
      <c r="R22" s="49" t="s">
        <v>92</v>
      </c>
    </row>
    <row r="23" spans="2:18" ht="43.5" customHeight="1">
      <c r="B23" s="56" t="s">
        <v>45</v>
      </c>
      <c r="C23" s="40" t="s">
        <v>93</v>
      </c>
      <c r="D23" s="40" t="s">
        <v>78</v>
      </c>
      <c r="E23" s="38" t="s">
        <v>79</v>
      </c>
      <c r="F23" s="142" t="s">
        <v>94</v>
      </c>
      <c r="G23" s="143"/>
      <c r="H23" s="136" t="s">
        <v>95</v>
      </c>
      <c r="I23" s="137"/>
      <c r="J23" s="138"/>
      <c r="K23" s="38" t="s">
        <v>96</v>
      </c>
      <c r="L23" s="38"/>
      <c r="M23" s="38"/>
      <c r="N23" s="38">
        <v>25</v>
      </c>
      <c r="O23" s="48"/>
      <c r="P23" s="38" t="s">
        <v>6</v>
      </c>
      <c r="R23" s="55" t="s">
        <v>97</v>
      </c>
    </row>
    <row r="24" spans="2:18" ht="44.25" customHeight="1">
      <c r="B24" s="56" t="s">
        <v>45</v>
      </c>
      <c r="C24" s="40" t="s">
        <v>98</v>
      </c>
      <c r="D24" s="38" t="s">
        <v>99</v>
      </c>
      <c r="E24" s="38" t="s">
        <v>79</v>
      </c>
      <c r="F24" s="142" t="s">
        <v>100</v>
      </c>
      <c r="G24" s="143"/>
      <c r="H24" s="136" t="s">
        <v>95</v>
      </c>
      <c r="I24" s="137"/>
      <c r="J24" s="138"/>
      <c r="K24" s="43">
        <v>44076</v>
      </c>
      <c r="L24" s="43">
        <v>44076</v>
      </c>
      <c r="M24" s="43">
        <v>44076</v>
      </c>
      <c r="N24" s="38">
        <v>100</v>
      </c>
      <c r="P24" s="38" t="s">
        <v>52</v>
      </c>
      <c r="R24" s="49" t="s">
        <v>101</v>
      </c>
    </row>
    <row r="25" spans="2:18" ht="53.25" customHeight="1">
      <c r="B25" s="56" t="s">
        <v>45</v>
      </c>
      <c r="C25" s="40" t="s">
        <v>102</v>
      </c>
      <c r="D25" s="38" t="s">
        <v>99</v>
      </c>
      <c r="E25" s="38" t="s">
        <v>79</v>
      </c>
      <c r="F25" s="142" t="s">
        <v>103</v>
      </c>
      <c r="G25" s="143"/>
      <c r="H25" s="136" t="s">
        <v>84</v>
      </c>
      <c r="I25" s="137"/>
      <c r="J25" s="138"/>
      <c r="K25" s="43">
        <v>44084</v>
      </c>
      <c r="L25" s="43">
        <v>44084</v>
      </c>
      <c r="M25" s="43">
        <v>44084</v>
      </c>
      <c r="N25" s="38">
        <v>100</v>
      </c>
      <c r="O25" s="47" t="s">
        <v>57</v>
      </c>
      <c r="P25" s="38" t="s">
        <v>52</v>
      </c>
      <c r="R25" s="49"/>
    </row>
    <row r="26" spans="2:18" ht="42.75" customHeight="1">
      <c r="B26" s="56" t="s">
        <v>45</v>
      </c>
      <c r="C26" s="40" t="s">
        <v>104</v>
      </c>
      <c r="D26" s="38" t="s">
        <v>105</v>
      </c>
      <c r="E26" s="38" t="s">
        <v>79</v>
      </c>
      <c r="F26" s="142" t="s">
        <v>106</v>
      </c>
      <c r="G26" s="143"/>
      <c r="H26" s="136" t="s">
        <v>107</v>
      </c>
      <c r="I26" s="137"/>
      <c r="J26" s="138"/>
      <c r="K26" s="43">
        <v>44076</v>
      </c>
      <c r="L26" s="43">
        <v>44076</v>
      </c>
      <c r="M26" s="43">
        <v>44076</v>
      </c>
      <c r="N26" s="38">
        <v>100</v>
      </c>
      <c r="P26" s="38" t="s">
        <v>52</v>
      </c>
      <c r="R26" s="49" t="s">
        <v>108</v>
      </c>
    </row>
    <row r="27" spans="2:18" ht="42.75" customHeight="1">
      <c r="B27" s="56" t="s">
        <v>45</v>
      </c>
      <c r="C27" s="42" t="s">
        <v>109</v>
      </c>
      <c r="D27" s="42" t="s">
        <v>110</v>
      </c>
      <c r="E27" s="38" t="s">
        <v>79</v>
      </c>
      <c r="F27" s="139" t="s">
        <v>111</v>
      </c>
      <c r="G27" s="141"/>
      <c r="H27" s="136" t="s">
        <v>112</v>
      </c>
      <c r="I27" s="137"/>
      <c r="J27" s="138"/>
      <c r="K27" s="43">
        <v>44114</v>
      </c>
      <c r="L27" s="43">
        <v>44114</v>
      </c>
      <c r="M27" s="43">
        <v>44114</v>
      </c>
      <c r="N27" s="38">
        <v>100</v>
      </c>
      <c r="O27" s="47" t="s">
        <v>57</v>
      </c>
      <c r="P27" s="38" t="s">
        <v>52</v>
      </c>
      <c r="R27" s="46" t="s">
        <v>113</v>
      </c>
    </row>
    <row r="28" spans="2:18" ht="30" customHeight="1">
      <c r="B28" s="56" t="s">
        <v>45</v>
      </c>
      <c r="C28" s="42" t="s">
        <v>114</v>
      </c>
      <c r="D28" s="1" t="s">
        <v>115</v>
      </c>
      <c r="E28" s="38" t="s">
        <v>79</v>
      </c>
      <c r="F28" s="139" t="s">
        <v>116</v>
      </c>
      <c r="G28" s="141"/>
      <c r="H28" s="136" t="s">
        <v>117</v>
      </c>
      <c r="I28" s="137"/>
      <c r="J28" s="138"/>
      <c r="K28" s="35">
        <v>44076</v>
      </c>
      <c r="L28" s="35">
        <v>44076</v>
      </c>
      <c r="M28" s="35">
        <v>44076</v>
      </c>
      <c r="N28" s="1">
        <v>100</v>
      </c>
      <c r="O28" s="47" t="s">
        <v>57</v>
      </c>
      <c r="P28" s="38" t="s">
        <v>52</v>
      </c>
      <c r="R28" s="49"/>
    </row>
    <row r="29" spans="2:18" ht="57" customHeight="1">
      <c r="B29" s="56" t="s">
        <v>45</v>
      </c>
      <c r="C29" s="42" t="s">
        <v>118</v>
      </c>
      <c r="D29" s="1" t="s">
        <v>115</v>
      </c>
      <c r="E29" s="38" t="s">
        <v>79</v>
      </c>
      <c r="F29" s="139" t="s">
        <v>119</v>
      </c>
      <c r="G29" s="141"/>
      <c r="H29" s="136" t="s">
        <v>117</v>
      </c>
      <c r="I29" s="137"/>
      <c r="J29" s="138"/>
      <c r="K29" s="35">
        <v>44076</v>
      </c>
      <c r="L29" s="35">
        <v>44076</v>
      </c>
      <c r="M29" s="35">
        <v>44076</v>
      </c>
      <c r="N29" s="1">
        <v>100</v>
      </c>
      <c r="O29" s="47" t="s">
        <v>57</v>
      </c>
      <c r="P29" s="38" t="s">
        <v>52</v>
      </c>
      <c r="R29" s="49"/>
    </row>
    <row r="30" spans="2:18" ht="47.25" customHeight="1">
      <c r="B30" s="56" t="s">
        <v>45</v>
      </c>
      <c r="C30" s="41" t="s">
        <v>120</v>
      </c>
      <c r="D30" s="33" t="s">
        <v>121</v>
      </c>
      <c r="E30" s="33" t="s">
        <v>79</v>
      </c>
      <c r="F30" s="136" t="s">
        <v>122</v>
      </c>
      <c r="G30" s="138"/>
      <c r="H30" s="136" t="s">
        <v>123</v>
      </c>
      <c r="I30" s="137"/>
      <c r="J30" s="138"/>
      <c r="K30" s="35">
        <v>44076</v>
      </c>
      <c r="L30" s="35">
        <v>44076</v>
      </c>
      <c r="M30" s="35">
        <v>44076</v>
      </c>
      <c r="N30" s="1">
        <v>100</v>
      </c>
      <c r="O30" s="47" t="s">
        <v>57</v>
      </c>
      <c r="P30" s="38" t="s">
        <v>52</v>
      </c>
      <c r="R30" s="53"/>
    </row>
    <row r="31" spans="2:18" ht="34.5" customHeight="1">
      <c r="B31" s="56" t="s">
        <v>45</v>
      </c>
      <c r="C31" s="40" t="s">
        <v>124</v>
      </c>
      <c r="D31" s="1" t="s">
        <v>125</v>
      </c>
      <c r="E31" s="38" t="s">
        <v>79</v>
      </c>
      <c r="F31" s="139" t="s">
        <v>126</v>
      </c>
      <c r="G31" s="141"/>
      <c r="H31" s="136" t="s">
        <v>117</v>
      </c>
      <c r="I31" s="137"/>
      <c r="J31" s="138"/>
      <c r="K31" s="35">
        <v>44076</v>
      </c>
      <c r="L31" s="35">
        <v>44076</v>
      </c>
      <c r="M31" s="35">
        <v>44076</v>
      </c>
      <c r="N31" s="1">
        <v>100</v>
      </c>
      <c r="O31" s="47" t="s">
        <v>57</v>
      </c>
      <c r="P31" s="38" t="s">
        <v>52</v>
      </c>
      <c r="R31" s="53"/>
    </row>
    <row r="32" spans="2:18" ht="30" customHeight="1">
      <c r="B32" s="56" t="s">
        <v>45</v>
      </c>
      <c r="C32" s="42" t="s">
        <v>127</v>
      </c>
      <c r="D32" s="1" t="s">
        <v>125</v>
      </c>
      <c r="E32" s="38" t="s">
        <v>79</v>
      </c>
      <c r="F32" s="139" t="s">
        <v>126</v>
      </c>
      <c r="G32" s="141"/>
      <c r="H32" s="136" t="s">
        <v>117</v>
      </c>
      <c r="I32" s="137"/>
      <c r="J32" s="138"/>
      <c r="K32" s="35">
        <v>44076</v>
      </c>
      <c r="L32" s="35">
        <v>44076</v>
      </c>
      <c r="M32" s="35">
        <v>44076</v>
      </c>
      <c r="N32" s="1">
        <v>100</v>
      </c>
      <c r="O32" s="47" t="s">
        <v>57</v>
      </c>
      <c r="P32" s="38" t="s">
        <v>52</v>
      </c>
      <c r="R32" s="53"/>
    </row>
    <row r="33" spans="2:18" ht="38.25" customHeight="1">
      <c r="B33" s="56" t="s">
        <v>45</v>
      </c>
      <c r="C33" s="42" t="s">
        <v>128</v>
      </c>
      <c r="D33" s="38" t="s">
        <v>129</v>
      </c>
      <c r="E33" s="38" t="s">
        <v>79</v>
      </c>
      <c r="F33" s="142" t="s">
        <v>130</v>
      </c>
      <c r="G33" s="143"/>
      <c r="H33" s="136" t="s">
        <v>64</v>
      </c>
      <c r="I33" s="137"/>
      <c r="J33" s="138"/>
      <c r="N33" s="1">
        <v>100</v>
      </c>
      <c r="O33" s="47" t="s">
        <v>57</v>
      </c>
      <c r="P33" s="38" t="s">
        <v>52</v>
      </c>
      <c r="R33" s="49" t="s">
        <v>131</v>
      </c>
    </row>
    <row r="34" spans="2:18" ht="45" customHeight="1">
      <c r="B34" s="47" t="s">
        <v>45</v>
      </c>
      <c r="C34" s="42" t="s">
        <v>132</v>
      </c>
      <c r="D34" s="1" t="s">
        <v>133</v>
      </c>
      <c r="E34" s="38" t="s">
        <v>79</v>
      </c>
      <c r="F34" s="139" t="s">
        <v>134</v>
      </c>
      <c r="G34" s="141"/>
      <c r="H34" s="136" t="s">
        <v>135</v>
      </c>
      <c r="I34" s="137"/>
      <c r="J34" s="138"/>
      <c r="K34" s="35">
        <v>44076</v>
      </c>
      <c r="L34" s="35">
        <v>44076</v>
      </c>
      <c r="M34" s="35">
        <v>44076</v>
      </c>
      <c r="N34" s="1">
        <v>100</v>
      </c>
      <c r="O34" s="47" t="s">
        <v>57</v>
      </c>
      <c r="P34" s="38" t="s">
        <v>52</v>
      </c>
      <c r="R34" s="53"/>
    </row>
    <row r="35" spans="2:18" ht="30" customHeight="1">
      <c r="B35" s="47" t="s">
        <v>45</v>
      </c>
      <c r="C35" s="41" t="s">
        <v>136</v>
      </c>
      <c r="D35" s="33" t="s">
        <v>137</v>
      </c>
      <c r="E35" s="33" t="s">
        <v>79</v>
      </c>
      <c r="F35" s="139" t="s">
        <v>138</v>
      </c>
      <c r="G35" s="141"/>
      <c r="H35" s="136" t="s">
        <v>123</v>
      </c>
      <c r="I35" s="137"/>
      <c r="J35" s="138"/>
      <c r="K35" s="35">
        <v>44057</v>
      </c>
      <c r="L35" s="35">
        <v>44057</v>
      </c>
      <c r="M35" s="35">
        <v>44060</v>
      </c>
      <c r="N35" s="1">
        <v>100</v>
      </c>
      <c r="O35" s="47" t="s">
        <v>57</v>
      </c>
      <c r="P35" s="38" t="s">
        <v>52</v>
      </c>
      <c r="R35" s="49" t="s">
        <v>139</v>
      </c>
    </row>
    <row r="36" spans="2:18" ht="57" customHeight="1">
      <c r="B36" s="38" t="s">
        <v>45</v>
      </c>
      <c r="C36" s="41" t="s">
        <v>140</v>
      </c>
      <c r="D36" s="34" t="s">
        <v>141</v>
      </c>
      <c r="E36" s="33" t="s">
        <v>79</v>
      </c>
      <c r="F36" s="139" t="s">
        <v>142</v>
      </c>
      <c r="G36" s="141"/>
      <c r="H36" s="136" t="s">
        <v>123</v>
      </c>
      <c r="I36" s="137"/>
      <c r="J36" s="138"/>
      <c r="K36" s="35">
        <v>44113</v>
      </c>
      <c r="L36" s="35">
        <v>44113</v>
      </c>
      <c r="M36" s="35">
        <v>44113</v>
      </c>
      <c r="N36" s="1">
        <v>100</v>
      </c>
      <c r="O36" s="47" t="s">
        <v>57</v>
      </c>
      <c r="P36" s="38" t="s">
        <v>52</v>
      </c>
      <c r="R36" s="49" t="s">
        <v>143</v>
      </c>
    </row>
    <row r="37" spans="2:18" ht="30" customHeight="1"/>
    <row r="38" spans="2:18" ht="30" customHeight="1"/>
    <row r="39" spans="2:18" ht="30" customHeight="1"/>
    <row r="40" spans="2:18" ht="30" customHeight="1"/>
    <row r="41" spans="2:18" ht="30" customHeight="1"/>
    <row r="42" spans="2:18" ht="30" customHeight="1"/>
    <row r="43" spans="2:18" ht="30" customHeight="1"/>
    <row r="44" spans="2:18" ht="30" customHeight="1"/>
    <row r="45" spans="2:18" ht="30" customHeight="1"/>
    <row r="46" spans="2:18" ht="30" customHeight="1"/>
    <row r="47" spans="2:18" ht="30" customHeight="1"/>
    <row r="48" spans="2:1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</sheetData>
  <autoFilter ref="A13:XFC36" xr:uid="{00000000-0009-0000-0000-000004000000}">
    <filterColumn colId="5" showButton="0"/>
    <filterColumn colId="7" showButton="0"/>
    <filterColumn colId="8" showButton="0"/>
  </autoFilter>
  <mergeCells count="50">
    <mergeCell ref="F15:G15"/>
    <mergeCell ref="B1:C4"/>
    <mergeCell ref="D1:Q4"/>
    <mergeCell ref="F13:G13"/>
    <mergeCell ref="H13:J13"/>
    <mergeCell ref="F14:G14"/>
    <mergeCell ref="H14:J14"/>
    <mergeCell ref="H15:J15"/>
    <mergeCell ref="F16:G16"/>
    <mergeCell ref="F17:G17"/>
    <mergeCell ref="F18:G18"/>
    <mergeCell ref="F19:G19"/>
    <mergeCell ref="F20:G20"/>
    <mergeCell ref="F35:G35"/>
    <mergeCell ref="F36:G36"/>
    <mergeCell ref="F28:G28"/>
    <mergeCell ref="F29:G29"/>
    <mergeCell ref="F30:G30"/>
    <mergeCell ref="F31:G31"/>
    <mergeCell ref="F32:G32"/>
    <mergeCell ref="F33:G33"/>
    <mergeCell ref="F34:G34"/>
    <mergeCell ref="F21:G21"/>
    <mergeCell ref="H24:J24"/>
    <mergeCell ref="H25:J25"/>
    <mergeCell ref="H26:J26"/>
    <mergeCell ref="H27:J27"/>
    <mergeCell ref="F22:G22"/>
    <mergeCell ref="F23:G23"/>
    <mergeCell ref="F24:G24"/>
    <mergeCell ref="F25:G25"/>
    <mergeCell ref="F26:G26"/>
    <mergeCell ref="F27:G27"/>
    <mergeCell ref="H16:J16"/>
    <mergeCell ref="H17:J17"/>
    <mergeCell ref="H18:J18"/>
    <mergeCell ref="H22:J22"/>
    <mergeCell ref="H23:J23"/>
    <mergeCell ref="H19:J19"/>
    <mergeCell ref="H20:J20"/>
    <mergeCell ref="H21:J21"/>
    <mergeCell ref="H33:J33"/>
    <mergeCell ref="H34:J34"/>
    <mergeCell ref="H35:J35"/>
    <mergeCell ref="H36:J36"/>
    <mergeCell ref="H28:J28"/>
    <mergeCell ref="H29:J29"/>
    <mergeCell ref="H30:J30"/>
    <mergeCell ref="H31:J31"/>
    <mergeCell ref="H32:J32"/>
  </mergeCells>
  <conditionalFormatting sqref="N14:N36">
    <cfRule type="cellIs" dxfId="77" priority="1" operator="equal">
      <formula>100</formula>
    </cfRule>
  </conditionalFormatting>
  <conditionalFormatting sqref="P1:P13 P37:P1048576">
    <cfRule type="containsText" dxfId="76" priority="6" operator="containsText" text="RETRASADO">
      <formula>NOT(ISERROR(SEARCH("RETRASADO",P1)))</formula>
    </cfRule>
    <cfRule type="containsText" dxfId="75" priority="7" operator="containsText" text="EN PROCESO">
      <formula>NOT(ISERROR(SEARCH("EN PROCESO",P1)))</formula>
    </cfRule>
    <cfRule type="containsText" dxfId="74" priority="8" operator="containsText" text="CERRADO">
      <formula>NOT(ISERROR(SEARCH("CERRADO",P1)))</formula>
    </cfRule>
  </conditionalFormatting>
  <pageMargins left="0.17" right="0.17" top="0.37" bottom="0.4" header="0.31496062992125984" footer="0.17"/>
  <pageSetup paperSize="9" scale="7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T222"/>
  <sheetViews>
    <sheetView topLeftCell="K7" workbookViewId="0">
      <selection activeCell="S17" sqref="S17"/>
    </sheetView>
  </sheetViews>
  <sheetFormatPr baseColWidth="10" defaultColWidth="11.42578125" defaultRowHeight="15"/>
  <cols>
    <col min="1" max="1" width="3.140625" style="1" customWidth="1"/>
    <col min="2" max="2" width="19" style="1" customWidth="1"/>
    <col min="3" max="3" width="28.5703125" style="1" customWidth="1"/>
    <col min="4" max="4" width="11.140625" style="1" customWidth="1"/>
    <col min="5" max="5" width="8.140625" style="1" customWidth="1"/>
    <col min="6" max="6" width="27.140625" style="1" hidden="1" customWidth="1"/>
    <col min="7" max="7" width="16.85546875" style="1" customWidth="1"/>
    <col min="8" max="8" width="10.85546875" style="1" customWidth="1"/>
    <col min="9" max="9" width="10.28515625" style="1" customWidth="1"/>
    <col min="10" max="11" width="8.28515625" style="1" customWidth="1"/>
    <col min="12" max="12" width="15" style="1" customWidth="1"/>
    <col min="13" max="13" width="11.85546875" style="1" customWidth="1"/>
    <col min="14" max="14" width="11" style="1" customWidth="1"/>
    <col min="15" max="15" width="13" style="1" customWidth="1"/>
    <col min="16" max="16" width="10.5703125" style="1" customWidth="1"/>
    <col min="17" max="17" width="12" style="1" customWidth="1"/>
    <col min="18" max="18" width="11.42578125" style="1" customWidth="1"/>
    <col min="19" max="19" width="41.5703125" style="1" customWidth="1"/>
    <col min="20" max="16384" width="11.42578125" style="1"/>
  </cols>
  <sheetData>
    <row r="1" spans="1:20" ht="15" customHeight="1">
      <c r="A1" s="13"/>
      <c r="B1" s="150"/>
      <c r="C1" s="151"/>
      <c r="D1" s="156" t="s">
        <v>30</v>
      </c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8"/>
      <c r="S1" s="27" t="s">
        <v>31</v>
      </c>
      <c r="T1" s="3"/>
    </row>
    <row r="2" spans="1:20" ht="15" customHeight="1">
      <c r="A2" s="13"/>
      <c r="B2" s="152"/>
      <c r="C2" s="153"/>
      <c r="D2" s="159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1"/>
      <c r="S2" s="28" t="s">
        <v>32</v>
      </c>
      <c r="T2" s="3"/>
    </row>
    <row r="3" spans="1:20" ht="15" customHeight="1">
      <c r="A3" s="13"/>
      <c r="B3" s="152"/>
      <c r="C3" s="153"/>
      <c r="D3" s="159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1"/>
      <c r="S3" s="28" t="s">
        <v>33</v>
      </c>
      <c r="T3" s="3"/>
    </row>
    <row r="4" spans="1:20" ht="15" customHeight="1">
      <c r="A4" s="13"/>
      <c r="B4" s="154"/>
      <c r="C4" s="155"/>
      <c r="D4" s="162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4"/>
      <c r="S4" s="29" t="s">
        <v>34</v>
      </c>
      <c r="T4" s="3"/>
    </row>
    <row r="5" spans="1:20" ht="25.5" customHeight="1">
      <c r="A5" s="13"/>
      <c r="B5" s="14"/>
      <c r="C5" s="14"/>
      <c r="D5" s="15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5"/>
      <c r="T5" s="3"/>
    </row>
    <row r="6" spans="1:20" ht="31.5" customHeight="1">
      <c r="A6" s="13"/>
      <c r="B6" s="16" t="s">
        <v>1</v>
      </c>
      <c r="C6" s="45" t="s">
        <v>35</v>
      </c>
      <c r="D6" s="6"/>
      <c r="E6" s="6" t="s">
        <v>2</v>
      </c>
      <c r="G6" s="62">
        <v>44076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13"/>
      <c r="T6" s="3"/>
    </row>
    <row r="7" spans="1:20" ht="12.75" customHeight="1">
      <c r="A7" s="13"/>
      <c r="B7" s="17"/>
      <c r="C7" s="17"/>
      <c r="D7" s="21"/>
      <c r="E7" s="21"/>
      <c r="G7" s="26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13"/>
      <c r="T7" s="3"/>
    </row>
    <row r="8" spans="1:20" ht="33" customHeight="1">
      <c r="A8" s="13"/>
      <c r="B8" s="18" t="s">
        <v>36</v>
      </c>
      <c r="C8" s="44" t="s">
        <v>37</v>
      </c>
      <c r="D8" s="6"/>
      <c r="E8" s="6" t="s">
        <v>4</v>
      </c>
      <c r="G8" s="62">
        <f ca="1">TODAY()</f>
        <v>45898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13"/>
      <c r="T8" s="3"/>
    </row>
    <row r="9" spans="1:20" ht="37.5" customHeight="1">
      <c r="A9" s="13"/>
      <c r="B9" s="19" t="s">
        <v>1</v>
      </c>
      <c r="C9" s="13"/>
      <c r="D9" s="13"/>
      <c r="E9" s="20"/>
      <c r="F9" s="20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13"/>
      <c r="T9" s="3"/>
    </row>
    <row r="10" spans="1:20" ht="14.25" customHeight="1" thickBot="1">
      <c r="A10" s="13"/>
      <c r="B10" s="20"/>
      <c r="C10" s="21"/>
      <c r="D10" s="21"/>
      <c r="E10" s="21"/>
      <c r="F10" s="21"/>
      <c r="G10" s="21"/>
      <c r="H10" s="21"/>
      <c r="I10" s="7"/>
      <c r="J10" s="8" t="s">
        <v>39</v>
      </c>
      <c r="K10" s="8" t="s">
        <v>40</v>
      </c>
      <c r="L10" s="8" t="s">
        <v>41</v>
      </c>
      <c r="M10" s="8" t="s">
        <v>42</v>
      </c>
      <c r="N10" s="8" t="s">
        <v>9</v>
      </c>
      <c r="O10" s="21"/>
      <c r="P10" s="21"/>
      <c r="Q10" s="21"/>
      <c r="R10" s="21"/>
      <c r="S10" s="13"/>
      <c r="T10" s="3"/>
    </row>
    <row r="11" spans="1:20" ht="14.25" customHeight="1" thickBot="1">
      <c r="A11" s="13"/>
      <c r="B11" s="22" t="s">
        <v>13</v>
      </c>
      <c r="C11" s="13"/>
      <c r="D11" s="13"/>
      <c r="E11" s="20"/>
      <c r="F11" s="20"/>
      <c r="G11" s="13"/>
      <c r="H11" s="13"/>
      <c r="I11" s="32" t="s">
        <v>14</v>
      </c>
      <c r="J11" s="9">
        <f>COUNTIF(Q14:Q39,"CERRADO")</f>
        <v>18</v>
      </c>
      <c r="K11" s="10">
        <f>COUNTIF(Q14:Q39,"EN PROCESO")</f>
        <v>7</v>
      </c>
      <c r="L11" s="11">
        <f>COUNTIF(Q14:Q39,"RETRASADO")</f>
        <v>0</v>
      </c>
      <c r="M11" s="9">
        <f>SUM(J11:L11)</f>
        <v>25</v>
      </c>
      <c r="N11" s="12">
        <f>J11/M11</f>
        <v>0.72</v>
      </c>
      <c r="O11" s="13"/>
      <c r="P11" s="13"/>
      <c r="Q11" s="13"/>
      <c r="R11" s="13"/>
      <c r="S11" s="13"/>
      <c r="T11" s="3"/>
    </row>
    <row r="12" spans="1:20" ht="9" customHeight="1">
      <c r="A12" s="13"/>
      <c r="B12" s="20"/>
      <c r="C12" s="13"/>
      <c r="D12" s="13"/>
      <c r="E12" s="13"/>
      <c r="F12" s="13"/>
      <c r="G12" s="13"/>
      <c r="H12" s="13"/>
      <c r="I12" s="24"/>
      <c r="J12" s="4"/>
      <c r="K12" s="4"/>
      <c r="L12" s="4"/>
      <c r="M12" s="4"/>
      <c r="N12" s="25"/>
      <c r="O12" s="13"/>
      <c r="P12" s="13"/>
      <c r="Q12" s="13"/>
      <c r="R12" s="13"/>
      <c r="S12" s="13"/>
      <c r="T12" s="3"/>
    </row>
    <row r="13" spans="1:20" s="2" customFormat="1" ht="46.5" customHeight="1">
      <c r="A13" s="4"/>
      <c r="B13" s="36" t="s">
        <v>17</v>
      </c>
      <c r="C13" s="36" t="s">
        <v>43</v>
      </c>
      <c r="D13" s="36" t="s">
        <v>19</v>
      </c>
      <c r="E13" s="36" t="s">
        <v>20</v>
      </c>
      <c r="F13" s="36" t="s">
        <v>144</v>
      </c>
      <c r="G13" s="165" t="s">
        <v>21</v>
      </c>
      <c r="H13" s="165"/>
      <c r="I13" s="166" t="s">
        <v>22</v>
      </c>
      <c r="J13" s="166"/>
      <c r="K13" s="166"/>
      <c r="L13" s="30" t="s">
        <v>23</v>
      </c>
      <c r="M13" s="30" t="s">
        <v>24</v>
      </c>
      <c r="N13" s="30" t="s">
        <v>25</v>
      </c>
      <c r="O13" s="31" t="s">
        <v>9</v>
      </c>
      <c r="P13" s="31" t="s">
        <v>26</v>
      </c>
      <c r="Q13" s="31" t="s">
        <v>27</v>
      </c>
      <c r="R13" s="31" t="s">
        <v>44</v>
      </c>
      <c r="S13" s="31" t="s">
        <v>29</v>
      </c>
    </row>
    <row r="14" spans="1:20" ht="45" customHeight="1">
      <c r="B14" s="38" t="s">
        <v>45</v>
      </c>
      <c r="C14" s="39" t="s">
        <v>46</v>
      </c>
      <c r="D14" s="33" t="s">
        <v>47</v>
      </c>
      <c r="E14" s="65" t="s">
        <v>48</v>
      </c>
      <c r="G14" s="144" t="s">
        <v>49</v>
      </c>
      <c r="H14" s="145"/>
      <c r="I14" s="139" t="s">
        <v>50</v>
      </c>
      <c r="J14" s="140"/>
      <c r="K14" s="141"/>
      <c r="L14" s="43">
        <v>44071</v>
      </c>
      <c r="M14" s="43">
        <v>44061</v>
      </c>
      <c r="N14" s="43">
        <v>44074</v>
      </c>
      <c r="O14" s="38">
        <v>100</v>
      </c>
      <c r="P14" s="1" t="s">
        <v>51</v>
      </c>
      <c r="Q14" s="63" t="s">
        <v>52</v>
      </c>
      <c r="R14" s="33" t="s">
        <v>53</v>
      </c>
      <c r="S14" s="59" t="s">
        <v>54</v>
      </c>
    </row>
    <row r="15" spans="1:20" ht="41.25" hidden="1" customHeight="1">
      <c r="B15" s="38" t="s">
        <v>45</v>
      </c>
      <c r="C15" s="41" t="s">
        <v>55</v>
      </c>
      <c r="D15" s="33" t="s">
        <v>47</v>
      </c>
      <c r="E15" s="65" t="s">
        <v>48</v>
      </c>
      <c r="G15" s="144" t="s">
        <v>56</v>
      </c>
      <c r="H15" s="145"/>
      <c r="I15" s="139" t="s">
        <v>50</v>
      </c>
      <c r="J15" s="140"/>
      <c r="K15" s="141"/>
      <c r="L15" s="38"/>
      <c r="M15" s="38"/>
      <c r="N15" s="38"/>
      <c r="O15" s="38">
        <v>25</v>
      </c>
      <c r="Q15" s="38" t="s">
        <v>6</v>
      </c>
      <c r="S15" s="61"/>
    </row>
    <row r="16" spans="1:20" ht="30" hidden="1" customHeight="1">
      <c r="B16" s="38" t="s">
        <v>45</v>
      </c>
      <c r="C16" s="40" t="s">
        <v>60</v>
      </c>
      <c r="D16" s="38" t="s">
        <v>61</v>
      </c>
      <c r="E16" s="38" t="s">
        <v>62</v>
      </c>
      <c r="G16" s="146" t="s">
        <v>63</v>
      </c>
      <c r="H16" s="147"/>
      <c r="I16" s="139" t="s">
        <v>64</v>
      </c>
      <c r="J16" s="140"/>
      <c r="K16" s="141"/>
      <c r="L16" s="38"/>
      <c r="M16" s="38"/>
      <c r="N16" s="38"/>
      <c r="O16" s="38">
        <v>25</v>
      </c>
      <c r="Q16" s="38" t="s">
        <v>6</v>
      </c>
      <c r="S16" s="61" t="s">
        <v>145</v>
      </c>
    </row>
    <row r="17" spans="2:19" ht="30" customHeight="1">
      <c r="B17" s="38" t="s">
        <v>45</v>
      </c>
      <c r="C17" s="42" t="s">
        <v>67</v>
      </c>
      <c r="D17" s="40" t="s">
        <v>68</v>
      </c>
      <c r="E17" s="1" t="s">
        <v>48</v>
      </c>
      <c r="G17" s="142" t="s">
        <v>69</v>
      </c>
      <c r="H17" s="143"/>
      <c r="I17" s="136" t="s">
        <v>70</v>
      </c>
      <c r="J17" s="137"/>
      <c r="K17" s="138"/>
      <c r="L17" s="43">
        <v>44076</v>
      </c>
      <c r="M17" s="43">
        <v>44076</v>
      </c>
      <c r="N17" s="43">
        <v>44076</v>
      </c>
      <c r="O17" s="38">
        <v>100</v>
      </c>
      <c r="P17" s="1" t="s">
        <v>71</v>
      </c>
      <c r="Q17" s="63" t="s">
        <v>52</v>
      </c>
      <c r="S17" s="60" t="s">
        <v>72</v>
      </c>
    </row>
    <row r="18" spans="2:19" ht="63" customHeight="1">
      <c r="B18" s="38" t="s">
        <v>45</v>
      </c>
      <c r="C18" s="40" t="s">
        <v>73</v>
      </c>
      <c r="D18" s="40" t="s">
        <v>74</v>
      </c>
      <c r="E18" s="38" t="s">
        <v>62</v>
      </c>
      <c r="G18" s="146" t="s">
        <v>75</v>
      </c>
      <c r="H18" s="147"/>
      <c r="I18" s="136" t="s">
        <v>64</v>
      </c>
      <c r="J18" s="137"/>
      <c r="K18" s="138"/>
      <c r="L18" s="43">
        <v>44076</v>
      </c>
      <c r="M18" s="43">
        <v>44076</v>
      </c>
      <c r="N18" s="43">
        <v>44076</v>
      </c>
      <c r="O18" s="38">
        <v>100</v>
      </c>
      <c r="P18" s="1" t="s">
        <v>71</v>
      </c>
      <c r="Q18" s="63" t="s">
        <v>52</v>
      </c>
      <c r="S18" s="58" t="s">
        <v>76</v>
      </c>
    </row>
    <row r="19" spans="2:19" ht="42" customHeight="1">
      <c r="B19" s="38" t="s">
        <v>45</v>
      </c>
      <c r="C19" s="42" t="s">
        <v>77</v>
      </c>
      <c r="D19" s="40" t="s">
        <v>78</v>
      </c>
      <c r="E19" s="38" t="s">
        <v>79</v>
      </c>
      <c r="G19" s="142" t="s">
        <v>80</v>
      </c>
      <c r="H19" s="143"/>
      <c r="I19" s="136" t="s">
        <v>64</v>
      </c>
      <c r="J19" s="137"/>
      <c r="K19" s="138"/>
      <c r="L19" s="43">
        <v>44076</v>
      </c>
      <c r="M19" s="43">
        <v>44076</v>
      </c>
      <c r="N19" s="43">
        <v>44076</v>
      </c>
      <c r="O19" s="38">
        <v>100</v>
      </c>
      <c r="P19" s="1" t="s">
        <v>146</v>
      </c>
      <c r="Q19" s="63" t="s">
        <v>52</v>
      </c>
      <c r="S19" s="58" t="s">
        <v>81</v>
      </c>
    </row>
    <row r="20" spans="2:19" ht="30" customHeight="1">
      <c r="B20" s="38" t="s">
        <v>45</v>
      </c>
      <c r="C20" s="42" t="s">
        <v>82</v>
      </c>
      <c r="D20" s="42" t="s">
        <v>78</v>
      </c>
      <c r="E20" s="38" t="s">
        <v>79</v>
      </c>
      <c r="G20" s="142" t="s">
        <v>83</v>
      </c>
      <c r="H20" s="143"/>
      <c r="I20" s="136" t="s">
        <v>84</v>
      </c>
      <c r="J20" s="137"/>
      <c r="K20" s="138"/>
      <c r="L20" s="43">
        <v>44076</v>
      </c>
      <c r="M20" s="43">
        <v>44076</v>
      </c>
      <c r="N20" s="43">
        <v>44076</v>
      </c>
      <c r="O20" s="38">
        <v>100</v>
      </c>
      <c r="P20" s="1" t="s">
        <v>146</v>
      </c>
      <c r="Q20" s="63" t="s">
        <v>52</v>
      </c>
      <c r="S20" s="59" t="s">
        <v>85</v>
      </c>
    </row>
    <row r="21" spans="2:19" ht="43.5" customHeight="1">
      <c r="B21" s="38" t="s">
        <v>45</v>
      </c>
      <c r="C21" s="42" t="s">
        <v>86</v>
      </c>
      <c r="D21" s="42" t="s">
        <v>78</v>
      </c>
      <c r="E21" s="38" t="s">
        <v>79</v>
      </c>
      <c r="G21" s="142" t="s">
        <v>147</v>
      </c>
      <c r="H21" s="143"/>
      <c r="I21" s="136" t="s">
        <v>64</v>
      </c>
      <c r="J21" s="137"/>
      <c r="K21" s="138"/>
      <c r="L21" s="43">
        <v>44076</v>
      </c>
      <c r="M21" s="43">
        <v>44144</v>
      </c>
      <c r="N21" s="43">
        <v>44144</v>
      </c>
      <c r="O21" s="38">
        <v>100</v>
      </c>
      <c r="P21" s="1" t="s">
        <v>146</v>
      </c>
      <c r="Q21" s="63" t="s">
        <v>52</v>
      </c>
      <c r="S21" s="58" t="s">
        <v>148</v>
      </c>
    </row>
    <row r="22" spans="2:19" ht="47.25" hidden="1" customHeight="1">
      <c r="B22" s="38" t="s">
        <v>45</v>
      </c>
      <c r="C22" s="42" t="s">
        <v>90</v>
      </c>
      <c r="D22" s="42" t="s">
        <v>78</v>
      </c>
      <c r="E22" s="38" t="s">
        <v>79</v>
      </c>
      <c r="G22" s="142" t="s">
        <v>91</v>
      </c>
      <c r="H22" s="143"/>
      <c r="I22" s="136" t="s">
        <v>64</v>
      </c>
      <c r="J22" s="137"/>
      <c r="K22" s="138"/>
      <c r="L22" s="38"/>
      <c r="M22" s="38"/>
      <c r="N22" s="38"/>
      <c r="O22" s="38">
        <v>25</v>
      </c>
      <c r="Q22" s="38" t="s">
        <v>149</v>
      </c>
      <c r="S22" s="59" t="s">
        <v>150</v>
      </c>
    </row>
    <row r="23" spans="2:19" ht="44.25" hidden="1" customHeight="1">
      <c r="B23" s="38" t="s">
        <v>45</v>
      </c>
      <c r="C23" s="40" t="s">
        <v>93</v>
      </c>
      <c r="D23" s="40" t="s">
        <v>78</v>
      </c>
      <c r="E23" s="38" t="s">
        <v>79</v>
      </c>
      <c r="G23" s="142" t="s">
        <v>94</v>
      </c>
      <c r="H23" s="143"/>
      <c r="I23" s="136" t="s">
        <v>95</v>
      </c>
      <c r="J23" s="137"/>
      <c r="K23" s="138"/>
      <c r="L23" s="38"/>
      <c r="M23" s="38"/>
      <c r="N23" s="38"/>
      <c r="O23" s="38">
        <v>25</v>
      </c>
      <c r="Q23" s="38" t="s">
        <v>6</v>
      </c>
      <c r="S23" s="1" t="s">
        <v>38</v>
      </c>
    </row>
    <row r="24" spans="2:19" ht="45.75" customHeight="1">
      <c r="B24" s="38" t="s">
        <v>45</v>
      </c>
      <c r="C24" s="40" t="s">
        <v>98</v>
      </c>
      <c r="D24" s="38" t="s">
        <v>99</v>
      </c>
      <c r="E24" s="38" t="s">
        <v>79</v>
      </c>
      <c r="G24" s="142" t="s">
        <v>100</v>
      </c>
      <c r="H24" s="143"/>
      <c r="I24" s="136" t="s">
        <v>95</v>
      </c>
      <c r="J24" s="137"/>
      <c r="K24" s="138"/>
      <c r="L24" s="43">
        <v>44076</v>
      </c>
      <c r="M24" s="43">
        <v>44076</v>
      </c>
      <c r="N24" s="43">
        <v>44076</v>
      </c>
      <c r="O24" s="38">
        <v>100</v>
      </c>
      <c r="P24" s="1" t="s">
        <v>146</v>
      </c>
      <c r="Q24" s="63" t="s">
        <v>52</v>
      </c>
      <c r="S24" s="59" t="s">
        <v>101</v>
      </c>
    </row>
    <row r="25" spans="2:19" ht="46.5" hidden="1" customHeight="1">
      <c r="B25" s="38" t="s">
        <v>45</v>
      </c>
      <c r="C25" s="42" t="s">
        <v>102</v>
      </c>
      <c r="D25" s="38" t="s">
        <v>99</v>
      </c>
      <c r="E25" s="38" t="s">
        <v>79</v>
      </c>
      <c r="G25" s="142" t="s">
        <v>103</v>
      </c>
      <c r="H25" s="143"/>
      <c r="I25" s="136" t="s">
        <v>84</v>
      </c>
      <c r="J25" s="137"/>
      <c r="K25" s="138"/>
      <c r="L25" s="38"/>
      <c r="M25" s="38"/>
      <c r="N25" s="38"/>
      <c r="O25" s="38">
        <v>25</v>
      </c>
      <c r="Q25" s="38" t="s">
        <v>6</v>
      </c>
      <c r="S25" s="59" t="s">
        <v>151</v>
      </c>
    </row>
    <row r="26" spans="2:19" ht="42.75" customHeight="1">
      <c r="B26" s="38" t="s">
        <v>45</v>
      </c>
      <c r="C26" s="40" t="s">
        <v>104</v>
      </c>
      <c r="D26" s="38" t="s">
        <v>105</v>
      </c>
      <c r="E26" s="38" t="s">
        <v>79</v>
      </c>
      <c r="G26" s="142" t="s">
        <v>106</v>
      </c>
      <c r="H26" s="143"/>
      <c r="I26" s="136" t="s">
        <v>107</v>
      </c>
      <c r="J26" s="137"/>
      <c r="K26" s="138"/>
      <c r="L26" s="43">
        <v>44076</v>
      </c>
      <c r="M26" s="43">
        <v>44076</v>
      </c>
      <c r="N26" s="43">
        <v>44076</v>
      </c>
      <c r="O26" s="38">
        <v>100</v>
      </c>
      <c r="P26" s="1" t="s">
        <v>146</v>
      </c>
      <c r="Q26" s="63" t="s">
        <v>52</v>
      </c>
      <c r="S26" s="58" t="s">
        <v>108</v>
      </c>
    </row>
    <row r="27" spans="2:19" ht="50.25" customHeight="1">
      <c r="B27" s="38" t="s">
        <v>45</v>
      </c>
      <c r="C27" s="42" t="s">
        <v>109</v>
      </c>
      <c r="D27" s="42" t="s">
        <v>110</v>
      </c>
      <c r="E27" s="38" t="s">
        <v>79</v>
      </c>
      <c r="G27" s="142" t="s">
        <v>111</v>
      </c>
      <c r="H27" s="143"/>
      <c r="I27" s="136" t="s">
        <v>112</v>
      </c>
      <c r="J27" s="137"/>
      <c r="K27" s="138"/>
      <c r="L27" s="43">
        <v>44146</v>
      </c>
      <c r="M27" s="38"/>
      <c r="N27" s="38"/>
      <c r="O27" s="38">
        <v>100</v>
      </c>
      <c r="P27" s="1" t="s">
        <v>146</v>
      </c>
      <c r="Q27" s="63" t="s">
        <v>52</v>
      </c>
      <c r="S27" s="59" t="s">
        <v>152</v>
      </c>
    </row>
    <row r="28" spans="2:19" ht="44.25" customHeight="1">
      <c r="B28" s="38" t="s">
        <v>45</v>
      </c>
      <c r="C28" s="42" t="s">
        <v>114</v>
      </c>
      <c r="D28" s="1" t="s">
        <v>115</v>
      </c>
      <c r="E28" s="38" t="s">
        <v>79</v>
      </c>
      <c r="G28" s="142" t="s">
        <v>116</v>
      </c>
      <c r="H28" s="143"/>
      <c r="I28" s="136" t="s">
        <v>117</v>
      </c>
      <c r="J28" s="137"/>
      <c r="K28" s="138"/>
      <c r="L28" s="35">
        <v>44076</v>
      </c>
      <c r="M28" s="35">
        <v>44076</v>
      </c>
      <c r="N28" s="35">
        <v>44076</v>
      </c>
      <c r="O28" s="1">
        <v>100</v>
      </c>
      <c r="P28" s="1" t="s">
        <v>146</v>
      </c>
      <c r="Q28" s="63" t="s">
        <v>52</v>
      </c>
      <c r="S28" s="59"/>
    </row>
    <row r="29" spans="2:19" ht="57" customHeight="1">
      <c r="B29" s="38" t="s">
        <v>45</v>
      </c>
      <c r="C29" s="42" t="s">
        <v>118</v>
      </c>
      <c r="D29" s="1" t="s">
        <v>115</v>
      </c>
      <c r="E29" s="38" t="s">
        <v>79</v>
      </c>
      <c r="G29" s="142" t="s">
        <v>119</v>
      </c>
      <c r="H29" s="143"/>
      <c r="I29" s="136" t="s">
        <v>117</v>
      </c>
      <c r="J29" s="137"/>
      <c r="K29" s="138"/>
      <c r="L29" s="35">
        <v>44076</v>
      </c>
      <c r="M29" s="35">
        <v>44076</v>
      </c>
      <c r="N29" s="35">
        <v>44076</v>
      </c>
      <c r="O29" s="1">
        <v>100</v>
      </c>
      <c r="P29" s="1" t="s">
        <v>146</v>
      </c>
      <c r="Q29" s="63" t="s">
        <v>52</v>
      </c>
      <c r="S29" s="59"/>
    </row>
    <row r="30" spans="2:19" ht="47.25" customHeight="1">
      <c r="B30" s="38" t="s">
        <v>45</v>
      </c>
      <c r="C30" s="41" t="s">
        <v>120</v>
      </c>
      <c r="D30" s="33" t="s">
        <v>121</v>
      </c>
      <c r="E30" s="33" t="s">
        <v>79</v>
      </c>
      <c r="G30" s="142" t="s">
        <v>122</v>
      </c>
      <c r="H30" s="143"/>
      <c r="I30" s="136" t="s">
        <v>123</v>
      </c>
      <c r="J30" s="137"/>
      <c r="K30" s="138"/>
      <c r="L30" s="35">
        <v>44076</v>
      </c>
      <c r="M30" s="35">
        <v>44076</v>
      </c>
      <c r="N30" s="35">
        <v>44076</v>
      </c>
      <c r="O30" s="1">
        <v>100</v>
      </c>
      <c r="P30" s="1" t="s">
        <v>146</v>
      </c>
      <c r="Q30" s="63" t="s">
        <v>52</v>
      </c>
      <c r="S30" s="59"/>
    </row>
    <row r="31" spans="2:19" ht="34.5" customHeight="1">
      <c r="B31" s="38" t="s">
        <v>45</v>
      </c>
      <c r="C31" s="40" t="s">
        <v>124</v>
      </c>
      <c r="D31" s="1" t="s">
        <v>125</v>
      </c>
      <c r="E31" s="38" t="s">
        <v>79</v>
      </c>
      <c r="G31" s="142" t="s">
        <v>126</v>
      </c>
      <c r="H31" s="143"/>
      <c r="I31" s="136" t="s">
        <v>117</v>
      </c>
      <c r="J31" s="137"/>
      <c r="K31" s="138"/>
      <c r="L31" s="35">
        <v>44076</v>
      </c>
      <c r="M31" s="35">
        <v>44076</v>
      </c>
      <c r="N31" s="35">
        <v>44076</v>
      </c>
      <c r="O31" s="1">
        <v>100</v>
      </c>
      <c r="P31" s="1" t="s">
        <v>146</v>
      </c>
      <c r="Q31" s="63" t="s">
        <v>52</v>
      </c>
      <c r="S31" s="59"/>
    </row>
    <row r="32" spans="2:19" ht="30" customHeight="1">
      <c r="B32" s="38" t="s">
        <v>45</v>
      </c>
      <c r="C32" s="42" t="s">
        <v>127</v>
      </c>
      <c r="D32" s="1" t="s">
        <v>125</v>
      </c>
      <c r="E32" s="38" t="s">
        <v>79</v>
      </c>
      <c r="G32" s="142" t="s">
        <v>126</v>
      </c>
      <c r="H32" s="143"/>
      <c r="I32" s="136" t="s">
        <v>117</v>
      </c>
      <c r="J32" s="137"/>
      <c r="K32" s="138"/>
      <c r="L32" s="35">
        <v>44076</v>
      </c>
      <c r="M32" s="35">
        <v>44076</v>
      </c>
      <c r="N32" s="35">
        <v>44076</v>
      </c>
      <c r="O32" s="1">
        <v>100</v>
      </c>
      <c r="P32" s="1" t="s">
        <v>146</v>
      </c>
      <c r="Q32" s="63" t="s">
        <v>52</v>
      </c>
      <c r="S32" s="59"/>
    </row>
    <row r="33" spans="2:19" ht="54" hidden="1" customHeight="1">
      <c r="B33" s="38" t="s">
        <v>45</v>
      </c>
      <c r="C33" s="39" t="s">
        <v>153</v>
      </c>
      <c r="D33" s="33" t="s">
        <v>129</v>
      </c>
      <c r="E33" s="65" t="s">
        <v>79</v>
      </c>
      <c r="G33" s="144"/>
      <c r="H33" s="145"/>
      <c r="I33" s="136" t="s">
        <v>123</v>
      </c>
      <c r="J33" s="137"/>
      <c r="K33" s="138"/>
      <c r="O33" s="1">
        <v>25</v>
      </c>
      <c r="Q33" s="1" t="s">
        <v>6</v>
      </c>
      <c r="S33" s="59"/>
    </row>
    <row r="34" spans="2:19" ht="47.25" hidden="1" customHeight="1">
      <c r="B34" s="38" t="s">
        <v>45</v>
      </c>
      <c r="C34" s="42" t="s">
        <v>128</v>
      </c>
      <c r="D34" s="38" t="s">
        <v>129</v>
      </c>
      <c r="E34" s="38" t="s">
        <v>79</v>
      </c>
      <c r="G34" s="142" t="s">
        <v>130</v>
      </c>
      <c r="H34" s="143"/>
      <c r="I34" s="136" t="s">
        <v>64</v>
      </c>
      <c r="J34" s="137"/>
      <c r="K34" s="138"/>
      <c r="O34" s="1">
        <v>25</v>
      </c>
      <c r="Q34" s="1" t="s">
        <v>6</v>
      </c>
      <c r="S34" s="58" t="s">
        <v>154</v>
      </c>
    </row>
    <row r="35" spans="2:19" ht="42.75" customHeight="1">
      <c r="B35" s="38" t="s">
        <v>45</v>
      </c>
      <c r="C35" s="42" t="s">
        <v>132</v>
      </c>
      <c r="D35" s="1" t="s">
        <v>133</v>
      </c>
      <c r="E35" s="38" t="s">
        <v>79</v>
      </c>
      <c r="G35" s="142" t="s">
        <v>134</v>
      </c>
      <c r="H35" s="143"/>
      <c r="I35" s="136" t="s">
        <v>135</v>
      </c>
      <c r="J35" s="137"/>
      <c r="K35" s="138"/>
      <c r="L35" s="35">
        <v>44076</v>
      </c>
      <c r="M35" s="35">
        <v>44076</v>
      </c>
      <c r="N35" s="35">
        <v>44076</v>
      </c>
      <c r="O35" s="1">
        <v>100</v>
      </c>
      <c r="P35" s="1" t="s">
        <v>146</v>
      </c>
      <c r="Q35" s="66" t="s">
        <v>52</v>
      </c>
      <c r="S35" s="59"/>
    </row>
    <row r="36" spans="2:19" ht="30" customHeight="1">
      <c r="B36" s="38" t="s">
        <v>45</v>
      </c>
      <c r="C36" s="41" t="s">
        <v>136</v>
      </c>
      <c r="D36" s="33" t="s">
        <v>137</v>
      </c>
      <c r="E36" s="33" t="s">
        <v>79</v>
      </c>
      <c r="G36" s="144" t="s">
        <v>138</v>
      </c>
      <c r="H36" s="145"/>
      <c r="I36" s="136" t="s">
        <v>123</v>
      </c>
      <c r="J36" s="137"/>
      <c r="K36" s="138"/>
      <c r="L36" s="35">
        <v>44057</v>
      </c>
      <c r="M36" s="35">
        <v>44057</v>
      </c>
      <c r="N36" s="35">
        <v>44060</v>
      </c>
      <c r="O36" s="1">
        <v>100</v>
      </c>
      <c r="P36" s="1" t="s">
        <v>146</v>
      </c>
      <c r="Q36" s="66" t="s">
        <v>52</v>
      </c>
      <c r="S36" s="58" t="s">
        <v>139</v>
      </c>
    </row>
    <row r="37" spans="2:19" ht="43.5" customHeight="1">
      <c r="B37" s="38" t="s">
        <v>45</v>
      </c>
      <c r="C37" s="42" t="s">
        <v>155</v>
      </c>
      <c r="D37" s="42" t="s">
        <v>141</v>
      </c>
      <c r="E37" s="38" t="s">
        <v>79</v>
      </c>
      <c r="G37" s="142" t="s">
        <v>156</v>
      </c>
      <c r="H37" s="143"/>
      <c r="I37" s="136" t="s">
        <v>107</v>
      </c>
      <c r="J37" s="137"/>
      <c r="K37" s="138"/>
      <c r="O37" s="1">
        <v>100</v>
      </c>
      <c r="P37" s="1" t="s">
        <v>146</v>
      </c>
      <c r="Q37" s="66" t="s">
        <v>52</v>
      </c>
      <c r="S37" s="59"/>
    </row>
    <row r="38" spans="2:19" ht="64.5" customHeight="1">
      <c r="B38" s="38" t="s">
        <v>45</v>
      </c>
      <c r="C38" s="41" t="s">
        <v>140</v>
      </c>
      <c r="D38" s="34" t="s">
        <v>141</v>
      </c>
      <c r="E38" s="65" t="s">
        <v>79</v>
      </c>
      <c r="G38" s="142" t="s">
        <v>157</v>
      </c>
      <c r="H38" s="143"/>
      <c r="I38" s="136" t="s">
        <v>123</v>
      </c>
      <c r="J38" s="137"/>
      <c r="K38" s="138"/>
      <c r="L38" s="1" t="s">
        <v>158</v>
      </c>
      <c r="O38" s="1">
        <v>100</v>
      </c>
      <c r="P38" s="1" t="s">
        <v>146</v>
      </c>
      <c r="Q38" s="66" t="s">
        <v>52</v>
      </c>
      <c r="S38" s="59"/>
    </row>
    <row r="39" spans="2:19" ht="30" customHeight="1"/>
    <row r="40" spans="2:19" ht="30" customHeight="1"/>
    <row r="41" spans="2:19" ht="30" customHeight="1"/>
    <row r="42" spans="2:19" ht="30" customHeight="1"/>
    <row r="43" spans="2:19" ht="30" customHeight="1"/>
    <row r="44" spans="2:19" ht="30" customHeight="1"/>
    <row r="45" spans="2:19" ht="30" customHeight="1"/>
    <row r="46" spans="2:19" ht="30" customHeight="1"/>
    <row r="47" spans="2:19" ht="30" customHeight="1"/>
    <row r="48" spans="2:19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</sheetData>
  <autoFilter ref="A13:XFD38" xr:uid="{00000000-0009-0000-0000-000005000000}">
    <filterColumn colId="6" showButton="0"/>
    <filterColumn colId="8" showButton="0"/>
    <filterColumn colId="9" showButton="0"/>
    <filterColumn colId="16">
      <filters>
        <filter val="Cerrado"/>
      </filters>
    </filterColumn>
  </autoFilter>
  <mergeCells count="54">
    <mergeCell ref="I38:K38"/>
    <mergeCell ref="I28:K28"/>
    <mergeCell ref="I29:K29"/>
    <mergeCell ref="I30:K30"/>
    <mergeCell ref="I31:K31"/>
    <mergeCell ref="I32:K32"/>
    <mergeCell ref="I34:K34"/>
    <mergeCell ref="G22:H22"/>
    <mergeCell ref="G23:H23"/>
    <mergeCell ref="I35:K35"/>
    <mergeCell ref="I36:K36"/>
    <mergeCell ref="I37:K37"/>
    <mergeCell ref="G24:H24"/>
    <mergeCell ref="G25:H25"/>
    <mergeCell ref="G26:H26"/>
    <mergeCell ref="G37:H37"/>
    <mergeCell ref="G27:H27"/>
    <mergeCell ref="I18:K18"/>
    <mergeCell ref="I33:K33"/>
    <mergeCell ref="I22:K22"/>
    <mergeCell ref="I23:K23"/>
    <mergeCell ref="I24:K24"/>
    <mergeCell ref="I25:K25"/>
    <mergeCell ref="I26:K26"/>
    <mergeCell ref="I27:K27"/>
    <mergeCell ref="I19:K19"/>
    <mergeCell ref="I20:K20"/>
    <mergeCell ref="I21:K21"/>
    <mergeCell ref="G38:H38"/>
    <mergeCell ref="G28:H28"/>
    <mergeCell ref="G29:H29"/>
    <mergeCell ref="G30:H30"/>
    <mergeCell ref="G31:H31"/>
    <mergeCell ref="G32:H32"/>
    <mergeCell ref="G33:H33"/>
    <mergeCell ref="G36:H36"/>
    <mergeCell ref="G34:H34"/>
    <mergeCell ref="G35:H35"/>
    <mergeCell ref="G21:H21"/>
    <mergeCell ref="G15:H15"/>
    <mergeCell ref="B1:C4"/>
    <mergeCell ref="D1:R4"/>
    <mergeCell ref="G13:H13"/>
    <mergeCell ref="I13:K13"/>
    <mergeCell ref="G14:H14"/>
    <mergeCell ref="I14:K14"/>
    <mergeCell ref="I15:K15"/>
    <mergeCell ref="G16:H16"/>
    <mergeCell ref="G17:H17"/>
    <mergeCell ref="G18:H18"/>
    <mergeCell ref="G19:H19"/>
    <mergeCell ref="G20:H20"/>
    <mergeCell ref="I16:K16"/>
    <mergeCell ref="I17:K17"/>
  </mergeCells>
  <conditionalFormatting sqref="O14:O38">
    <cfRule type="cellIs" dxfId="73" priority="1" operator="equal">
      <formula>100</formula>
    </cfRule>
  </conditionalFormatting>
  <conditionalFormatting sqref="Q1:Q13 Q39:Q1048576">
    <cfRule type="containsText" dxfId="72" priority="3" operator="containsText" text="RETRASADO">
      <formula>NOT(ISERROR(SEARCH("RETRASADO",Q1)))</formula>
    </cfRule>
    <cfRule type="containsText" dxfId="71" priority="4" operator="containsText" text="EN PROCESO">
      <formula>NOT(ISERROR(SEARCH("EN PROCESO",Q1)))</formula>
    </cfRule>
    <cfRule type="containsText" dxfId="70" priority="5" operator="containsText" text="CERRADO">
      <formula>NOT(ISERROR(SEARCH("CERRADO",Q1)))</formula>
    </cfRule>
  </conditionalFormatting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FC65"/>
  <sheetViews>
    <sheetView workbookViewId="0">
      <selection activeCell="F24" sqref="F24"/>
    </sheetView>
  </sheetViews>
  <sheetFormatPr baseColWidth="10" defaultColWidth="11.42578125" defaultRowHeight="15"/>
  <cols>
    <col min="1" max="1" width="3.140625" style="1" customWidth="1"/>
    <col min="2" max="2" width="10.85546875" style="1" customWidth="1"/>
    <col min="3" max="3" width="34" style="1" customWidth="1"/>
    <col min="4" max="4" width="11.85546875" style="1" customWidth="1"/>
    <col min="5" max="5" width="10.140625" style="1" customWidth="1"/>
    <col min="6" max="6" width="14.28515625" style="1" customWidth="1"/>
    <col min="7" max="7" width="9.5703125" style="1" customWidth="1"/>
    <col min="8" max="8" width="9" style="1" customWidth="1"/>
    <col min="9" max="9" width="4.85546875" style="1" customWidth="1"/>
    <col min="10" max="10" width="5.5703125" style="1" customWidth="1"/>
    <col min="11" max="12" width="10.5703125" style="1" customWidth="1"/>
    <col min="13" max="13" width="11" style="1" customWidth="1"/>
    <col min="14" max="14" width="8.7109375" style="1" customWidth="1"/>
    <col min="15" max="15" width="8.28515625" style="1" customWidth="1"/>
    <col min="16" max="16" width="9.28515625" style="1" customWidth="1"/>
    <col min="17" max="17" width="9.140625" style="1" hidden="1" customWidth="1"/>
    <col min="18" max="18" width="20.140625" style="1" customWidth="1"/>
    <col min="19" max="16384" width="11.42578125" style="1"/>
  </cols>
  <sheetData>
    <row r="1" spans="1:16383" ht="15" customHeight="1">
      <c r="A1" s="13"/>
      <c r="B1" s="150"/>
      <c r="C1" s="151"/>
      <c r="D1" s="156" t="s">
        <v>30</v>
      </c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8"/>
      <c r="R1" s="27" t="s">
        <v>31</v>
      </c>
      <c r="S1" s="3"/>
    </row>
    <row r="2" spans="1:16383" ht="15" customHeight="1">
      <c r="A2" s="13"/>
      <c r="B2" s="152"/>
      <c r="C2" s="153"/>
      <c r="D2" s="159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1"/>
      <c r="R2" s="28" t="s">
        <v>32</v>
      </c>
      <c r="S2" s="3"/>
    </row>
    <row r="3" spans="1:16383" ht="15" customHeight="1">
      <c r="A3" s="13"/>
      <c r="B3" s="152"/>
      <c r="C3" s="153"/>
      <c r="D3" s="159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1"/>
      <c r="R3" s="28" t="s">
        <v>33</v>
      </c>
      <c r="S3" s="3"/>
    </row>
    <row r="4" spans="1:16383" ht="15" customHeight="1">
      <c r="A4" s="13"/>
      <c r="B4" s="154"/>
      <c r="C4" s="155"/>
      <c r="D4" s="162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/>
      <c r="R4" s="29" t="s">
        <v>34</v>
      </c>
      <c r="S4" s="3"/>
    </row>
    <row r="5" spans="1:16383" ht="25.5" customHeight="1">
      <c r="A5" s="13"/>
      <c r="B5" s="14"/>
      <c r="C5" s="14"/>
      <c r="D5" s="15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5"/>
      <c r="S5" s="3"/>
    </row>
    <row r="6" spans="1:16383" ht="31.5" customHeight="1">
      <c r="A6" s="13"/>
      <c r="B6" s="16" t="s">
        <v>1</v>
      </c>
      <c r="C6" s="45" t="s">
        <v>35</v>
      </c>
      <c r="D6" s="6"/>
      <c r="E6" s="6" t="s">
        <v>2</v>
      </c>
      <c r="F6" s="50">
        <v>44106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13"/>
      <c r="S6" s="3"/>
    </row>
    <row r="7" spans="1:16383" ht="12.75" customHeight="1">
      <c r="A7" s="13"/>
      <c r="B7" s="17"/>
      <c r="C7" s="17"/>
      <c r="D7" s="21"/>
      <c r="E7" s="21"/>
      <c r="F7" s="68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13"/>
      <c r="S7" s="3"/>
    </row>
    <row r="8" spans="1:16383" ht="33" customHeight="1">
      <c r="A8" s="13"/>
      <c r="B8" s="18" t="s">
        <v>36</v>
      </c>
      <c r="C8" s="67" t="s">
        <v>37</v>
      </c>
      <c r="D8" s="6"/>
      <c r="E8" s="6" t="s">
        <v>4</v>
      </c>
      <c r="F8" s="50">
        <v>44116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13"/>
      <c r="S8" s="3"/>
    </row>
    <row r="9" spans="1:16383" ht="37.5" customHeight="1">
      <c r="A9" s="13"/>
      <c r="B9" s="19" t="s">
        <v>1</v>
      </c>
      <c r="C9" s="13"/>
      <c r="D9" s="13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13"/>
      <c r="S9" s="3"/>
    </row>
    <row r="10" spans="1:16383" ht="14.25" customHeight="1" thickBot="1">
      <c r="A10" s="13"/>
      <c r="B10" s="20"/>
      <c r="C10" s="21"/>
      <c r="D10" s="21"/>
      <c r="E10" s="21"/>
      <c r="F10" s="21"/>
      <c r="G10" s="21"/>
      <c r="H10" s="7"/>
      <c r="I10" s="8" t="s">
        <v>39</v>
      </c>
      <c r="J10" s="8" t="s">
        <v>40</v>
      </c>
      <c r="K10" s="8" t="s">
        <v>41</v>
      </c>
      <c r="L10" s="8" t="s">
        <v>42</v>
      </c>
      <c r="M10" s="8" t="s">
        <v>9</v>
      </c>
      <c r="N10" s="21"/>
      <c r="O10" s="21"/>
      <c r="P10" s="21"/>
      <c r="Q10" s="21"/>
      <c r="R10" s="13"/>
      <c r="S10" s="3"/>
    </row>
    <row r="11" spans="1:16383" ht="14.25" customHeight="1" thickBot="1">
      <c r="A11" s="13"/>
      <c r="B11" s="22" t="s">
        <v>13</v>
      </c>
      <c r="C11" s="13"/>
      <c r="D11" s="13"/>
      <c r="E11" s="20"/>
      <c r="F11" s="13"/>
      <c r="G11" s="13"/>
      <c r="H11" s="52" t="s">
        <v>14</v>
      </c>
      <c r="I11" s="9">
        <f>COUNTIF(P14:Q23,"CERRADO")</f>
        <v>7</v>
      </c>
      <c r="J11" s="10">
        <f>COUNTIF(P14:P23,"EN PROCESO ")</f>
        <v>2</v>
      </c>
      <c r="K11" s="11">
        <f>COUNTIF(P14:P24,"RETRASADO")</f>
        <v>0</v>
      </c>
      <c r="L11" s="9">
        <f>SUM(I11:K11)</f>
        <v>9</v>
      </c>
      <c r="M11" s="12">
        <f>I11/L11</f>
        <v>0.77777777777777779</v>
      </c>
      <c r="N11" s="13"/>
      <c r="O11" s="13"/>
      <c r="P11" s="13"/>
      <c r="Q11" s="13"/>
      <c r="R11" s="13"/>
      <c r="S11" s="3"/>
    </row>
    <row r="12" spans="1:16383" ht="9" customHeight="1">
      <c r="A12" s="13"/>
      <c r="B12" s="20"/>
      <c r="C12" s="13"/>
      <c r="D12" s="13"/>
      <c r="E12" s="13"/>
      <c r="F12" s="13"/>
      <c r="G12" s="13"/>
      <c r="H12" s="24"/>
      <c r="I12" s="4"/>
      <c r="J12" s="4"/>
      <c r="K12" s="4"/>
      <c r="L12" s="4"/>
      <c r="M12" s="25"/>
      <c r="N12" s="13"/>
      <c r="O12" s="13"/>
      <c r="P12" s="13"/>
      <c r="Q12" s="13"/>
      <c r="R12" s="13"/>
      <c r="S12" s="3"/>
    </row>
    <row r="13" spans="1:16383" ht="46.5" customHeight="1">
      <c r="A13" s="4"/>
      <c r="B13" s="57" t="s">
        <v>17</v>
      </c>
      <c r="C13" s="36" t="s">
        <v>43</v>
      </c>
      <c r="D13" s="36" t="s">
        <v>19</v>
      </c>
      <c r="E13" s="36" t="s">
        <v>20</v>
      </c>
      <c r="F13" s="165" t="s">
        <v>21</v>
      </c>
      <c r="G13" s="165"/>
      <c r="H13" s="166" t="s">
        <v>22</v>
      </c>
      <c r="I13" s="166"/>
      <c r="J13" s="166"/>
      <c r="K13" s="30" t="s">
        <v>23</v>
      </c>
      <c r="L13" s="30" t="s">
        <v>24</v>
      </c>
      <c r="M13" s="30" t="s">
        <v>25</v>
      </c>
      <c r="N13" s="31" t="s">
        <v>9</v>
      </c>
      <c r="O13" s="31" t="s">
        <v>26</v>
      </c>
      <c r="P13" s="31" t="s">
        <v>27</v>
      </c>
      <c r="Q13" s="23" t="s">
        <v>44</v>
      </c>
      <c r="R13" s="31" t="s">
        <v>29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</row>
    <row r="14" spans="1:16383" ht="74.25" customHeight="1">
      <c r="B14" s="56" t="s">
        <v>45</v>
      </c>
      <c r="C14" s="39" t="s">
        <v>159</v>
      </c>
      <c r="D14" s="33" t="s">
        <v>47</v>
      </c>
      <c r="E14" s="33" t="s">
        <v>48</v>
      </c>
      <c r="F14" s="167" t="s">
        <v>160</v>
      </c>
      <c r="G14" s="149"/>
      <c r="H14" s="139" t="s">
        <v>64</v>
      </c>
      <c r="I14" s="140"/>
      <c r="J14" s="141"/>
      <c r="K14" s="43">
        <v>44109</v>
      </c>
      <c r="L14" s="43">
        <v>44109</v>
      </c>
      <c r="M14" s="43">
        <v>44109</v>
      </c>
      <c r="N14" s="38">
        <v>100</v>
      </c>
      <c r="O14" s="48" t="s">
        <v>51</v>
      </c>
      <c r="P14" s="38" t="s">
        <v>52</v>
      </c>
      <c r="Q14" s="33" t="s">
        <v>53</v>
      </c>
      <c r="R14" s="49" t="s">
        <v>161</v>
      </c>
    </row>
    <row r="15" spans="1:16383" ht="73.5" customHeight="1">
      <c r="B15" s="56" t="s">
        <v>45</v>
      </c>
      <c r="C15" s="39" t="s">
        <v>162</v>
      </c>
      <c r="D15" s="33" t="s">
        <v>47</v>
      </c>
      <c r="E15" s="33" t="s">
        <v>48</v>
      </c>
      <c r="F15" s="148" t="s">
        <v>163</v>
      </c>
      <c r="G15" s="149"/>
      <c r="H15" s="139" t="s">
        <v>123</v>
      </c>
      <c r="I15" s="140"/>
      <c r="J15" s="141"/>
      <c r="K15" s="43">
        <v>44116</v>
      </c>
      <c r="L15" s="43">
        <v>44116</v>
      </c>
      <c r="M15" s="43">
        <v>44116</v>
      </c>
      <c r="N15" s="38">
        <v>100</v>
      </c>
      <c r="O15" s="47" t="s">
        <v>57</v>
      </c>
      <c r="P15" s="38" t="s">
        <v>52</v>
      </c>
      <c r="Q15" s="40" t="s">
        <v>58</v>
      </c>
      <c r="R15" s="46" t="s">
        <v>164</v>
      </c>
    </row>
    <row r="16" spans="1:16383" ht="75" hidden="1" customHeight="1">
      <c r="B16" s="56" t="s">
        <v>45</v>
      </c>
      <c r="C16" s="39" t="s">
        <v>165</v>
      </c>
      <c r="D16" s="38" t="s">
        <v>61</v>
      </c>
      <c r="E16" s="38" t="s">
        <v>62</v>
      </c>
      <c r="F16" s="167" t="s">
        <v>166</v>
      </c>
      <c r="G16" s="149"/>
      <c r="H16" s="139" t="s">
        <v>135</v>
      </c>
      <c r="I16" s="140"/>
      <c r="J16" s="141"/>
      <c r="K16" s="43"/>
      <c r="L16" s="43"/>
      <c r="M16" s="43"/>
      <c r="N16" s="38">
        <v>25</v>
      </c>
      <c r="O16" s="47" t="s">
        <v>57</v>
      </c>
      <c r="P16" s="38"/>
      <c r="Q16" s="42" t="s">
        <v>65</v>
      </c>
      <c r="R16" s="54" t="s">
        <v>167</v>
      </c>
    </row>
    <row r="17" spans="2:18" ht="30" customHeight="1">
      <c r="B17" s="56" t="s">
        <v>45</v>
      </c>
      <c r="C17" s="42" t="s">
        <v>168</v>
      </c>
      <c r="D17" s="40" t="s">
        <v>68</v>
      </c>
      <c r="E17" s="1" t="s">
        <v>48</v>
      </c>
      <c r="F17" s="139" t="s">
        <v>169</v>
      </c>
      <c r="G17" s="141"/>
      <c r="H17" s="136" t="s">
        <v>170</v>
      </c>
      <c r="I17" s="137"/>
      <c r="J17" s="138"/>
      <c r="K17" s="43">
        <v>44106</v>
      </c>
      <c r="L17" s="43">
        <v>44106</v>
      </c>
      <c r="M17" s="43">
        <v>44106</v>
      </c>
      <c r="N17" s="38">
        <v>100</v>
      </c>
      <c r="O17" s="1" t="s">
        <v>71</v>
      </c>
      <c r="P17" s="38" t="s">
        <v>52</v>
      </c>
      <c r="R17" s="54" t="s">
        <v>171</v>
      </c>
    </row>
    <row r="18" spans="2:18" ht="46.5" customHeight="1">
      <c r="B18" s="56" t="s">
        <v>45</v>
      </c>
      <c r="C18" s="40" t="s">
        <v>172</v>
      </c>
      <c r="D18" s="40" t="s">
        <v>173</v>
      </c>
      <c r="E18" s="38" t="s">
        <v>62</v>
      </c>
      <c r="F18" s="146" t="s">
        <v>174</v>
      </c>
      <c r="G18" s="147"/>
      <c r="H18" s="136" t="s">
        <v>135</v>
      </c>
      <c r="I18" s="137"/>
      <c r="J18" s="138"/>
      <c r="K18" s="43">
        <v>44106</v>
      </c>
      <c r="L18" s="43">
        <v>44106</v>
      </c>
      <c r="M18" s="43">
        <v>44106</v>
      </c>
      <c r="N18" s="38">
        <v>100</v>
      </c>
      <c r="O18" s="1" t="s">
        <v>57</v>
      </c>
      <c r="P18" s="38" t="s">
        <v>52</v>
      </c>
      <c r="R18" s="49" t="s">
        <v>175</v>
      </c>
    </row>
    <row r="19" spans="2:18" ht="42" customHeight="1">
      <c r="B19" s="56" t="s">
        <v>45</v>
      </c>
      <c r="C19" s="42" t="s">
        <v>176</v>
      </c>
      <c r="D19" s="40" t="s">
        <v>99</v>
      </c>
      <c r="E19" s="38" t="s">
        <v>79</v>
      </c>
      <c r="F19" s="144" t="s">
        <v>160</v>
      </c>
      <c r="G19" s="145"/>
      <c r="H19" s="136"/>
      <c r="I19" s="137"/>
      <c r="J19" s="138"/>
      <c r="K19" s="43">
        <v>44105</v>
      </c>
      <c r="L19" s="43">
        <v>44114</v>
      </c>
      <c r="M19" s="43">
        <v>44114</v>
      </c>
      <c r="N19" s="38">
        <v>25</v>
      </c>
      <c r="O19" s="47" t="s">
        <v>57</v>
      </c>
      <c r="P19" s="38" t="s">
        <v>177</v>
      </c>
      <c r="R19" s="49" t="s">
        <v>178</v>
      </c>
    </row>
    <row r="20" spans="2:18" ht="30" hidden="1" customHeight="1">
      <c r="B20" s="56" t="s">
        <v>45</v>
      </c>
      <c r="C20" s="42" t="s">
        <v>179</v>
      </c>
      <c r="D20" s="42" t="s">
        <v>105</v>
      </c>
      <c r="E20" s="38" t="s">
        <v>79</v>
      </c>
      <c r="F20" s="142" t="s">
        <v>180</v>
      </c>
      <c r="G20" s="143"/>
      <c r="H20" s="168" t="s">
        <v>123</v>
      </c>
      <c r="I20" s="137"/>
      <c r="J20" s="138"/>
      <c r="K20" s="43">
        <v>44123</v>
      </c>
      <c r="L20" s="43"/>
      <c r="M20" s="43"/>
      <c r="N20" s="38">
        <v>25</v>
      </c>
      <c r="O20" s="47" t="s">
        <v>57</v>
      </c>
      <c r="P20" s="38" t="s">
        <v>177</v>
      </c>
      <c r="R20" s="49" t="s">
        <v>181</v>
      </c>
    </row>
    <row r="21" spans="2:18" ht="59.25" customHeight="1">
      <c r="B21" s="56" t="s">
        <v>45</v>
      </c>
      <c r="C21" s="40" t="s">
        <v>182</v>
      </c>
      <c r="D21" s="40" t="s">
        <v>183</v>
      </c>
      <c r="E21" s="38" t="s">
        <v>79</v>
      </c>
      <c r="F21" s="142" t="s">
        <v>184</v>
      </c>
      <c r="G21" s="143"/>
      <c r="H21" s="136" t="s">
        <v>123</v>
      </c>
      <c r="I21" s="137"/>
      <c r="J21" s="138"/>
      <c r="K21" s="43">
        <v>44113</v>
      </c>
      <c r="L21" s="43">
        <v>44113</v>
      </c>
      <c r="M21" s="43">
        <v>44113</v>
      </c>
      <c r="N21" s="38">
        <v>100</v>
      </c>
      <c r="O21" s="47" t="s">
        <v>57</v>
      </c>
      <c r="P21" s="38" t="s">
        <v>52</v>
      </c>
      <c r="Q21" s="34" t="s">
        <v>88</v>
      </c>
      <c r="R21" s="49" t="s">
        <v>185</v>
      </c>
    </row>
    <row r="22" spans="2:18" ht="47.25" customHeight="1">
      <c r="B22" s="56" t="s">
        <v>45</v>
      </c>
      <c r="C22" s="40" t="s">
        <v>186</v>
      </c>
      <c r="D22" s="40" t="s">
        <v>187</v>
      </c>
      <c r="E22" s="38" t="s">
        <v>79</v>
      </c>
      <c r="F22" s="144" t="s">
        <v>188</v>
      </c>
      <c r="G22" s="145"/>
      <c r="H22" s="136" t="s">
        <v>170</v>
      </c>
      <c r="I22" s="137"/>
      <c r="J22" s="138"/>
      <c r="K22" s="43">
        <v>44106</v>
      </c>
      <c r="L22" s="43">
        <v>44106</v>
      </c>
      <c r="M22" s="43">
        <v>44106</v>
      </c>
      <c r="N22" s="38">
        <v>100</v>
      </c>
      <c r="O22" s="47" t="s">
        <v>57</v>
      </c>
      <c r="P22" s="38" t="s">
        <v>52</v>
      </c>
      <c r="R22" s="49" t="s">
        <v>161</v>
      </c>
    </row>
    <row r="23" spans="2:18" ht="43.5" customHeight="1">
      <c r="B23" s="56" t="s">
        <v>45</v>
      </c>
      <c r="C23" s="40" t="s">
        <v>189</v>
      </c>
      <c r="D23" s="40" t="s">
        <v>190</v>
      </c>
      <c r="E23" s="38" t="s">
        <v>79</v>
      </c>
      <c r="F23" s="142" t="s">
        <v>191</v>
      </c>
      <c r="G23" s="143"/>
      <c r="H23" s="136" t="s">
        <v>192</v>
      </c>
      <c r="I23" s="137"/>
      <c r="J23" s="138"/>
      <c r="K23" s="43">
        <v>44113</v>
      </c>
      <c r="L23" s="43">
        <v>44114</v>
      </c>
      <c r="M23" s="43">
        <v>44115</v>
      </c>
      <c r="N23" s="38">
        <v>100</v>
      </c>
      <c r="O23" s="47" t="s">
        <v>57</v>
      </c>
      <c r="P23" s="38" t="s">
        <v>52</v>
      </c>
      <c r="R23" s="55" t="s">
        <v>193</v>
      </c>
    </row>
    <row r="24" spans="2:18" ht="30" customHeight="1"/>
    <row r="25" spans="2:18" ht="30" customHeight="1"/>
    <row r="26" spans="2:18" ht="30" customHeight="1"/>
    <row r="27" spans="2:18" ht="30" customHeight="1"/>
    <row r="28" spans="2:18" ht="30" customHeight="1"/>
    <row r="29" spans="2:18" ht="30" customHeight="1"/>
    <row r="30" spans="2:18" ht="30" customHeight="1"/>
    <row r="31" spans="2:18" ht="30" customHeight="1"/>
    <row r="32" spans="2:18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</sheetData>
  <autoFilter ref="A13:XFC23" xr:uid="{00000000-0009-0000-0000-000006000000}">
    <filterColumn colId="5" showButton="0"/>
    <filterColumn colId="7" showButton="0"/>
    <filterColumn colId="8" showButton="0"/>
  </autoFilter>
  <mergeCells count="24">
    <mergeCell ref="F21:G21"/>
    <mergeCell ref="H21:J21"/>
    <mergeCell ref="F22:G22"/>
    <mergeCell ref="H22:J22"/>
    <mergeCell ref="F23:G23"/>
    <mergeCell ref="H23:J23"/>
    <mergeCell ref="F18:G18"/>
    <mergeCell ref="H18:J18"/>
    <mergeCell ref="F19:G19"/>
    <mergeCell ref="H19:J19"/>
    <mergeCell ref="F20:G20"/>
    <mergeCell ref="H20:J20"/>
    <mergeCell ref="F15:G15"/>
    <mergeCell ref="H15:J15"/>
    <mergeCell ref="F16:G16"/>
    <mergeCell ref="H16:J16"/>
    <mergeCell ref="F17:G17"/>
    <mergeCell ref="H17:J17"/>
    <mergeCell ref="B1:C4"/>
    <mergeCell ref="D1:Q4"/>
    <mergeCell ref="F13:G13"/>
    <mergeCell ref="H13:J13"/>
    <mergeCell ref="F14:G14"/>
    <mergeCell ref="H14:J14"/>
  </mergeCells>
  <conditionalFormatting sqref="N14:N23">
    <cfRule type="cellIs" dxfId="69" priority="2" operator="equal">
      <formula>100</formula>
    </cfRule>
  </conditionalFormatting>
  <conditionalFormatting sqref="P1:P13 P24:P1048576">
    <cfRule type="containsText" dxfId="68" priority="3" operator="containsText" text="RETRASADO">
      <formula>NOT(ISERROR(SEARCH("RETRASADO",P1)))</formula>
    </cfRule>
    <cfRule type="containsText" dxfId="67" priority="4" operator="containsText" text="EN PROCESO">
      <formula>NOT(ISERROR(SEARCH("EN PROCESO",P1)))</formula>
    </cfRule>
    <cfRule type="containsText" dxfId="66" priority="5" operator="containsText" text="CERRADO">
      <formula>NOT(ISERROR(SEARCH("CERRADO",P1)))</formula>
    </cfRule>
  </conditionalFormatting>
  <pageMargins left="0.17" right="0.17" top="0.37" bottom="0.4" header="0.31496062992125984" footer="0.17"/>
  <pageSetup paperSize="9" scale="7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FC65"/>
  <sheetViews>
    <sheetView topLeftCell="A20" workbookViewId="0">
      <selection activeCell="C24" sqref="C24"/>
    </sheetView>
  </sheetViews>
  <sheetFormatPr baseColWidth="10" defaultColWidth="11.42578125" defaultRowHeight="15"/>
  <cols>
    <col min="1" max="1" width="3.140625" style="1" customWidth="1"/>
    <col min="2" max="2" width="10.85546875" style="1" customWidth="1"/>
    <col min="3" max="3" width="34" style="1" customWidth="1"/>
    <col min="4" max="4" width="11.85546875" style="1" customWidth="1"/>
    <col min="5" max="5" width="10.140625" style="1" customWidth="1"/>
    <col min="6" max="6" width="14.28515625" style="1" customWidth="1"/>
    <col min="7" max="7" width="9.5703125" style="1" customWidth="1"/>
    <col min="8" max="8" width="9" style="1" customWidth="1"/>
    <col min="9" max="9" width="4.85546875" style="1" customWidth="1"/>
    <col min="10" max="10" width="5.5703125" style="1" customWidth="1"/>
    <col min="11" max="12" width="10.5703125" style="1" customWidth="1"/>
    <col min="13" max="13" width="11" style="1" customWidth="1"/>
    <col min="14" max="14" width="8.7109375" style="1" customWidth="1"/>
    <col min="15" max="15" width="8.28515625" style="1" customWidth="1"/>
    <col min="16" max="16" width="9.28515625" style="1" customWidth="1"/>
    <col min="17" max="17" width="9.140625" style="1" hidden="1" customWidth="1"/>
    <col min="18" max="18" width="20.140625" style="1" customWidth="1"/>
    <col min="19" max="16384" width="11.42578125" style="1"/>
  </cols>
  <sheetData>
    <row r="1" spans="1:16383" ht="15" customHeight="1">
      <c r="A1" s="13"/>
      <c r="B1" s="150"/>
      <c r="C1" s="151"/>
      <c r="D1" s="156" t="s">
        <v>30</v>
      </c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8"/>
      <c r="R1" s="27" t="s">
        <v>31</v>
      </c>
      <c r="S1" s="3"/>
    </row>
    <row r="2" spans="1:16383" ht="15" customHeight="1">
      <c r="A2" s="13"/>
      <c r="B2" s="152"/>
      <c r="C2" s="153"/>
      <c r="D2" s="159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1"/>
      <c r="R2" s="28" t="s">
        <v>32</v>
      </c>
      <c r="S2" s="3"/>
    </row>
    <row r="3" spans="1:16383" ht="15" customHeight="1">
      <c r="A3" s="13"/>
      <c r="B3" s="152"/>
      <c r="C3" s="153"/>
      <c r="D3" s="159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1"/>
      <c r="R3" s="28" t="s">
        <v>33</v>
      </c>
      <c r="S3" s="3"/>
    </row>
    <row r="4" spans="1:16383" ht="15" customHeight="1">
      <c r="A4" s="13"/>
      <c r="B4" s="154"/>
      <c r="C4" s="155"/>
      <c r="D4" s="162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/>
      <c r="R4" s="29" t="s">
        <v>34</v>
      </c>
      <c r="S4" s="3"/>
    </row>
    <row r="5" spans="1:16383" ht="25.5" customHeight="1">
      <c r="A5" s="13"/>
      <c r="B5" s="14"/>
      <c r="C5" s="14"/>
      <c r="D5" s="15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5"/>
      <c r="S5" s="3"/>
    </row>
    <row r="6" spans="1:16383" ht="31.5" customHeight="1">
      <c r="A6" s="13"/>
      <c r="B6" s="16" t="s">
        <v>1</v>
      </c>
      <c r="C6" s="45" t="s">
        <v>194</v>
      </c>
      <c r="D6" s="6"/>
      <c r="E6" s="6" t="s">
        <v>2</v>
      </c>
      <c r="F6" s="50">
        <v>44139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13"/>
      <c r="S6" s="3"/>
    </row>
    <row r="7" spans="1:16383" ht="12.75" customHeight="1">
      <c r="A7" s="13"/>
      <c r="B7" s="17"/>
      <c r="C7" s="17"/>
      <c r="D7" s="21"/>
      <c r="E7" s="21"/>
      <c r="F7" s="26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13"/>
      <c r="S7" s="3"/>
    </row>
    <row r="8" spans="1:16383" ht="33" customHeight="1">
      <c r="A8" s="13"/>
      <c r="B8" s="18" t="s">
        <v>36</v>
      </c>
      <c r="C8" s="44" t="s">
        <v>195</v>
      </c>
      <c r="D8" s="6"/>
      <c r="E8" s="6" t="s">
        <v>4</v>
      </c>
      <c r="F8" s="51">
        <f ca="1">TODAY()</f>
        <v>45898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13"/>
      <c r="S8" s="3"/>
    </row>
    <row r="9" spans="1:16383" ht="37.5" customHeight="1">
      <c r="A9" s="13"/>
      <c r="B9" s="19" t="s">
        <v>1</v>
      </c>
      <c r="C9" s="13"/>
      <c r="D9" s="13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13"/>
      <c r="S9" s="3"/>
    </row>
    <row r="10" spans="1:16383" ht="14.25" customHeight="1" thickBot="1">
      <c r="A10" s="13"/>
      <c r="B10" s="20"/>
      <c r="C10" s="21"/>
      <c r="D10" s="21"/>
      <c r="E10" s="21"/>
      <c r="F10" s="21"/>
      <c r="G10" s="21"/>
      <c r="H10" s="7"/>
      <c r="I10" s="8" t="s">
        <v>39</v>
      </c>
      <c r="J10" s="8" t="s">
        <v>40</v>
      </c>
      <c r="K10" s="8" t="s">
        <v>41</v>
      </c>
      <c r="L10" s="8" t="s">
        <v>42</v>
      </c>
      <c r="M10" s="8" t="s">
        <v>9</v>
      </c>
      <c r="N10" s="21"/>
      <c r="O10" s="21"/>
      <c r="P10" s="21"/>
      <c r="Q10" s="21"/>
      <c r="R10" s="13"/>
      <c r="S10" s="3"/>
    </row>
    <row r="11" spans="1:16383" ht="14.25" customHeight="1" thickBot="1">
      <c r="A11" s="13"/>
      <c r="B11" s="22" t="s">
        <v>13</v>
      </c>
      <c r="C11" s="13"/>
      <c r="D11" s="13"/>
      <c r="E11" s="20"/>
      <c r="F11" s="13"/>
      <c r="G11" s="13"/>
      <c r="H11" s="52" t="s">
        <v>14</v>
      </c>
      <c r="I11" s="9">
        <f>COUNTIF(P14:Q24,"CERRADO")</f>
        <v>5</v>
      </c>
      <c r="J11" s="10">
        <f>COUNTIF(P14:P24,"EN PROCESO")</f>
        <v>4</v>
      </c>
      <c r="K11" s="11">
        <f>COUNTIF(P14:P24,"RETRASADO")</f>
        <v>0</v>
      </c>
      <c r="L11" s="9">
        <f>SUM(I11:K11)</f>
        <v>9</v>
      </c>
      <c r="M11" s="12">
        <f>I11/L11</f>
        <v>0.55555555555555558</v>
      </c>
      <c r="N11" s="13"/>
      <c r="O11" s="13"/>
      <c r="P11" s="13"/>
      <c r="Q11" s="13"/>
      <c r="R11" s="13"/>
      <c r="S11" s="3"/>
    </row>
    <row r="12" spans="1:16383" ht="9" customHeight="1">
      <c r="A12" s="13"/>
      <c r="B12" s="20"/>
      <c r="C12" s="13"/>
      <c r="D12" s="13"/>
      <c r="E12" s="13"/>
      <c r="F12" s="13"/>
      <c r="G12" s="13"/>
      <c r="H12" s="24"/>
      <c r="I12" s="4"/>
      <c r="J12" s="4"/>
      <c r="K12" s="4"/>
      <c r="L12" s="4"/>
      <c r="M12" s="25"/>
      <c r="N12" s="13"/>
      <c r="O12" s="13"/>
      <c r="P12" s="13"/>
      <c r="Q12" s="13"/>
      <c r="R12" s="13"/>
      <c r="S12" s="3"/>
    </row>
    <row r="13" spans="1:16383" ht="46.5" customHeight="1">
      <c r="A13" s="4"/>
      <c r="B13" s="57" t="s">
        <v>17</v>
      </c>
      <c r="C13" s="36" t="s">
        <v>43</v>
      </c>
      <c r="D13" s="36" t="s">
        <v>19</v>
      </c>
      <c r="E13" s="36" t="s">
        <v>20</v>
      </c>
      <c r="F13" s="165" t="s">
        <v>21</v>
      </c>
      <c r="G13" s="165"/>
      <c r="H13" s="166" t="s">
        <v>22</v>
      </c>
      <c r="I13" s="166"/>
      <c r="J13" s="166"/>
      <c r="K13" s="30" t="s">
        <v>23</v>
      </c>
      <c r="L13" s="30" t="s">
        <v>24</v>
      </c>
      <c r="M13" s="30" t="s">
        <v>25</v>
      </c>
      <c r="N13" s="31" t="s">
        <v>9</v>
      </c>
      <c r="O13" s="31" t="s">
        <v>26</v>
      </c>
      <c r="P13" s="31" t="s">
        <v>27</v>
      </c>
      <c r="Q13" s="23" t="s">
        <v>44</v>
      </c>
      <c r="R13" s="31" t="s">
        <v>29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</row>
    <row r="14" spans="1:16383" ht="107.25" customHeight="1">
      <c r="B14" s="56" t="s">
        <v>196</v>
      </c>
      <c r="C14" s="39" t="s">
        <v>197</v>
      </c>
      <c r="D14" s="34" t="s">
        <v>198</v>
      </c>
      <c r="E14" s="33" t="s">
        <v>79</v>
      </c>
      <c r="F14" s="167" t="s">
        <v>199</v>
      </c>
      <c r="G14" s="149"/>
      <c r="H14" s="139" t="s">
        <v>64</v>
      </c>
      <c r="I14" s="140"/>
      <c r="J14" s="141"/>
      <c r="K14" s="43"/>
      <c r="L14" s="43"/>
      <c r="M14" s="43"/>
      <c r="N14" s="38">
        <v>100</v>
      </c>
      <c r="O14" s="48">
        <v>100</v>
      </c>
      <c r="P14" s="38" t="s">
        <v>200</v>
      </c>
      <c r="Q14" s="33"/>
      <c r="R14" s="49" t="s">
        <v>201</v>
      </c>
    </row>
    <row r="15" spans="1:16383" ht="73.5" customHeight="1">
      <c r="B15" s="56" t="s">
        <v>202</v>
      </c>
      <c r="C15" s="39" t="s">
        <v>203</v>
      </c>
      <c r="D15" s="34" t="s">
        <v>173</v>
      </c>
      <c r="E15" s="33" t="s">
        <v>79</v>
      </c>
      <c r="F15" s="148" t="s">
        <v>204</v>
      </c>
      <c r="G15" s="149"/>
      <c r="H15" s="139" t="s">
        <v>64</v>
      </c>
      <c r="I15" s="140"/>
      <c r="J15" s="141"/>
      <c r="K15" s="43"/>
      <c r="L15" s="43">
        <v>44153</v>
      </c>
      <c r="M15" s="43"/>
      <c r="N15" s="38"/>
      <c r="O15" s="47"/>
      <c r="P15" s="38" t="s">
        <v>40</v>
      </c>
      <c r="Q15" s="40"/>
      <c r="R15" s="46" t="s">
        <v>205</v>
      </c>
    </row>
    <row r="16" spans="1:16383" ht="75" hidden="1" customHeight="1">
      <c r="B16" s="56"/>
      <c r="C16" s="39"/>
      <c r="D16" s="40"/>
      <c r="E16" s="38"/>
      <c r="F16" s="167"/>
      <c r="G16" s="149"/>
      <c r="H16" s="139"/>
      <c r="I16" s="140"/>
      <c r="J16" s="141"/>
      <c r="K16" s="43"/>
      <c r="L16" s="43"/>
      <c r="M16" s="43"/>
      <c r="N16" s="38"/>
      <c r="O16" s="47"/>
      <c r="P16" s="38"/>
      <c r="Q16" s="42"/>
      <c r="R16" s="54"/>
    </row>
    <row r="17" spans="2:18" ht="46.5" customHeight="1">
      <c r="B17" s="56" t="s">
        <v>202</v>
      </c>
      <c r="C17" s="42" t="s">
        <v>206</v>
      </c>
      <c r="D17" s="34" t="s">
        <v>78</v>
      </c>
      <c r="E17" s="33" t="s">
        <v>48</v>
      </c>
      <c r="F17" s="139" t="s">
        <v>207</v>
      </c>
      <c r="G17" s="141"/>
      <c r="H17" s="136" t="s">
        <v>64</v>
      </c>
      <c r="I17" s="137"/>
      <c r="J17" s="138"/>
      <c r="K17" s="43"/>
      <c r="L17" s="43"/>
      <c r="M17" s="43"/>
      <c r="N17" s="38">
        <v>100</v>
      </c>
      <c r="P17" s="38" t="s">
        <v>200</v>
      </c>
      <c r="R17" s="54" t="s">
        <v>208</v>
      </c>
    </row>
    <row r="18" spans="2:18" ht="58.5" customHeight="1">
      <c r="B18" s="56" t="s">
        <v>202</v>
      </c>
      <c r="C18" s="40" t="s">
        <v>209</v>
      </c>
      <c r="D18" s="34" t="s">
        <v>210</v>
      </c>
      <c r="E18" s="33" t="s">
        <v>211</v>
      </c>
      <c r="F18" s="142" t="s">
        <v>160</v>
      </c>
      <c r="G18" s="143"/>
      <c r="H18" s="136" t="s">
        <v>64</v>
      </c>
      <c r="I18" s="137"/>
      <c r="J18" s="138"/>
      <c r="K18" s="43"/>
      <c r="L18" s="43"/>
      <c r="M18" s="43"/>
      <c r="N18" s="38"/>
      <c r="P18" s="38" t="s">
        <v>40</v>
      </c>
      <c r="R18" s="49"/>
    </row>
    <row r="19" spans="2:18" ht="42" customHeight="1">
      <c r="B19" s="56" t="s">
        <v>202</v>
      </c>
      <c r="C19" s="42" t="s">
        <v>212</v>
      </c>
      <c r="D19" s="34" t="s">
        <v>213</v>
      </c>
      <c r="E19" s="33" t="s">
        <v>211</v>
      </c>
      <c r="F19" s="142" t="s">
        <v>214</v>
      </c>
      <c r="G19" s="143"/>
      <c r="H19" s="136" t="s">
        <v>64</v>
      </c>
      <c r="I19" s="137"/>
      <c r="J19" s="138"/>
      <c r="K19" s="43"/>
      <c r="L19" s="43"/>
      <c r="M19" s="43"/>
      <c r="N19" s="38"/>
      <c r="O19" s="47"/>
      <c r="P19" s="38" t="s">
        <v>215</v>
      </c>
      <c r="R19" s="49"/>
    </row>
    <row r="20" spans="2:18" ht="30" customHeight="1">
      <c r="B20" s="56"/>
      <c r="C20" s="42" t="s">
        <v>216</v>
      </c>
      <c r="D20" s="69" t="s">
        <v>217</v>
      </c>
      <c r="E20" s="38" t="s">
        <v>62</v>
      </c>
      <c r="F20" s="142" t="s">
        <v>218</v>
      </c>
      <c r="G20" s="143"/>
      <c r="H20" s="168" t="s">
        <v>219</v>
      </c>
      <c r="I20" s="137"/>
      <c r="J20" s="138"/>
      <c r="K20" s="43"/>
      <c r="L20" s="43"/>
      <c r="M20" s="43"/>
      <c r="N20" s="38">
        <v>100</v>
      </c>
      <c r="O20" s="47"/>
      <c r="P20" s="38" t="s">
        <v>200</v>
      </c>
      <c r="R20" s="49"/>
    </row>
    <row r="21" spans="2:18" ht="59.25" customHeight="1">
      <c r="B21" s="56" t="s">
        <v>220</v>
      </c>
      <c r="C21" s="40" t="s">
        <v>221</v>
      </c>
      <c r="D21" s="34" t="s">
        <v>121</v>
      </c>
      <c r="E21" s="38" t="s">
        <v>222</v>
      </c>
      <c r="F21" s="142" t="s">
        <v>223</v>
      </c>
      <c r="G21" s="143"/>
      <c r="H21" s="136" t="s">
        <v>117</v>
      </c>
      <c r="I21" s="137"/>
      <c r="J21" s="138"/>
      <c r="K21" s="43"/>
      <c r="L21" s="43"/>
      <c r="M21" s="43"/>
      <c r="N21" s="38">
        <v>100</v>
      </c>
      <c r="O21" s="47"/>
      <c r="P21" s="38" t="s">
        <v>200</v>
      </c>
      <c r="Q21" s="34"/>
      <c r="R21" s="49" t="s">
        <v>224</v>
      </c>
    </row>
    <row r="22" spans="2:18" ht="55.5" customHeight="1">
      <c r="B22" s="56" t="s">
        <v>225</v>
      </c>
      <c r="C22" s="40" t="s">
        <v>226</v>
      </c>
      <c r="D22" s="34" t="s">
        <v>129</v>
      </c>
      <c r="E22" s="38" t="s">
        <v>222</v>
      </c>
      <c r="F22" s="142" t="s">
        <v>227</v>
      </c>
      <c r="G22" s="143"/>
      <c r="H22" s="136" t="s">
        <v>64</v>
      </c>
      <c r="I22" s="137"/>
      <c r="J22" s="138"/>
      <c r="K22" s="43"/>
      <c r="L22" s="43"/>
      <c r="M22" s="43"/>
      <c r="N22" s="38">
        <v>100</v>
      </c>
      <c r="O22" s="47"/>
      <c r="P22" s="38" t="s">
        <v>200</v>
      </c>
      <c r="R22" s="49"/>
    </row>
    <row r="23" spans="2:18" ht="43.5" customHeight="1">
      <c r="B23" s="56"/>
      <c r="C23" s="40" t="s">
        <v>228</v>
      </c>
      <c r="D23" s="34" t="s">
        <v>137</v>
      </c>
      <c r="E23" s="38" t="s">
        <v>222</v>
      </c>
      <c r="F23" s="142" t="s">
        <v>229</v>
      </c>
      <c r="G23" s="143"/>
      <c r="H23" s="136" t="s">
        <v>95</v>
      </c>
      <c r="I23" s="137"/>
      <c r="J23" s="138"/>
      <c r="K23" s="43"/>
      <c r="L23" s="43"/>
      <c r="M23" s="43"/>
      <c r="N23" s="38"/>
      <c r="O23" s="47"/>
      <c r="P23" s="38" t="s">
        <v>40</v>
      </c>
      <c r="R23" s="55"/>
    </row>
    <row r="24" spans="2:18" ht="30" customHeight="1">
      <c r="C24" s="42" t="s">
        <v>230</v>
      </c>
      <c r="D24" s="69" t="s">
        <v>141</v>
      </c>
      <c r="E24" s="1" t="s">
        <v>222</v>
      </c>
      <c r="F24" s="169" t="s">
        <v>231</v>
      </c>
      <c r="G24" s="170"/>
      <c r="H24" s="136" t="s">
        <v>95</v>
      </c>
      <c r="I24" s="137"/>
      <c r="J24" s="138"/>
      <c r="P24" s="38" t="s">
        <v>40</v>
      </c>
    </row>
    <row r="25" spans="2:18" ht="30" customHeight="1"/>
    <row r="26" spans="2:18" ht="30" customHeight="1"/>
    <row r="27" spans="2:18" ht="30" customHeight="1"/>
    <row r="28" spans="2:18" ht="30" customHeight="1"/>
    <row r="29" spans="2:18" ht="30" customHeight="1"/>
    <row r="30" spans="2:18" ht="30" customHeight="1"/>
    <row r="31" spans="2:18" ht="30" customHeight="1"/>
    <row r="32" spans="2:18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</sheetData>
  <autoFilter ref="A13:XFC23" xr:uid="{00000000-0009-0000-0000-000007000000}">
    <filterColumn colId="5" showButton="0"/>
    <filterColumn colId="7" showButton="0"/>
    <filterColumn colId="8" showButton="0"/>
  </autoFilter>
  <mergeCells count="26">
    <mergeCell ref="H24:J24"/>
    <mergeCell ref="F24:G24"/>
    <mergeCell ref="F21:G21"/>
    <mergeCell ref="H21:J21"/>
    <mergeCell ref="F22:G22"/>
    <mergeCell ref="H22:J22"/>
    <mergeCell ref="F23:G23"/>
    <mergeCell ref="H23:J23"/>
    <mergeCell ref="F18:G18"/>
    <mergeCell ref="H18:J18"/>
    <mergeCell ref="F19:G19"/>
    <mergeCell ref="H19:J19"/>
    <mergeCell ref="F20:G20"/>
    <mergeCell ref="H20:J20"/>
    <mergeCell ref="F15:G15"/>
    <mergeCell ref="H15:J15"/>
    <mergeCell ref="F16:G16"/>
    <mergeCell ref="H16:J16"/>
    <mergeCell ref="F17:G17"/>
    <mergeCell ref="H17:J17"/>
    <mergeCell ref="B1:C4"/>
    <mergeCell ref="D1:Q4"/>
    <mergeCell ref="F13:G13"/>
    <mergeCell ref="H13:J13"/>
    <mergeCell ref="F14:G14"/>
    <mergeCell ref="H14:J14"/>
  </mergeCells>
  <conditionalFormatting sqref="N14:N23">
    <cfRule type="cellIs" dxfId="65" priority="1" operator="equal">
      <formula>100</formula>
    </cfRule>
  </conditionalFormatting>
  <conditionalFormatting sqref="P1:P13 P25:P1048576">
    <cfRule type="containsText" dxfId="64" priority="2" operator="containsText" text="RETRASADO">
      <formula>NOT(ISERROR(SEARCH("RETRASADO",P1)))</formula>
    </cfRule>
    <cfRule type="containsText" dxfId="63" priority="3" operator="containsText" text="EN PROCESO">
      <formula>NOT(ISERROR(SEARCH("EN PROCESO",P1)))</formula>
    </cfRule>
    <cfRule type="containsText" dxfId="62" priority="4" operator="containsText" text="CERRADO">
      <formula>NOT(ISERROR(SEARCH("CERRADO",P1)))</formula>
    </cfRule>
  </conditionalFormatting>
  <pageMargins left="0.17" right="0.17" top="0.37" bottom="0.4" header="0.31496062992125984" footer="0.17"/>
  <pageSetup paperSize="9" scale="7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9D24-CE76-41EA-9237-6459AD54C978}">
  <dimension ref="A1:XFC26"/>
  <sheetViews>
    <sheetView topLeftCell="B25" workbookViewId="0">
      <selection activeCell="H13" sqref="H13:J13"/>
    </sheetView>
  </sheetViews>
  <sheetFormatPr baseColWidth="10" defaultColWidth="11.42578125" defaultRowHeight="15"/>
  <cols>
    <col min="1" max="1" width="3.140625" style="1" customWidth="1"/>
    <col min="2" max="2" width="10" style="1" customWidth="1"/>
    <col min="3" max="3" width="34" style="1" customWidth="1"/>
    <col min="4" max="4" width="11.85546875" style="1" customWidth="1"/>
    <col min="5" max="5" width="10.140625" style="1" customWidth="1"/>
    <col min="6" max="6" width="14.28515625" style="1" customWidth="1"/>
    <col min="7" max="7" width="9.5703125" style="1" customWidth="1"/>
    <col min="8" max="8" width="9" style="1" customWidth="1"/>
    <col min="9" max="9" width="4.85546875" style="1" customWidth="1"/>
    <col min="10" max="10" width="5.5703125" style="1" customWidth="1"/>
    <col min="11" max="12" width="10.5703125" style="1" customWidth="1"/>
    <col min="13" max="13" width="11" style="1" customWidth="1"/>
    <col min="14" max="14" width="8.7109375" style="75" customWidth="1"/>
    <col min="15" max="15" width="8.28515625" style="1" customWidth="1"/>
    <col min="16" max="16" width="9.28515625" style="1" customWidth="1"/>
    <col min="17" max="17" width="9.140625" style="1" hidden="1" customWidth="1"/>
    <col min="18" max="18" width="20.140625" style="1" customWidth="1"/>
    <col min="19" max="16384" width="11.42578125" style="1"/>
  </cols>
  <sheetData>
    <row r="1" spans="1:16383" ht="15" customHeight="1">
      <c r="A1" s="13"/>
      <c r="B1" s="150"/>
      <c r="C1" s="151"/>
      <c r="D1" s="156" t="s">
        <v>30</v>
      </c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8"/>
      <c r="R1" s="27" t="s">
        <v>31</v>
      </c>
      <c r="S1" s="3"/>
    </row>
    <row r="2" spans="1:16383" ht="15" customHeight="1">
      <c r="A2" s="13"/>
      <c r="B2" s="152"/>
      <c r="C2" s="153"/>
      <c r="D2" s="159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1"/>
      <c r="R2" s="28" t="s">
        <v>32</v>
      </c>
      <c r="S2" s="3"/>
    </row>
    <row r="3" spans="1:16383" ht="15" customHeight="1">
      <c r="A3" s="13"/>
      <c r="B3" s="152"/>
      <c r="C3" s="153"/>
      <c r="D3" s="159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1"/>
      <c r="R3" s="28" t="s">
        <v>33</v>
      </c>
      <c r="S3" s="3"/>
    </row>
    <row r="4" spans="1:16383" ht="15" customHeight="1">
      <c r="A4" s="13"/>
      <c r="B4" s="154"/>
      <c r="C4" s="155"/>
      <c r="D4" s="162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/>
      <c r="R4" s="29" t="s">
        <v>34</v>
      </c>
      <c r="S4" s="3"/>
    </row>
    <row r="5" spans="1:16383" ht="25.5" customHeight="1">
      <c r="A5" s="13"/>
      <c r="B5" s="14"/>
      <c r="C5" s="14"/>
      <c r="D5" s="15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5"/>
      <c r="S5" s="3"/>
    </row>
    <row r="6" spans="1:16383" ht="31.5" customHeight="1">
      <c r="A6" s="13"/>
      <c r="B6" s="16" t="s">
        <v>1</v>
      </c>
      <c r="C6" s="78" t="s">
        <v>232</v>
      </c>
      <c r="D6" s="6"/>
      <c r="E6" s="6" t="s">
        <v>2</v>
      </c>
      <c r="F6" s="50">
        <v>44229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13"/>
      <c r="S6" s="3"/>
    </row>
    <row r="7" spans="1:16383" ht="12.75" customHeight="1">
      <c r="A7" s="13"/>
      <c r="B7" s="17"/>
      <c r="C7" s="17"/>
      <c r="D7" s="21"/>
      <c r="E7" s="21"/>
      <c r="F7" s="26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13"/>
      <c r="S7" s="3"/>
    </row>
    <row r="8" spans="1:16383" ht="33" customHeight="1">
      <c r="A8" s="13"/>
      <c r="B8" s="18" t="s">
        <v>36</v>
      </c>
      <c r="C8" s="80" t="s">
        <v>233</v>
      </c>
      <c r="D8" s="6"/>
      <c r="E8" s="6" t="s">
        <v>4</v>
      </c>
      <c r="F8" s="50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13"/>
      <c r="S8" s="3"/>
    </row>
    <row r="9" spans="1:16383" ht="37.5" customHeight="1">
      <c r="A9" s="13"/>
      <c r="B9" s="19" t="s">
        <v>1</v>
      </c>
      <c r="C9" s="13"/>
      <c r="D9" s="13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13"/>
      <c r="S9" s="3"/>
    </row>
    <row r="10" spans="1:16383" ht="14.25" customHeight="1" thickBot="1">
      <c r="A10" s="13"/>
      <c r="B10" s="20"/>
      <c r="C10" s="21"/>
      <c r="D10" s="21"/>
      <c r="E10" s="21"/>
      <c r="F10" s="21"/>
      <c r="G10" s="21"/>
      <c r="H10" s="7"/>
      <c r="I10" s="8" t="s">
        <v>39</v>
      </c>
      <c r="J10" s="8" t="s">
        <v>40</v>
      </c>
      <c r="K10" s="8" t="s">
        <v>41</v>
      </c>
      <c r="L10" s="8" t="s">
        <v>42</v>
      </c>
      <c r="M10" s="8" t="s">
        <v>9</v>
      </c>
      <c r="N10" s="21"/>
      <c r="O10" s="21"/>
      <c r="P10" s="21"/>
      <c r="Q10" s="21"/>
      <c r="R10" s="13"/>
      <c r="S10" s="3"/>
    </row>
    <row r="11" spans="1:16383" ht="14.25" customHeight="1" thickBot="1">
      <c r="A11" s="13"/>
      <c r="B11" s="22" t="s">
        <v>13</v>
      </c>
      <c r="C11" s="13"/>
      <c r="D11" s="13"/>
      <c r="E11" s="20"/>
      <c r="F11" s="13"/>
      <c r="G11" s="13"/>
      <c r="H11" s="52" t="s">
        <v>14</v>
      </c>
      <c r="I11" s="9">
        <v>13</v>
      </c>
      <c r="J11" s="10">
        <f>COUNTIF(P14:P22,"EN PROCESO")</f>
        <v>0</v>
      </c>
      <c r="K11" s="11">
        <v>0</v>
      </c>
      <c r="L11" s="9">
        <f>SUM(I11:K11)</f>
        <v>13</v>
      </c>
      <c r="M11" s="12">
        <f>I11/L11</f>
        <v>1</v>
      </c>
      <c r="N11" s="77"/>
      <c r="O11" s="13"/>
      <c r="P11" s="13"/>
      <c r="Q11" s="13"/>
      <c r="R11" s="13"/>
      <c r="S11" s="3"/>
    </row>
    <row r="12" spans="1:16383" ht="9" customHeight="1">
      <c r="A12" s="13"/>
      <c r="B12" s="20"/>
      <c r="C12" s="13"/>
      <c r="D12" s="13"/>
      <c r="E12" s="13"/>
      <c r="F12" s="13"/>
      <c r="G12" s="13"/>
      <c r="H12" s="24"/>
      <c r="I12" s="4"/>
      <c r="J12" s="4"/>
      <c r="K12" s="4"/>
      <c r="L12" s="4"/>
      <c r="M12" s="25"/>
      <c r="N12" s="77"/>
      <c r="O12" s="13"/>
      <c r="P12" s="13"/>
      <c r="Q12" s="13"/>
      <c r="R12" s="13"/>
      <c r="S12" s="3"/>
    </row>
    <row r="13" spans="1:16383" ht="46.5" customHeight="1">
      <c r="A13" s="4"/>
      <c r="B13" s="57" t="s">
        <v>17</v>
      </c>
      <c r="C13" s="36" t="s">
        <v>43</v>
      </c>
      <c r="D13" s="36" t="s">
        <v>19</v>
      </c>
      <c r="E13" s="36" t="s">
        <v>20</v>
      </c>
      <c r="F13" s="165" t="s">
        <v>21</v>
      </c>
      <c r="G13" s="165"/>
      <c r="H13" s="166" t="s">
        <v>22</v>
      </c>
      <c r="I13" s="166"/>
      <c r="J13" s="166"/>
      <c r="K13" s="30" t="s">
        <v>23</v>
      </c>
      <c r="L13" s="30" t="s">
        <v>24</v>
      </c>
      <c r="M13" s="30" t="s">
        <v>25</v>
      </c>
      <c r="N13" s="31" t="s">
        <v>9</v>
      </c>
      <c r="O13" s="31" t="s">
        <v>26</v>
      </c>
      <c r="P13" s="31" t="s">
        <v>27</v>
      </c>
      <c r="Q13" s="23" t="s">
        <v>44</v>
      </c>
      <c r="R13" s="31" t="s">
        <v>29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</row>
    <row r="14" spans="1:16383" ht="45" customHeight="1">
      <c r="B14" s="74" t="s">
        <v>45</v>
      </c>
      <c r="C14" s="64" t="s">
        <v>234</v>
      </c>
      <c r="D14" s="34" t="s">
        <v>235</v>
      </c>
      <c r="E14" s="33" t="s">
        <v>38</v>
      </c>
      <c r="F14" s="167" t="s">
        <v>236</v>
      </c>
      <c r="G14" s="149"/>
      <c r="H14" s="139" t="s">
        <v>64</v>
      </c>
      <c r="I14" s="140"/>
      <c r="J14" s="141"/>
      <c r="K14" s="43">
        <v>44319</v>
      </c>
      <c r="L14" s="43">
        <v>44319</v>
      </c>
      <c r="M14" s="43">
        <v>44319</v>
      </c>
      <c r="N14" s="72">
        <v>100</v>
      </c>
      <c r="O14" s="40" t="s">
        <v>237</v>
      </c>
      <c r="P14" s="38" t="s">
        <v>238</v>
      </c>
      <c r="Q14" s="33"/>
      <c r="R14" s="49"/>
    </row>
    <row r="15" spans="1:16383" ht="45" customHeight="1">
      <c r="B15" s="74" t="s">
        <v>45</v>
      </c>
      <c r="C15" s="64" t="s">
        <v>239</v>
      </c>
      <c r="D15" s="34" t="s">
        <v>235</v>
      </c>
      <c r="E15" s="33" t="s">
        <v>38</v>
      </c>
      <c r="F15" s="148" t="s">
        <v>240</v>
      </c>
      <c r="G15" s="149"/>
      <c r="H15" s="139" t="s">
        <v>64</v>
      </c>
      <c r="I15" s="140"/>
      <c r="J15" s="141"/>
      <c r="K15" s="43">
        <v>44228</v>
      </c>
      <c r="L15" s="43">
        <v>44228</v>
      </c>
      <c r="M15" s="43">
        <v>44228</v>
      </c>
      <c r="N15" s="33">
        <v>100</v>
      </c>
      <c r="O15" s="40" t="s">
        <v>237</v>
      </c>
      <c r="P15" s="38" t="s">
        <v>238</v>
      </c>
      <c r="Q15" s="40"/>
      <c r="R15" s="46" t="s">
        <v>241</v>
      </c>
    </row>
    <row r="16" spans="1:16383" ht="46.5" customHeight="1">
      <c r="B16" s="74" t="s">
        <v>45</v>
      </c>
      <c r="C16" s="64" t="s">
        <v>242</v>
      </c>
      <c r="D16" s="34" t="s">
        <v>235</v>
      </c>
      <c r="E16" s="33" t="s">
        <v>38</v>
      </c>
      <c r="F16" s="167" t="s">
        <v>243</v>
      </c>
      <c r="G16" s="171"/>
      <c r="H16" s="136" t="s">
        <v>64</v>
      </c>
      <c r="I16" s="137"/>
      <c r="J16" s="138"/>
      <c r="K16" s="43">
        <v>44319</v>
      </c>
      <c r="L16" s="43">
        <v>44319</v>
      </c>
      <c r="M16" s="43">
        <v>44319</v>
      </c>
      <c r="N16" s="33">
        <v>100</v>
      </c>
      <c r="O16" s="40" t="s">
        <v>237</v>
      </c>
      <c r="P16" s="38" t="s">
        <v>238</v>
      </c>
      <c r="R16" s="54" t="s">
        <v>244</v>
      </c>
    </row>
    <row r="17" spans="2:18" ht="42" customHeight="1">
      <c r="B17" s="74" t="s">
        <v>45</v>
      </c>
      <c r="C17" s="64" t="s">
        <v>245</v>
      </c>
      <c r="D17" s="34" t="s">
        <v>235</v>
      </c>
      <c r="E17" s="33" t="s">
        <v>38</v>
      </c>
      <c r="F17" s="167" t="s">
        <v>240</v>
      </c>
      <c r="G17" s="171"/>
      <c r="H17" s="136" t="s">
        <v>64</v>
      </c>
      <c r="I17" s="137"/>
      <c r="J17" s="138"/>
      <c r="K17" s="43"/>
      <c r="L17" s="43"/>
      <c r="M17" s="43"/>
      <c r="N17" s="33">
        <v>100</v>
      </c>
      <c r="O17" s="40" t="s">
        <v>237</v>
      </c>
      <c r="P17" s="38" t="s">
        <v>246</v>
      </c>
      <c r="R17" s="49" t="s">
        <v>247</v>
      </c>
    </row>
    <row r="18" spans="2:18" ht="30" customHeight="1">
      <c r="B18" s="74" t="s">
        <v>45</v>
      </c>
      <c r="C18" s="76" t="s">
        <v>248</v>
      </c>
      <c r="D18" s="34" t="s">
        <v>249</v>
      </c>
      <c r="E18" s="33" t="s">
        <v>38</v>
      </c>
      <c r="F18" s="167" t="s">
        <v>250</v>
      </c>
      <c r="G18" s="171"/>
      <c r="H18" s="168" t="s">
        <v>64</v>
      </c>
      <c r="I18" s="137"/>
      <c r="J18" s="138"/>
      <c r="K18" s="43">
        <v>44249</v>
      </c>
      <c r="L18" s="43">
        <v>44249</v>
      </c>
      <c r="M18" s="43">
        <v>44249</v>
      </c>
      <c r="N18" s="33">
        <v>100</v>
      </c>
      <c r="O18" s="40" t="s">
        <v>237</v>
      </c>
      <c r="P18" s="38" t="s">
        <v>238</v>
      </c>
      <c r="R18" s="49" t="s">
        <v>251</v>
      </c>
    </row>
    <row r="19" spans="2:18" ht="80.25" customHeight="1">
      <c r="B19" s="74" t="s">
        <v>45</v>
      </c>
      <c r="C19" s="64" t="s">
        <v>252</v>
      </c>
      <c r="D19" s="34" t="s">
        <v>249</v>
      </c>
      <c r="E19" s="33" t="s">
        <v>38</v>
      </c>
      <c r="F19" s="167" t="s">
        <v>253</v>
      </c>
      <c r="G19" s="171"/>
      <c r="H19" s="136" t="s">
        <v>64</v>
      </c>
      <c r="I19" s="137"/>
      <c r="J19" s="138"/>
      <c r="K19" s="43">
        <v>44235</v>
      </c>
      <c r="L19" s="43">
        <v>44235</v>
      </c>
      <c r="M19" s="43">
        <v>44235</v>
      </c>
      <c r="N19" s="33">
        <v>100</v>
      </c>
      <c r="O19" s="40" t="s">
        <v>237</v>
      </c>
      <c r="P19" s="38" t="s">
        <v>238</v>
      </c>
      <c r="Q19" s="34"/>
      <c r="R19" s="49"/>
    </row>
    <row r="20" spans="2:18" ht="42.75" customHeight="1">
      <c r="B20" s="74" t="s">
        <v>45</v>
      </c>
      <c r="C20" s="64" t="s">
        <v>254</v>
      </c>
      <c r="D20" s="34" t="s">
        <v>249</v>
      </c>
      <c r="E20" s="33" t="s">
        <v>38</v>
      </c>
      <c r="F20" s="167" t="s">
        <v>255</v>
      </c>
      <c r="G20" s="171"/>
      <c r="H20" s="136" t="s">
        <v>64</v>
      </c>
      <c r="I20" s="137"/>
      <c r="J20" s="138"/>
      <c r="K20" s="43">
        <v>44298</v>
      </c>
      <c r="L20" s="43">
        <v>44298</v>
      </c>
      <c r="M20" s="43">
        <v>44298</v>
      </c>
      <c r="N20" s="33">
        <v>100</v>
      </c>
      <c r="O20" s="40" t="s">
        <v>237</v>
      </c>
      <c r="P20" s="38" t="s">
        <v>238</v>
      </c>
      <c r="R20" s="49" t="s">
        <v>256</v>
      </c>
    </row>
    <row r="21" spans="2:18" ht="38.25" customHeight="1">
      <c r="B21" s="74" t="s">
        <v>45</v>
      </c>
      <c r="C21" s="64" t="s">
        <v>257</v>
      </c>
      <c r="D21" s="34" t="s">
        <v>258</v>
      </c>
      <c r="E21" s="33" t="s">
        <v>38</v>
      </c>
      <c r="F21" s="167" t="s">
        <v>259</v>
      </c>
      <c r="G21" s="171"/>
      <c r="H21" s="136" t="s">
        <v>64</v>
      </c>
      <c r="I21" s="137"/>
      <c r="J21" s="138"/>
      <c r="K21" s="43">
        <v>44336</v>
      </c>
      <c r="L21" s="43">
        <v>44336</v>
      </c>
      <c r="M21" s="43">
        <v>44336</v>
      </c>
      <c r="N21" s="33">
        <v>100</v>
      </c>
      <c r="O21" s="40" t="s">
        <v>237</v>
      </c>
      <c r="P21" s="38" t="s">
        <v>238</v>
      </c>
      <c r="R21" s="55" t="s">
        <v>260</v>
      </c>
    </row>
    <row r="22" spans="2:18" ht="81.75" customHeight="1">
      <c r="B22" s="74" t="s">
        <v>45</v>
      </c>
      <c r="C22" s="64" t="s">
        <v>261</v>
      </c>
      <c r="D22" s="34" t="s">
        <v>258</v>
      </c>
      <c r="E22" s="33" t="s">
        <v>38</v>
      </c>
      <c r="F22" s="167" t="s">
        <v>160</v>
      </c>
      <c r="G22" s="171"/>
      <c r="H22" s="136" t="s">
        <v>64</v>
      </c>
      <c r="I22" s="137"/>
      <c r="J22" s="138"/>
      <c r="K22" s="35">
        <v>44300</v>
      </c>
      <c r="L22" s="35">
        <v>44300</v>
      </c>
      <c r="M22" s="35">
        <v>44300</v>
      </c>
      <c r="N22" s="33">
        <v>100</v>
      </c>
      <c r="O22" s="40" t="s">
        <v>237</v>
      </c>
      <c r="P22" s="38" t="s">
        <v>238</v>
      </c>
      <c r="R22" s="83" t="s">
        <v>262</v>
      </c>
    </row>
    <row r="23" spans="2:18" ht="54" customHeight="1">
      <c r="B23" s="74" t="s">
        <v>45</v>
      </c>
      <c r="C23" s="64" t="s">
        <v>263</v>
      </c>
      <c r="D23" s="34" t="s">
        <v>258</v>
      </c>
      <c r="E23" s="33" t="s">
        <v>38</v>
      </c>
      <c r="F23" s="148" t="s">
        <v>264</v>
      </c>
      <c r="G23" s="149"/>
      <c r="H23" s="136" t="s">
        <v>64</v>
      </c>
      <c r="I23" s="137"/>
      <c r="J23" s="138"/>
      <c r="K23" s="35">
        <v>44235</v>
      </c>
      <c r="L23" s="35">
        <v>44235</v>
      </c>
      <c r="M23" s="35">
        <v>44300</v>
      </c>
      <c r="N23" s="33">
        <v>100</v>
      </c>
      <c r="O23" s="40" t="s">
        <v>237</v>
      </c>
      <c r="P23" s="1" t="s">
        <v>238</v>
      </c>
      <c r="R23" s="56" t="s">
        <v>265</v>
      </c>
    </row>
    <row r="24" spans="2:18" ht="30" customHeight="1">
      <c r="B24" s="74" t="s">
        <v>45</v>
      </c>
      <c r="C24" s="64" t="s">
        <v>266</v>
      </c>
      <c r="D24" s="33" t="s">
        <v>267</v>
      </c>
      <c r="E24" s="33" t="s">
        <v>38</v>
      </c>
      <c r="F24" s="148" t="s">
        <v>268</v>
      </c>
      <c r="G24" s="149"/>
      <c r="H24" s="136" t="s">
        <v>64</v>
      </c>
      <c r="I24" s="137"/>
      <c r="J24" s="138"/>
      <c r="K24" s="84">
        <v>44317</v>
      </c>
      <c r="L24" s="84">
        <v>44317</v>
      </c>
      <c r="M24" s="84">
        <v>44317</v>
      </c>
      <c r="N24" s="33">
        <v>100</v>
      </c>
      <c r="O24" s="40" t="s">
        <v>237</v>
      </c>
      <c r="P24" s="1" t="s">
        <v>238</v>
      </c>
    </row>
    <row r="25" spans="2:18" ht="30" customHeight="1">
      <c r="B25" s="74" t="s">
        <v>45</v>
      </c>
      <c r="C25" s="76" t="s">
        <v>269</v>
      </c>
      <c r="D25" s="33" t="s">
        <v>270</v>
      </c>
      <c r="E25" s="33" t="s">
        <v>38</v>
      </c>
      <c r="F25" s="148" t="s">
        <v>271</v>
      </c>
      <c r="G25" s="149"/>
      <c r="H25" s="136" t="s">
        <v>272</v>
      </c>
      <c r="I25" s="137"/>
      <c r="J25" s="138"/>
      <c r="K25" s="84">
        <v>44378</v>
      </c>
      <c r="L25" s="84">
        <v>44378</v>
      </c>
      <c r="M25" s="84">
        <v>44378</v>
      </c>
      <c r="N25" s="33">
        <v>100</v>
      </c>
      <c r="O25" s="40" t="s">
        <v>237</v>
      </c>
      <c r="P25" s="1" t="s">
        <v>238</v>
      </c>
    </row>
    <row r="26" spans="2:18" ht="30" customHeight="1">
      <c r="B26" s="74" t="s">
        <v>45</v>
      </c>
      <c r="C26" s="76" t="s">
        <v>273</v>
      </c>
      <c r="D26" s="33" t="s">
        <v>274</v>
      </c>
      <c r="E26" s="33" t="s">
        <v>38</v>
      </c>
      <c r="F26" s="148" t="s">
        <v>275</v>
      </c>
      <c r="G26" s="149"/>
      <c r="H26" s="136" t="s">
        <v>50</v>
      </c>
      <c r="I26" s="137"/>
      <c r="J26" s="138"/>
      <c r="K26" s="35">
        <v>44300</v>
      </c>
      <c r="L26" s="35">
        <v>44300</v>
      </c>
      <c r="M26" s="35">
        <v>44300</v>
      </c>
      <c r="N26" s="33">
        <v>100</v>
      </c>
      <c r="O26" s="40" t="s">
        <v>237</v>
      </c>
      <c r="P26" s="1" t="s">
        <v>238</v>
      </c>
    </row>
  </sheetData>
  <autoFilter ref="A13:XFC21" xr:uid="{00000000-0009-0000-0000-000008000000}">
    <filterColumn colId="5" showButton="0"/>
    <filterColumn colId="7" showButton="0"/>
    <filterColumn colId="8" showButton="0"/>
  </autoFilter>
  <mergeCells count="30">
    <mergeCell ref="B1:C4"/>
    <mergeCell ref="D1:Q4"/>
    <mergeCell ref="F13:G13"/>
    <mergeCell ref="H13:J13"/>
    <mergeCell ref="F14:G14"/>
    <mergeCell ref="H14:J14"/>
    <mergeCell ref="F17:G17"/>
    <mergeCell ref="H17:J17"/>
    <mergeCell ref="F18:G18"/>
    <mergeCell ref="H18:J18"/>
    <mergeCell ref="F15:G15"/>
    <mergeCell ref="H15:J15"/>
    <mergeCell ref="F16:G16"/>
    <mergeCell ref="H16:J16"/>
    <mergeCell ref="F19:G19"/>
    <mergeCell ref="H19:J19"/>
    <mergeCell ref="F20:G20"/>
    <mergeCell ref="H20:J20"/>
    <mergeCell ref="F21:G21"/>
    <mergeCell ref="H21:J21"/>
    <mergeCell ref="F26:G26"/>
    <mergeCell ref="H23:J23"/>
    <mergeCell ref="H24:J24"/>
    <mergeCell ref="H25:J25"/>
    <mergeCell ref="H26:J26"/>
    <mergeCell ref="F22:G22"/>
    <mergeCell ref="H22:J22"/>
    <mergeCell ref="F23:G23"/>
    <mergeCell ref="F24:G24"/>
    <mergeCell ref="F25:G25"/>
  </mergeCells>
  <conditionalFormatting sqref="N14:N26">
    <cfRule type="cellIs" dxfId="61" priority="4" operator="equal">
      <formula>100</formula>
    </cfRule>
  </conditionalFormatting>
  <conditionalFormatting sqref="P1:P16">
    <cfRule type="containsText" dxfId="60" priority="1" operator="containsText" text="RETRASADO">
      <formula>NOT(ISERROR(SEARCH("RETRASADO",P1)))</formula>
    </cfRule>
    <cfRule type="containsText" dxfId="59" priority="2" operator="containsText" text="EN PROCESO">
      <formula>NOT(ISERROR(SEARCH("EN PROCESO",P1)))</formula>
    </cfRule>
    <cfRule type="containsText" dxfId="58" priority="3" operator="containsText" text="CERRADO">
      <formula>NOT(ISERROR(SEARCH("CERRADO",P1)))</formula>
    </cfRule>
  </conditionalFormatting>
  <conditionalFormatting sqref="P18:P1048576">
    <cfRule type="containsText" dxfId="57" priority="6" operator="containsText" text="RETRASADO">
      <formula>NOT(ISERROR(SEARCH("RETRASADO",P18)))</formula>
    </cfRule>
    <cfRule type="containsText" dxfId="56" priority="7" operator="containsText" text="EN PROCESO">
      <formula>NOT(ISERROR(SEARCH("EN PROCESO",P18)))</formula>
    </cfRule>
    <cfRule type="containsText" dxfId="55" priority="8" operator="containsText" text="CERRADO">
      <formula>NOT(ISERROR(SEARCH("CERRADO",P18)))</formula>
    </cfRule>
  </conditionalFormatting>
  <pageMargins left="0.17" right="0.17" top="0.78499999999999992" bottom="0.4" header="0.31496062992125984" footer="0.17"/>
  <pageSetup scale="6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C6DCD-F3C7-4698-9EAD-A2B2C0887051}">
  <dimension ref="A1:XFC62"/>
  <sheetViews>
    <sheetView topLeftCell="B20" workbookViewId="0">
      <selection activeCell="O28" sqref="O28"/>
    </sheetView>
  </sheetViews>
  <sheetFormatPr baseColWidth="10" defaultColWidth="11.42578125" defaultRowHeight="15"/>
  <cols>
    <col min="1" max="1" width="3.140625" style="1" customWidth="1"/>
    <col min="2" max="2" width="10" style="1" customWidth="1"/>
    <col min="3" max="3" width="34" style="1" customWidth="1"/>
    <col min="4" max="4" width="11.85546875" style="1" customWidth="1"/>
    <col min="5" max="5" width="10.140625" style="1" customWidth="1"/>
    <col min="6" max="6" width="14.28515625" style="1" customWidth="1"/>
    <col min="7" max="7" width="9.5703125" style="1" customWidth="1"/>
    <col min="8" max="8" width="9" style="1" customWidth="1"/>
    <col min="9" max="9" width="4.85546875" style="1" customWidth="1"/>
    <col min="10" max="10" width="5.5703125" style="1" customWidth="1"/>
    <col min="11" max="12" width="10.5703125" style="1" customWidth="1"/>
    <col min="13" max="13" width="11" style="1" customWidth="1"/>
    <col min="14" max="14" width="8.7109375" style="1" customWidth="1"/>
    <col min="15" max="15" width="8.28515625" style="1" customWidth="1"/>
    <col min="16" max="16" width="9.28515625" style="1" customWidth="1"/>
    <col min="17" max="17" width="9.140625" style="1" hidden="1" customWidth="1"/>
    <col min="18" max="18" width="20.140625" style="1" customWidth="1"/>
    <col min="19" max="16384" width="11.42578125" style="1"/>
  </cols>
  <sheetData>
    <row r="1" spans="1:16383" ht="15" customHeight="1">
      <c r="A1" s="13"/>
      <c r="B1" s="150"/>
      <c r="C1" s="151"/>
      <c r="D1" s="156" t="s">
        <v>30</v>
      </c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8"/>
      <c r="R1" s="27" t="s">
        <v>31</v>
      </c>
      <c r="S1" s="3"/>
    </row>
    <row r="2" spans="1:16383" ht="15" customHeight="1">
      <c r="A2" s="13"/>
      <c r="B2" s="152"/>
      <c r="C2" s="153"/>
      <c r="D2" s="159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1"/>
      <c r="R2" s="28" t="s">
        <v>32</v>
      </c>
      <c r="S2" s="3"/>
    </row>
    <row r="3" spans="1:16383" ht="15" customHeight="1">
      <c r="A3" s="13"/>
      <c r="B3" s="152"/>
      <c r="C3" s="153"/>
      <c r="D3" s="159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1"/>
      <c r="R3" s="28" t="s">
        <v>33</v>
      </c>
      <c r="S3" s="3"/>
    </row>
    <row r="4" spans="1:16383" ht="15" customHeight="1">
      <c r="A4" s="13"/>
      <c r="B4" s="154"/>
      <c r="C4" s="155"/>
      <c r="D4" s="162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/>
      <c r="R4" s="29" t="s">
        <v>34</v>
      </c>
      <c r="S4" s="3"/>
    </row>
    <row r="5" spans="1:16383" ht="25.5" customHeight="1">
      <c r="A5" s="13"/>
      <c r="B5" s="14"/>
      <c r="C5" s="14"/>
      <c r="D5" s="15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5"/>
      <c r="S5" s="3"/>
    </row>
    <row r="6" spans="1:16383" ht="31.5" customHeight="1">
      <c r="A6" s="13"/>
      <c r="B6" s="85" t="s">
        <v>1</v>
      </c>
      <c r="C6" s="79" t="s">
        <v>276</v>
      </c>
      <c r="D6" s="6"/>
      <c r="E6" s="6" t="s">
        <v>2</v>
      </c>
      <c r="F6" s="50">
        <v>44257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13"/>
      <c r="S6" s="3"/>
    </row>
    <row r="7" spans="1:16383" ht="12.75" customHeight="1">
      <c r="A7" s="13"/>
      <c r="B7" s="86"/>
      <c r="C7" s="17"/>
      <c r="D7" s="21"/>
      <c r="E7" s="21"/>
      <c r="F7" s="26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13"/>
      <c r="S7" s="3"/>
    </row>
    <row r="8" spans="1:16383" ht="33" customHeight="1">
      <c r="A8" s="13"/>
      <c r="B8" s="87" t="s">
        <v>36</v>
      </c>
      <c r="C8" s="80" t="s">
        <v>233</v>
      </c>
      <c r="D8" s="6"/>
      <c r="E8" s="6" t="s">
        <v>4</v>
      </c>
      <c r="F8" s="50" t="s">
        <v>38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13"/>
      <c r="S8" s="3"/>
    </row>
    <row r="9" spans="1:16383" ht="37.5" customHeight="1">
      <c r="A9" s="13"/>
      <c r="B9" s="19" t="s">
        <v>1</v>
      </c>
      <c r="C9" s="13"/>
      <c r="D9" s="13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13"/>
      <c r="S9" s="3"/>
    </row>
    <row r="10" spans="1:16383" ht="14.25" customHeight="1" thickBot="1">
      <c r="A10" s="13"/>
      <c r="B10" s="20"/>
      <c r="C10" s="21"/>
      <c r="D10" s="21"/>
      <c r="E10" s="21"/>
      <c r="F10" s="21"/>
      <c r="G10" s="21"/>
      <c r="H10" s="7"/>
      <c r="I10" s="8" t="s">
        <v>39</v>
      </c>
      <c r="J10" s="8" t="s">
        <v>40</v>
      </c>
      <c r="K10" s="8" t="s">
        <v>41</v>
      </c>
      <c r="L10" s="8" t="s">
        <v>42</v>
      </c>
      <c r="M10" s="8" t="s">
        <v>9</v>
      </c>
      <c r="N10" s="21"/>
      <c r="O10" s="21"/>
      <c r="P10" s="21"/>
      <c r="Q10" s="21"/>
      <c r="R10" s="13"/>
      <c r="S10" s="3"/>
    </row>
    <row r="11" spans="1:16383" ht="14.25" customHeight="1" thickBot="1">
      <c r="A11" s="13"/>
      <c r="B11" s="22" t="s">
        <v>13</v>
      </c>
      <c r="C11" s="13"/>
      <c r="D11" s="13"/>
      <c r="E11" s="20"/>
      <c r="F11" s="13"/>
      <c r="G11" s="13"/>
      <c r="H11" s="52" t="s">
        <v>14</v>
      </c>
      <c r="I11" s="9">
        <f>COUNTIF(P14:Q21,"CERRADO")</f>
        <v>4</v>
      </c>
      <c r="J11" s="10">
        <f>COUNTIF(P14:P21,"EN PROCESO")</f>
        <v>0</v>
      </c>
      <c r="K11" s="11">
        <f>COUNTIF(P14:P21,"RETRASADO")</f>
        <v>0</v>
      </c>
      <c r="L11" s="9">
        <f>SUM(I11:K11)</f>
        <v>4</v>
      </c>
      <c r="M11" s="12">
        <f>I11/L11</f>
        <v>1</v>
      </c>
      <c r="N11" s="13"/>
      <c r="O11" s="13"/>
      <c r="P11" s="13"/>
      <c r="Q11" s="13"/>
      <c r="R11" s="13"/>
      <c r="S11" s="3"/>
    </row>
    <row r="12" spans="1:16383" ht="9" customHeight="1">
      <c r="A12" s="13"/>
      <c r="B12" s="20"/>
      <c r="C12" s="13"/>
      <c r="D12" s="13"/>
      <c r="E12" s="13"/>
      <c r="F12" s="13"/>
      <c r="G12" s="13"/>
      <c r="H12" s="24"/>
      <c r="I12" s="4"/>
      <c r="J12" s="4"/>
      <c r="K12" s="4"/>
      <c r="L12" s="4"/>
      <c r="M12" s="25"/>
      <c r="N12" s="13"/>
      <c r="O12" s="13"/>
      <c r="P12" s="13"/>
      <c r="Q12" s="13"/>
      <c r="R12" s="13"/>
      <c r="S12" s="3"/>
    </row>
    <row r="13" spans="1:16383" ht="46.5" customHeight="1">
      <c r="A13" s="4"/>
      <c r="B13" s="57" t="s">
        <v>17</v>
      </c>
      <c r="C13" s="36" t="s">
        <v>43</v>
      </c>
      <c r="D13" s="36" t="s">
        <v>19</v>
      </c>
      <c r="E13" s="36" t="s">
        <v>20</v>
      </c>
      <c r="F13" s="165" t="s">
        <v>21</v>
      </c>
      <c r="G13" s="165"/>
      <c r="H13" s="166" t="s">
        <v>22</v>
      </c>
      <c r="I13" s="166"/>
      <c r="J13" s="166"/>
      <c r="K13" s="30" t="s">
        <v>23</v>
      </c>
      <c r="L13" s="30" t="s">
        <v>24</v>
      </c>
      <c r="M13" s="30" t="s">
        <v>25</v>
      </c>
      <c r="N13" s="31" t="s">
        <v>9</v>
      </c>
      <c r="O13" s="31" t="s">
        <v>26</v>
      </c>
      <c r="P13" s="31" t="s">
        <v>27</v>
      </c>
      <c r="Q13" s="23" t="s">
        <v>44</v>
      </c>
      <c r="R13" s="31" t="s">
        <v>29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</row>
    <row r="14" spans="1:16383" ht="107.25" customHeight="1">
      <c r="B14" s="74"/>
      <c r="C14" s="39" t="s">
        <v>277</v>
      </c>
      <c r="D14" s="81" t="s">
        <v>235</v>
      </c>
      <c r="E14" s="33"/>
      <c r="F14" s="167" t="s">
        <v>160</v>
      </c>
      <c r="G14" s="149"/>
      <c r="H14" s="139" t="s">
        <v>64</v>
      </c>
      <c r="I14" s="140"/>
      <c r="J14" s="141"/>
      <c r="K14" s="43">
        <v>44319</v>
      </c>
      <c r="L14" s="43">
        <v>44319</v>
      </c>
      <c r="M14" s="43">
        <v>44319</v>
      </c>
      <c r="N14" s="72">
        <v>100</v>
      </c>
      <c r="O14" s="40" t="s">
        <v>237</v>
      </c>
      <c r="P14" s="71" t="s">
        <v>52</v>
      </c>
      <c r="Q14" s="33"/>
      <c r="R14" s="49"/>
    </row>
    <row r="15" spans="1:16383" ht="73.5" customHeight="1">
      <c r="B15" s="73"/>
      <c r="C15" s="39" t="s">
        <v>278</v>
      </c>
      <c r="D15" s="81" t="s">
        <v>235</v>
      </c>
      <c r="E15" s="33"/>
      <c r="F15" s="148" t="s">
        <v>240</v>
      </c>
      <c r="G15" s="149"/>
      <c r="H15" s="139" t="s">
        <v>64</v>
      </c>
      <c r="I15" s="140"/>
      <c r="J15" s="141"/>
      <c r="K15" s="43">
        <v>44228</v>
      </c>
      <c r="L15" s="43">
        <v>44228</v>
      </c>
      <c r="M15" s="43">
        <v>44228</v>
      </c>
      <c r="N15" s="33">
        <v>100</v>
      </c>
      <c r="O15" s="40" t="s">
        <v>237</v>
      </c>
      <c r="P15" s="71" t="s">
        <v>52</v>
      </c>
      <c r="Q15" s="40"/>
      <c r="R15" s="46" t="s">
        <v>241</v>
      </c>
    </row>
    <row r="16" spans="1:16383" ht="75" hidden="1" customHeight="1">
      <c r="B16" s="56"/>
      <c r="C16" s="39"/>
      <c r="D16" s="81"/>
      <c r="E16" s="38"/>
      <c r="F16" s="167"/>
      <c r="G16" s="149"/>
      <c r="H16" s="139"/>
      <c r="I16" s="140"/>
      <c r="J16" s="141"/>
      <c r="K16" s="43"/>
      <c r="L16" s="43"/>
      <c r="M16" s="43"/>
      <c r="N16" s="38"/>
      <c r="O16" s="40" t="s">
        <v>237</v>
      </c>
      <c r="P16" s="71" t="s">
        <v>52</v>
      </c>
      <c r="Q16" s="42"/>
      <c r="R16" s="54"/>
    </row>
    <row r="17" spans="2:18" ht="46.5" customHeight="1">
      <c r="B17" s="56"/>
      <c r="C17" s="40" t="s">
        <v>279</v>
      </c>
      <c r="D17" s="81" t="s">
        <v>235</v>
      </c>
      <c r="E17" s="33"/>
      <c r="F17" s="139" t="s">
        <v>280</v>
      </c>
      <c r="G17" s="141"/>
      <c r="H17" s="136" t="s">
        <v>281</v>
      </c>
      <c r="I17" s="137"/>
      <c r="J17" s="138"/>
      <c r="K17" s="43">
        <v>44316</v>
      </c>
      <c r="L17" s="43">
        <v>44316</v>
      </c>
      <c r="M17" s="43">
        <v>44316</v>
      </c>
      <c r="N17" s="38">
        <v>100</v>
      </c>
      <c r="O17" s="40" t="s">
        <v>237</v>
      </c>
      <c r="P17" s="71" t="s">
        <v>52</v>
      </c>
      <c r="R17" s="54" t="s">
        <v>282</v>
      </c>
    </row>
    <row r="18" spans="2:18" ht="58.5" customHeight="1">
      <c r="B18" s="56"/>
      <c r="C18" s="40" t="s">
        <v>283</v>
      </c>
      <c r="D18" s="81" t="s">
        <v>61</v>
      </c>
      <c r="E18" s="33"/>
      <c r="F18" s="142" t="s">
        <v>284</v>
      </c>
      <c r="G18" s="143"/>
      <c r="H18" s="136" t="s">
        <v>64</v>
      </c>
      <c r="I18" s="137"/>
      <c r="J18" s="138"/>
      <c r="K18" s="43">
        <v>44319</v>
      </c>
      <c r="L18" s="43">
        <v>44319</v>
      </c>
      <c r="M18" s="43">
        <v>44319</v>
      </c>
      <c r="N18" s="33">
        <v>100</v>
      </c>
      <c r="O18" s="40" t="s">
        <v>237</v>
      </c>
      <c r="P18" s="38" t="s">
        <v>238</v>
      </c>
      <c r="R18" s="54" t="s">
        <v>244</v>
      </c>
    </row>
    <row r="19" spans="2:18" ht="59.25" customHeight="1">
      <c r="B19" s="56"/>
      <c r="C19" s="40" t="s">
        <v>285</v>
      </c>
      <c r="D19" s="81" t="s">
        <v>78</v>
      </c>
      <c r="E19" s="38"/>
      <c r="F19" s="142" t="s">
        <v>286</v>
      </c>
      <c r="G19" s="143"/>
      <c r="H19" s="136" t="s">
        <v>64</v>
      </c>
      <c r="I19" s="137"/>
      <c r="J19" s="138"/>
      <c r="K19" s="43">
        <v>44257</v>
      </c>
      <c r="L19" s="43">
        <v>44379</v>
      </c>
      <c r="M19" s="43">
        <v>44257</v>
      </c>
      <c r="N19" s="38">
        <v>100</v>
      </c>
      <c r="O19" s="40" t="s">
        <v>237</v>
      </c>
      <c r="P19" s="38" t="s">
        <v>238</v>
      </c>
      <c r="Q19" s="34"/>
      <c r="R19" s="49"/>
    </row>
    <row r="20" spans="2:18" ht="74.25" customHeight="1">
      <c r="B20" s="56"/>
      <c r="C20" s="40" t="s">
        <v>287</v>
      </c>
      <c r="D20" s="81" t="s">
        <v>78</v>
      </c>
      <c r="E20" s="38"/>
      <c r="F20" s="142" t="s">
        <v>284</v>
      </c>
      <c r="G20" s="143"/>
      <c r="H20" s="136" t="s">
        <v>64</v>
      </c>
      <c r="I20" s="137"/>
      <c r="J20" s="138"/>
      <c r="K20" s="43">
        <v>44274</v>
      </c>
      <c r="L20" s="43">
        <v>44274</v>
      </c>
      <c r="M20" s="43">
        <v>44274</v>
      </c>
      <c r="N20" s="38">
        <v>100</v>
      </c>
      <c r="O20" s="40" t="s">
        <v>237</v>
      </c>
      <c r="P20" s="38" t="s">
        <v>238</v>
      </c>
      <c r="R20" s="49"/>
    </row>
    <row r="21" spans="2:18" ht="62.25" customHeight="1">
      <c r="B21" s="56"/>
      <c r="C21" s="40" t="s">
        <v>288</v>
      </c>
      <c r="D21" s="81" t="s">
        <v>78</v>
      </c>
      <c r="E21" s="38"/>
      <c r="F21" s="142" t="s">
        <v>289</v>
      </c>
      <c r="G21" s="143"/>
      <c r="H21" s="136" t="s">
        <v>64</v>
      </c>
      <c r="I21" s="137"/>
      <c r="J21" s="138"/>
      <c r="K21" s="43">
        <v>44274</v>
      </c>
      <c r="L21" s="43">
        <v>44274</v>
      </c>
      <c r="M21" s="43">
        <v>44274</v>
      </c>
      <c r="N21" s="38">
        <v>100</v>
      </c>
      <c r="O21" s="40" t="s">
        <v>237</v>
      </c>
      <c r="P21" s="38" t="s">
        <v>238</v>
      </c>
      <c r="R21" s="55"/>
    </row>
    <row r="22" spans="2:18" ht="30" customHeight="1">
      <c r="C22" s="88" t="s">
        <v>290</v>
      </c>
      <c r="D22" s="89" t="s">
        <v>78</v>
      </c>
      <c r="E22" s="90"/>
      <c r="F22" s="172" t="s">
        <v>291</v>
      </c>
      <c r="G22" s="173"/>
      <c r="H22" s="88" t="s">
        <v>64</v>
      </c>
      <c r="I22" s="90"/>
      <c r="J22" s="90"/>
      <c r="K22" s="90"/>
      <c r="L22" s="90"/>
      <c r="M22" s="90"/>
      <c r="N22" s="90"/>
      <c r="O22" s="90"/>
      <c r="P22" s="90"/>
    </row>
    <row r="23" spans="2:18" ht="36" customHeight="1">
      <c r="C23" s="40" t="s">
        <v>292</v>
      </c>
      <c r="D23" s="65" t="s">
        <v>213</v>
      </c>
      <c r="F23" s="142" t="s">
        <v>293</v>
      </c>
      <c r="G23" s="143"/>
      <c r="H23" s="1" t="s">
        <v>64</v>
      </c>
      <c r="K23" s="43">
        <v>44336</v>
      </c>
      <c r="L23" s="43">
        <v>44336</v>
      </c>
      <c r="M23" s="43">
        <v>44336</v>
      </c>
      <c r="N23" s="33">
        <v>100</v>
      </c>
      <c r="O23" s="40" t="s">
        <v>237</v>
      </c>
      <c r="P23" s="38" t="s">
        <v>238</v>
      </c>
      <c r="R23" s="55" t="s">
        <v>294</v>
      </c>
    </row>
    <row r="24" spans="2:18" ht="88.5" customHeight="1">
      <c r="C24" s="40" t="s">
        <v>295</v>
      </c>
      <c r="D24" s="65" t="s">
        <v>213</v>
      </c>
      <c r="F24" s="136" t="s">
        <v>296</v>
      </c>
      <c r="G24" s="138"/>
      <c r="H24" s="38" t="s">
        <v>64</v>
      </c>
      <c r="I24" s="38"/>
      <c r="J24" s="38"/>
      <c r="K24" s="93">
        <v>44256</v>
      </c>
      <c r="L24" s="93">
        <v>44256</v>
      </c>
      <c r="M24" s="93">
        <v>44256</v>
      </c>
      <c r="N24" s="33">
        <v>100</v>
      </c>
      <c r="O24" s="40" t="s">
        <v>237</v>
      </c>
      <c r="P24" s="38" t="s">
        <v>238</v>
      </c>
      <c r="R24" s="92" t="s">
        <v>297</v>
      </c>
    </row>
    <row r="25" spans="2:18" ht="54" customHeight="1">
      <c r="C25" s="42" t="s">
        <v>298</v>
      </c>
      <c r="D25" s="65" t="s">
        <v>213</v>
      </c>
      <c r="F25" s="136" t="s">
        <v>299</v>
      </c>
      <c r="G25" s="138"/>
      <c r="H25" s="1" t="s">
        <v>64</v>
      </c>
      <c r="K25" s="43">
        <v>44315</v>
      </c>
      <c r="L25" s="43">
        <v>44315</v>
      </c>
      <c r="M25" s="43">
        <v>44315</v>
      </c>
      <c r="N25" s="33">
        <v>100</v>
      </c>
      <c r="O25" s="40" t="s">
        <v>237</v>
      </c>
      <c r="P25" s="38" t="s">
        <v>238</v>
      </c>
      <c r="R25" s="82" t="s">
        <v>300</v>
      </c>
    </row>
    <row r="26" spans="2:18" ht="35.25" customHeight="1">
      <c r="C26" s="42" t="s">
        <v>301</v>
      </c>
      <c r="D26" s="65" t="s">
        <v>213</v>
      </c>
      <c r="F26" s="136" t="s">
        <v>160</v>
      </c>
      <c r="G26" s="138"/>
      <c r="H26" s="1" t="s">
        <v>64</v>
      </c>
    </row>
    <row r="27" spans="2:18" ht="30" customHeight="1">
      <c r="C27" s="42" t="s">
        <v>302</v>
      </c>
      <c r="D27" s="65" t="s">
        <v>267</v>
      </c>
      <c r="F27" s="169" t="s">
        <v>303</v>
      </c>
      <c r="G27" s="170"/>
      <c r="H27" s="1" t="s">
        <v>64</v>
      </c>
      <c r="K27" s="35">
        <v>44315</v>
      </c>
      <c r="L27" s="35">
        <v>44315</v>
      </c>
      <c r="M27" s="35">
        <v>44315</v>
      </c>
      <c r="N27" s="33">
        <v>100</v>
      </c>
      <c r="O27" s="40" t="s">
        <v>237</v>
      </c>
      <c r="P27" s="38" t="s">
        <v>238</v>
      </c>
      <c r="R27" s="1" t="s">
        <v>304</v>
      </c>
    </row>
    <row r="28" spans="2:18" ht="30" customHeight="1"/>
    <row r="29" spans="2:18" ht="30" customHeight="1"/>
    <row r="30" spans="2:18" ht="30" customHeight="1"/>
    <row r="31" spans="2:18" ht="30" customHeight="1"/>
    <row r="32" spans="2:18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</sheetData>
  <autoFilter ref="A13:XFC21" xr:uid="{00000000-0009-0000-0000-000008000000}">
    <filterColumn colId="5" showButton="0"/>
    <filterColumn colId="7" showButton="0"/>
    <filterColumn colId="8" showButton="0"/>
  </autoFilter>
  <mergeCells count="26">
    <mergeCell ref="F27:G27"/>
    <mergeCell ref="F23:G23"/>
    <mergeCell ref="F24:G24"/>
    <mergeCell ref="F25:G25"/>
    <mergeCell ref="F26:G26"/>
    <mergeCell ref="B1:C4"/>
    <mergeCell ref="D1:Q4"/>
    <mergeCell ref="F13:G13"/>
    <mergeCell ref="H13:J13"/>
    <mergeCell ref="F14:G14"/>
    <mergeCell ref="H14:J14"/>
    <mergeCell ref="F18:G18"/>
    <mergeCell ref="H18:J18"/>
    <mergeCell ref="F15:G15"/>
    <mergeCell ref="H15:J15"/>
    <mergeCell ref="F16:G16"/>
    <mergeCell ref="H16:J16"/>
    <mergeCell ref="F17:G17"/>
    <mergeCell ref="H17:J17"/>
    <mergeCell ref="F22:G22"/>
    <mergeCell ref="F19:G19"/>
    <mergeCell ref="H19:J19"/>
    <mergeCell ref="F20:G20"/>
    <mergeCell ref="H20:J20"/>
    <mergeCell ref="F21:G21"/>
    <mergeCell ref="H21:J21"/>
  </mergeCells>
  <conditionalFormatting sqref="N14:N21">
    <cfRule type="cellIs" dxfId="54" priority="19" operator="equal">
      <formula>100</formula>
    </cfRule>
  </conditionalFormatting>
  <conditionalFormatting sqref="N23:N25">
    <cfRule type="cellIs" dxfId="53" priority="11" operator="equal">
      <formula>100</formula>
    </cfRule>
  </conditionalFormatting>
  <conditionalFormatting sqref="N27">
    <cfRule type="cellIs" dxfId="52" priority="4" operator="equal">
      <formula>100</formula>
    </cfRule>
  </conditionalFormatting>
  <conditionalFormatting sqref="P1:P13">
    <cfRule type="containsText" dxfId="51" priority="37" operator="containsText" text="RETRASADO">
      <formula>NOT(ISERROR(SEARCH("RETRASADO",P1)))</formula>
    </cfRule>
    <cfRule type="containsText" dxfId="50" priority="38" operator="containsText" text="EN PROCESO">
      <formula>NOT(ISERROR(SEARCH("EN PROCESO",P1)))</formula>
    </cfRule>
    <cfRule type="containsText" dxfId="49" priority="39" operator="containsText" text="CERRADO">
      <formula>NOT(ISERROR(SEARCH("CERRADO",P1)))</formula>
    </cfRule>
  </conditionalFormatting>
  <conditionalFormatting sqref="P18:P26">
    <cfRule type="containsText" dxfId="48" priority="12" operator="containsText" text="RETRASADO">
      <formula>NOT(ISERROR(SEARCH("RETRASADO",P18)))</formula>
    </cfRule>
    <cfRule type="containsText" dxfId="47" priority="13" operator="containsText" text="EN PROCESO">
      <formula>NOT(ISERROR(SEARCH("EN PROCESO",P18)))</formula>
    </cfRule>
    <cfRule type="containsText" dxfId="46" priority="14" operator="containsText" text="CERRADO">
      <formula>NOT(ISERROR(SEARCH("CERRADO",P18)))</formula>
    </cfRule>
  </conditionalFormatting>
  <conditionalFormatting sqref="P25">
    <cfRule type="containsText" dxfId="45" priority="8" operator="containsText" text="RETRASADO">
      <formula>NOT(ISERROR(SEARCH("RETRASADO",P25)))</formula>
    </cfRule>
    <cfRule type="containsText" dxfId="44" priority="9" operator="containsText" text="EN PROCESO">
      <formula>NOT(ISERROR(SEARCH("EN PROCESO",P25)))</formula>
    </cfRule>
    <cfRule type="containsText" dxfId="43" priority="10" operator="containsText" text="CERRADO">
      <formula>NOT(ISERROR(SEARCH("CERRADO",P25)))</formula>
    </cfRule>
  </conditionalFormatting>
  <conditionalFormatting sqref="P27">
    <cfRule type="containsText" dxfId="42" priority="1" operator="containsText" text="RETRASADO">
      <formula>NOT(ISERROR(SEARCH("RETRASADO",P27)))</formula>
    </cfRule>
    <cfRule type="containsText" dxfId="41" priority="2" operator="containsText" text="EN PROCESO">
      <formula>NOT(ISERROR(SEARCH("EN PROCESO",P27)))</formula>
    </cfRule>
    <cfRule type="containsText" dxfId="40" priority="3" operator="containsText" text="CERRADO">
      <formula>NOT(ISERROR(SEARCH("CERRADO",P27)))</formula>
    </cfRule>
  </conditionalFormatting>
  <conditionalFormatting sqref="P27:P1048576">
    <cfRule type="containsText" dxfId="39" priority="5" operator="containsText" text="RETRASADO">
      <formula>NOT(ISERROR(SEARCH("RETRASADO",P27)))</formula>
    </cfRule>
    <cfRule type="containsText" dxfId="38" priority="6" operator="containsText" text="EN PROCESO">
      <formula>NOT(ISERROR(SEARCH("EN PROCESO",P27)))</formula>
    </cfRule>
    <cfRule type="containsText" dxfId="37" priority="7" operator="containsText" text="CERRADO">
      <formula>NOT(ISERROR(SEARCH("CERRADO",P27)))</formula>
    </cfRule>
  </conditionalFormatting>
  <pageMargins left="0.17" right="0.17" top="0.37" bottom="0.4" header="0.31496062992125984" footer="0.17"/>
  <pageSetup paperSize="9" scale="7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76CF-3B70-4635-A50A-3921B12449BC}">
  <dimension ref="A1:XFC62"/>
  <sheetViews>
    <sheetView topLeftCell="B35" workbookViewId="0">
      <selection activeCell="F14" sqref="F14:G14"/>
    </sheetView>
  </sheetViews>
  <sheetFormatPr baseColWidth="10" defaultColWidth="11.42578125" defaultRowHeight="15"/>
  <cols>
    <col min="1" max="1" width="3.140625" style="1" customWidth="1"/>
    <col min="2" max="2" width="10" style="1" customWidth="1"/>
    <col min="3" max="3" width="34" style="1" customWidth="1"/>
    <col min="4" max="4" width="11.85546875" style="1" customWidth="1"/>
    <col min="5" max="5" width="10.140625" style="1" customWidth="1"/>
    <col min="6" max="6" width="14.28515625" style="1" customWidth="1"/>
    <col min="7" max="7" width="9.5703125" style="1" customWidth="1"/>
    <col min="8" max="8" width="9" style="1" customWidth="1"/>
    <col min="9" max="9" width="4.85546875" style="1" customWidth="1"/>
    <col min="10" max="10" width="5.5703125" style="1" customWidth="1"/>
    <col min="11" max="12" width="10.5703125" style="1" customWidth="1"/>
    <col min="13" max="13" width="11" style="1" customWidth="1"/>
    <col min="14" max="14" width="8.7109375" style="1" customWidth="1"/>
    <col min="15" max="15" width="8.28515625" style="1" customWidth="1"/>
    <col min="16" max="16" width="9.28515625" style="1" customWidth="1"/>
    <col min="17" max="17" width="9.140625" style="1" hidden="1" customWidth="1"/>
    <col min="18" max="18" width="20.140625" style="1" customWidth="1"/>
    <col min="19" max="16384" width="11.42578125" style="1"/>
  </cols>
  <sheetData>
    <row r="1" spans="1:16383" ht="15" customHeight="1">
      <c r="A1" s="13"/>
      <c r="B1" s="150"/>
      <c r="C1" s="151"/>
      <c r="D1" s="156" t="s">
        <v>30</v>
      </c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8"/>
      <c r="R1" s="27" t="s">
        <v>31</v>
      </c>
      <c r="S1" s="3"/>
    </row>
    <row r="2" spans="1:16383" ht="15" customHeight="1">
      <c r="A2" s="13"/>
      <c r="B2" s="152"/>
      <c r="C2" s="153"/>
      <c r="D2" s="159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1"/>
      <c r="R2" s="28" t="s">
        <v>32</v>
      </c>
      <c r="S2" s="3"/>
    </row>
    <row r="3" spans="1:16383" ht="15" customHeight="1">
      <c r="A3" s="13"/>
      <c r="B3" s="152"/>
      <c r="C3" s="153"/>
      <c r="D3" s="159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1"/>
      <c r="R3" s="28" t="s">
        <v>33</v>
      </c>
      <c r="S3" s="3"/>
    </row>
    <row r="4" spans="1:16383" ht="15" customHeight="1">
      <c r="A4" s="13"/>
      <c r="B4" s="154"/>
      <c r="C4" s="155"/>
      <c r="D4" s="162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/>
      <c r="R4" s="29" t="s">
        <v>34</v>
      </c>
      <c r="S4" s="3"/>
    </row>
    <row r="5" spans="1:16383" ht="25.5" customHeight="1">
      <c r="A5" s="13"/>
      <c r="B5" s="14"/>
      <c r="C5" s="14"/>
      <c r="D5" s="15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5"/>
      <c r="S5" s="3"/>
    </row>
    <row r="6" spans="1:16383" ht="31.5" customHeight="1">
      <c r="A6" s="13"/>
      <c r="B6" s="16" t="s">
        <v>1</v>
      </c>
      <c r="C6" s="79" t="s">
        <v>305</v>
      </c>
      <c r="D6" s="6"/>
      <c r="E6" s="6" t="s">
        <v>2</v>
      </c>
      <c r="F6" s="50">
        <v>44291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13"/>
      <c r="S6" s="3"/>
    </row>
    <row r="7" spans="1:16383" ht="12.75" customHeight="1">
      <c r="A7" s="13"/>
      <c r="B7" s="17"/>
      <c r="C7" s="17"/>
      <c r="D7" s="21"/>
      <c r="E7" s="21"/>
      <c r="F7" s="26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13"/>
      <c r="S7" s="3"/>
    </row>
    <row r="8" spans="1:16383" ht="33" customHeight="1">
      <c r="A8" s="13"/>
      <c r="B8" s="18" t="s">
        <v>36</v>
      </c>
      <c r="C8" s="80" t="s">
        <v>233</v>
      </c>
      <c r="D8" s="6"/>
      <c r="E8" s="6" t="s">
        <v>4</v>
      </c>
      <c r="F8" s="50" t="s">
        <v>38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13"/>
      <c r="S8" s="3"/>
    </row>
    <row r="9" spans="1:16383" ht="37.5" customHeight="1">
      <c r="A9" s="13"/>
      <c r="B9" s="19" t="s">
        <v>1</v>
      </c>
      <c r="C9" s="13"/>
      <c r="D9" s="13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13"/>
      <c r="S9" s="3"/>
    </row>
    <row r="10" spans="1:16383" ht="14.25" customHeight="1" thickBot="1">
      <c r="A10" s="13"/>
      <c r="B10" s="20"/>
      <c r="C10" s="21"/>
      <c r="D10" s="21"/>
      <c r="E10" s="21"/>
      <c r="F10" s="21"/>
      <c r="G10" s="21"/>
      <c r="H10" s="7"/>
      <c r="I10" s="8" t="s">
        <v>39</v>
      </c>
      <c r="J10" s="8" t="s">
        <v>40</v>
      </c>
      <c r="K10" s="8" t="s">
        <v>41</v>
      </c>
      <c r="L10" s="8" t="s">
        <v>42</v>
      </c>
      <c r="M10" s="8" t="s">
        <v>9</v>
      </c>
      <c r="N10" s="21"/>
      <c r="O10" s="21"/>
      <c r="P10" s="21"/>
      <c r="Q10" s="21"/>
      <c r="R10" s="13"/>
      <c r="S10" s="3"/>
    </row>
    <row r="11" spans="1:16383" ht="14.25" customHeight="1" thickBot="1">
      <c r="A11" s="13"/>
      <c r="B11" s="22" t="s">
        <v>13</v>
      </c>
      <c r="C11" s="13"/>
      <c r="D11" s="13"/>
      <c r="E11" s="20"/>
      <c r="F11" s="13"/>
      <c r="G11" s="13"/>
      <c r="H11" s="52" t="s">
        <v>14</v>
      </c>
      <c r="I11" s="9">
        <f>COUNTIF(P14:Q23,"CERRADO")</f>
        <v>4</v>
      </c>
      <c r="J11" s="10">
        <f>COUNTIF(P14:P23,"EN PROCESO")</f>
        <v>0</v>
      </c>
      <c r="K11" s="11">
        <f>COUNTIF(P14:P23,"RETRASADO")</f>
        <v>0</v>
      </c>
      <c r="L11" s="9">
        <f>SUM(I11:K11)</f>
        <v>4</v>
      </c>
      <c r="M11" s="12">
        <f>I11/L11</f>
        <v>1</v>
      </c>
      <c r="N11" s="13"/>
      <c r="O11" s="13"/>
      <c r="P11" s="13"/>
      <c r="Q11" s="13"/>
      <c r="R11" s="13"/>
      <c r="S11" s="3"/>
    </row>
    <row r="12" spans="1:16383" ht="9" customHeight="1">
      <c r="A12" s="13"/>
      <c r="B12" s="20"/>
      <c r="C12" s="13"/>
      <c r="D12" s="13"/>
      <c r="E12" s="13"/>
      <c r="F12" s="13"/>
      <c r="G12" s="13"/>
      <c r="H12" s="24"/>
      <c r="I12" s="4"/>
      <c r="J12" s="4"/>
      <c r="K12" s="4"/>
      <c r="L12" s="4"/>
      <c r="M12" s="25"/>
      <c r="N12" s="13"/>
      <c r="O12" s="13"/>
      <c r="P12" s="13"/>
      <c r="Q12" s="13"/>
      <c r="R12" s="13"/>
      <c r="S12" s="3"/>
    </row>
    <row r="13" spans="1:16383" ht="46.5" customHeight="1">
      <c r="A13" s="4"/>
      <c r="B13" s="57" t="s">
        <v>17</v>
      </c>
      <c r="C13" s="36" t="s">
        <v>43</v>
      </c>
      <c r="D13" s="36" t="s">
        <v>19</v>
      </c>
      <c r="E13" s="36" t="s">
        <v>20</v>
      </c>
      <c r="F13" s="165" t="s">
        <v>21</v>
      </c>
      <c r="G13" s="165"/>
      <c r="H13" s="166" t="s">
        <v>22</v>
      </c>
      <c r="I13" s="166"/>
      <c r="J13" s="166"/>
      <c r="K13" s="30" t="s">
        <v>23</v>
      </c>
      <c r="L13" s="30" t="s">
        <v>24</v>
      </c>
      <c r="M13" s="30" t="s">
        <v>25</v>
      </c>
      <c r="N13" s="31" t="s">
        <v>9</v>
      </c>
      <c r="O13" s="31" t="s">
        <v>26</v>
      </c>
      <c r="P13" s="31" t="s">
        <v>27</v>
      </c>
      <c r="Q13" s="23" t="s">
        <v>44</v>
      </c>
      <c r="R13" s="31" t="s">
        <v>29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</row>
    <row r="14" spans="1:16383" ht="107.25" customHeight="1">
      <c r="B14" s="91"/>
      <c r="C14" s="39" t="s">
        <v>306</v>
      </c>
      <c r="D14" s="91" t="s">
        <v>47</v>
      </c>
      <c r="E14" s="33"/>
      <c r="F14" s="167" t="s">
        <v>307</v>
      </c>
      <c r="G14" s="149"/>
      <c r="H14" s="139" t="s">
        <v>50</v>
      </c>
      <c r="I14" s="140"/>
      <c r="J14" s="141"/>
      <c r="K14" s="43">
        <v>44323</v>
      </c>
      <c r="L14" s="43">
        <v>44323</v>
      </c>
      <c r="M14" s="43">
        <v>44323</v>
      </c>
      <c r="N14" s="72">
        <v>100</v>
      </c>
      <c r="O14" s="40" t="s">
        <v>237</v>
      </c>
      <c r="P14" s="71" t="s">
        <v>52</v>
      </c>
      <c r="Q14" s="33"/>
      <c r="R14" s="49"/>
    </row>
    <row r="15" spans="1:16383" ht="73.5" customHeight="1">
      <c r="B15" s="91"/>
      <c r="C15" s="39" t="s">
        <v>308</v>
      </c>
      <c r="D15" s="91" t="s">
        <v>47</v>
      </c>
      <c r="E15" s="33"/>
      <c r="F15" s="148" t="s">
        <v>309</v>
      </c>
      <c r="G15" s="149"/>
      <c r="H15" s="139" t="s">
        <v>64</v>
      </c>
      <c r="I15" s="140"/>
      <c r="J15" s="141"/>
      <c r="K15" s="43">
        <v>44319</v>
      </c>
      <c r="L15" s="43">
        <v>44319</v>
      </c>
      <c r="M15" s="43">
        <v>44319</v>
      </c>
      <c r="N15" s="72">
        <v>100</v>
      </c>
      <c r="O15" s="40" t="s">
        <v>237</v>
      </c>
      <c r="P15" s="71" t="s">
        <v>52</v>
      </c>
      <c r="Q15" s="40"/>
      <c r="R15" s="46"/>
    </row>
    <row r="16" spans="1:16383" ht="75" hidden="1" customHeight="1">
      <c r="B16" s="83"/>
      <c r="C16" s="39"/>
      <c r="D16" s="83"/>
      <c r="E16" s="38"/>
      <c r="F16" s="167"/>
      <c r="G16" s="149"/>
      <c r="H16" s="139"/>
      <c r="I16" s="140"/>
      <c r="J16" s="141"/>
      <c r="K16" s="43"/>
      <c r="L16" s="43"/>
      <c r="M16" s="43"/>
      <c r="N16" s="38"/>
      <c r="O16" s="40" t="s">
        <v>237</v>
      </c>
      <c r="P16" s="38"/>
      <c r="Q16" s="42"/>
      <c r="R16" s="54"/>
    </row>
    <row r="17" spans="2:18" ht="71.25" customHeight="1">
      <c r="B17" s="91"/>
      <c r="C17" s="41" t="s">
        <v>310</v>
      </c>
      <c r="D17" s="91" t="s">
        <v>47</v>
      </c>
      <c r="E17" s="33"/>
      <c r="F17" s="167" t="s">
        <v>311</v>
      </c>
      <c r="G17" s="171"/>
      <c r="H17" s="139" t="s">
        <v>50</v>
      </c>
      <c r="I17" s="140"/>
      <c r="J17" s="141"/>
      <c r="K17" s="43">
        <v>44323</v>
      </c>
      <c r="L17" s="43">
        <v>44323</v>
      </c>
      <c r="M17" s="43">
        <v>44323</v>
      </c>
      <c r="N17" s="72">
        <v>100</v>
      </c>
      <c r="O17" s="40" t="s">
        <v>237</v>
      </c>
      <c r="P17" s="71" t="s">
        <v>52</v>
      </c>
      <c r="R17" s="54"/>
    </row>
    <row r="18" spans="2:18" ht="58.5" customHeight="1">
      <c r="B18" s="83"/>
      <c r="C18" s="39" t="s">
        <v>312</v>
      </c>
      <c r="D18" s="83" t="s">
        <v>61</v>
      </c>
      <c r="E18" s="33"/>
      <c r="F18" s="167" t="s">
        <v>313</v>
      </c>
      <c r="G18" s="171"/>
      <c r="H18" s="136" t="s">
        <v>95</v>
      </c>
      <c r="I18" s="137"/>
      <c r="J18" s="138"/>
      <c r="K18" s="43">
        <v>44302</v>
      </c>
      <c r="L18" s="43">
        <v>44302</v>
      </c>
      <c r="M18" s="43">
        <v>44302</v>
      </c>
      <c r="N18" s="38">
        <v>100</v>
      </c>
      <c r="O18" s="40" t="s">
        <v>237</v>
      </c>
      <c r="P18" s="71" t="s">
        <v>52</v>
      </c>
      <c r="R18" s="49"/>
    </row>
    <row r="19" spans="2:18" ht="108" customHeight="1">
      <c r="B19" s="83"/>
      <c r="C19" s="41" t="s">
        <v>314</v>
      </c>
      <c r="D19" s="83" t="s">
        <v>315</v>
      </c>
      <c r="E19" s="33"/>
      <c r="F19" s="167" t="s">
        <v>316</v>
      </c>
      <c r="G19" s="171"/>
      <c r="H19" s="136" t="s">
        <v>272</v>
      </c>
      <c r="I19" s="137"/>
      <c r="J19" s="138"/>
      <c r="K19" s="43">
        <v>44319</v>
      </c>
      <c r="L19" s="43">
        <v>44319</v>
      </c>
      <c r="M19" s="43">
        <v>44319</v>
      </c>
      <c r="N19" s="33">
        <v>100</v>
      </c>
      <c r="O19" s="40" t="s">
        <v>237</v>
      </c>
      <c r="P19" s="38" t="s">
        <v>238</v>
      </c>
      <c r="R19" s="54" t="s">
        <v>244</v>
      </c>
    </row>
    <row r="20" spans="2:18" ht="59.25" customHeight="1">
      <c r="B20" s="83"/>
      <c r="C20" s="39" t="s">
        <v>317</v>
      </c>
      <c r="D20" s="83" t="s">
        <v>61</v>
      </c>
      <c r="E20" s="38"/>
      <c r="F20" s="167" t="s">
        <v>318</v>
      </c>
      <c r="G20" s="171"/>
      <c r="H20" s="136" t="s">
        <v>95</v>
      </c>
      <c r="I20" s="137"/>
      <c r="J20" s="138"/>
      <c r="K20" s="43"/>
      <c r="L20" s="43"/>
      <c r="M20" s="43"/>
      <c r="N20" s="38">
        <v>100</v>
      </c>
      <c r="O20" s="47"/>
      <c r="P20" s="38" t="s">
        <v>238</v>
      </c>
      <c r="R20" s="49" t="s">
        <v>247</v>
      </c>
    </row>
    <row r="21" spans="2:18" ht="80.25" customHeight="1">
      <c r="B21" s="83"/>
      <c r="C21" s="39" t="s">
        <v>319</v>
      </c>
      <c r="D21" s="83" t="s">
        <v>78</v>
      </c>
      <c r="E21" s="38"/>
      <c r="F21" s="167" t="s">
        <v>320</v>
      </c>
      <c r="G21" s="171"/>
      <c r="H21" s="136" t="s">
        <v>95</v>
      </c>
      <c r="I21" s="137"/>
      <c r="J21" s="138"/>
      <c r="K21" s="43"/>
      <c r="L21" s="43"/>
      <c r="M21" s="43"/>
      <c r="N21" s="38">
        <v>100</v>
      </c>
      <c r="O21" s="47"/>
      <c r="P21" s="38" t="s">
        <v>238</v>
      </c>
      <c r="R21" s="49" t="s">
        <v>321</v>
      </c>
    </row>
    <row r="22" spans="2:18" ht="43.5" customHeight="1">
      <c r="B22" s="83"/>
      <c r="C22" s="39" t="s">
        <v>322</v>
      </c>
      <c r="D22" s="83" t="s">
        <v>78</v>
      </c>
      <c r="E22" s="38"/>
      <c r="F22" s="167" t="s">
        <v>243</v>
      </c>
      <c r="G22" s="171"/>
      <c r="H22" s="136" t="s">
        <v>64</v>
      </c>
      <c r="I22" s="137"/>
      <c r="J22" s="138"/>
      <c r="K22" s="43">
        <v>44316</v>
      </c>
      <c r="L22" s="43">
        <v>44316</v>
      </c>
      <c r="M22" s="43">
        <v>44316</v>
      </c>
      <c r="N22" s="38">
        <v>100</v>
      </c>
      <c r="O22" s="40" t="s">
        <v>237</v>
      </c>
      <c r="P22" s="38" t="s">
        <v>238</v>
      </c>
      <c r="R22" s="55" t="s">
        <v>323</v>
      </c>
    </row>
    <row r="23" spans="2:18" ht="45" customHeight="1">
      <c r="B23" s="83"/>
      <c r="C23" s="41" t="s">
        <v>324</v>
      </c>
      <c r="D23" s="83" t="s">
        <v>78</v>
      </c>
      <c r="F23" s="176" t="s">
        <v>325</v>
      </c>
      <c r="G23" s="177"/>
      <c r="H23" s="136" t="s">
        <v>64</v>
      </c>
      <c r="I23" s="137"/>
      <c r="J23" s="138"/>
      <c r="K23" s="43">
        <v>44274</v>
      </c>
      <c r="L23" s="43">
        <v>44274</v>
      </c>
      <c r="M23" s="43">
        <v>44274</v>
      </c>
      <c r="N23" s="38">
        <v>100</v>
      </c>
      <c r="O23" s="40" t="s">
        <v>237</v>
      </c>
      <c r="P23" s="38" t="s">
        <v>238</v>
      </c>
    </row>
    <row r="24" spans="2:18" ht="91.5" customHeight="1">
      <c r="B24" s="83"/>
      <c r="C24" s="41" t="s">
        <v>326</v>
      </c>
      <c r="D24" s="83" t="s">
        <v>327</v>
      </c>
      <c r="F24" s="148" t="s">
        <v>328</v>
      </c>
      <c r="G24" s="149"/>
      <c r="H24" s="136" t="s">
        <v>95</v>
      </c>
      <c r="I24" s="137"/>
      <c r="J24" s="138"/>
      <c r="K24" s="43">
        <v>44306</v>
      </c>
      <c r="L24" s="43">
        <v>44306</v>
      </c>
      <c r="M24" s="43">
        <v>44306</v>
      </c>
      <c r="N24" s="38">
        <v>100</v>
      </c>
      <c r="O24" s="40" t="s">
        <v>237</v>
      </c>
      <c r="P24" s="38" t="s">
        <v>238</v>
      </c>
    </row>
    <row r="25" spans="2:18" ht="30" customHeight="1">
      <c r="B25" s="37"/>
      <c r="C25" s="64" t="s">
        <v>329</v>
      </c>
      <c r="D25" s="37" t="s">
        <v>258</v>
      </c>
      <c r="F25" s="176" t="s">
        <v>330</v>
      </c>
      <c r="G25" s="177"/>
      <c r="H25" s="136" t="s">
        <v>95</v>
      </c>
      <c r="I25" s="137"/>
      <c r="J25" s="138"/>
      <c r="K25" s="43">
        <v>44336</v>
      </c>
      <c r="L25" s="43">
        <v>44336</v>
      </c>
      <c r="M25" s="43">
        <v>44336</v>
      </c>
      <c r="N25" s="33">
        <v>100</v>
      </c>
      <c r="O25" s="40" t="s">
        <v>237</v>
      </c>
      <c r="P25" s="38" t="s">
        <v>238</v>
      </c>
      <c r="R25" s="55" t="s">
        <v>294</v>
      </c>
    </row>
    <row r="26" spans="2:18" ht="30" customHeight="1">
      <c r="B26" s="83"/>
      <c r="C26" s="41" t="s">
        <v>312</v>
      </c>
      <c r="D26" s="83" t="s">
        <v>331</v>
      </c>
      <c r="F26" s="176" t="s">
        <v>332</v>
      </c>
      <c r="G26" s="177"/>
      <c r="H26" s="136" t="s">
        <v>95</v>
      </c>
      <c r="I26" s="137"/>
      <c r="J26" s="138"/>
      <c r="K26" s="43">
        <v>44316</v>
      </c>
      <c r="L26" s="43">
        <v>44316</v>
      </c>
      <c r="M26" s="43">
        <v>44316</v>
      </c>
      <c r="N26" s="38">
        <v>100</v>
      </c>
      <c r="O26" s="40" t="s">
        <v>237</v>
      </c>
      <c r="P26" s="71" t="s">
        <v>52</v>
      </c>
      <c r="R26" s="54" t="s">
        <v>282</v>
      </c>
    </row>
    <row r="27" spans="2:18" ht="61.5" customHeight="1">
      <c r="B27" s="83"/>
      <c r="C27" s="41" t="s">
        <v>333</v>
      </c>
      <c r="D27" s="83" t="s">
        <v>129</v>
      </c>
      <c r="F27" s="167" t="s">
        <v>334</v>
      </c>
      <c r="G27" s="171"/>
      <c r="H27" s="136" t="s">
        <v>95</v>
      </c>
      <c r="I27" s="137"/>
      <c r="J27" s="138"/>
      <c r="K27" s="43">
        <v>44309</v>
      </c>
      <c r="L27" s="43">
        <v>44309</v>
      </c>
      <c r="M27" s="43">
        <v>44309</v>
      </c>
      <c r="N27" s="33">
        <v>100</v>
      </c>
      <c r="O27" s="40" t="s">
        <v>237</v>
      </c>
      <c r="P27" s="38" t="s">
        <v>238</v>
      </c>
      <c r="R27" s="49"/>
    </row>
    <row r="28" spans="2:18" ht="72" customHeight="1">
      <c r="B28" s="82"/>
      <c r="C28" s="95" t="s">
        <v>335</v>
      </c>
      <c r="D28" s="96" t="s">
        <v>137</v>
      </c>
      <c r="E28" s="90"/>
      <c r="F28" s="174" t="s">
        <v>336</v>
      </c>
      <c r="G28" s="175"/>
      <c r="H28" s="172" t="s">
        <v>95</v>
      </c>
      <c r="I28" s="178"/>
      <c r="J28" s="173"/>
      <c r="K28" s="90"/>
      <c r="L28" s="90"/>
      <c r="M28" s="90"/>
      <c r="N28" s="90"/>
      <c r="O28" s="90"/>
      <c r="P28" s="88" t="s">
        <v>238</v>
      </c>
      <c r="R28" s="42" t="s">
        <v>337</v>
      </c>
    </row>
    <row r="29" spans="2:18" ht="52.5" customHeight="1">
      <c r="B29" s="82"/>
      <c r="C29" s="41" t="s">
        <v>338</v>
      </c>
      <c r="D29" s="83" t="s">
        <v>137</v>
      </c>
      <c r="F29" s="167" t="s">
        <v>339</v>
      </c>
      <c r="G29" s="171"/>
      <c r="H29" s="136" t="s">
        <v>50</v>
      </c>
      <c r="I29" s="137"/>
      <c r="J29" s="138"/>
      <c r="N29" s="33">
        <v>100</v>
      </c>
      <c r="P29" s="38" t="s">
        <v>238</v>
      </c>
      <c r="R29" s="1" t="s">
        <v>340</v>
      </c>
    </row>
    <row r="30" spans="2:18" ht="60.75" customHeight="1">
      <c r="B30" s="82"/>
      <c r="C30" s="39" t="s">
        <v>341</v>
      </c>
      <c r="D30" s="83" t="s">
        <v>342</v>
      </c>
      <c r="F30" s="167" t="s">
        <v>343</v>
      </c>
      <c r="G30" s="171"/>
      <c r="H30" s="136" t="s">
        <v>95</v>
      </c>
      <c r="I30" s="137"/>
      <c r="J30" s="138"/>
      <c r="K30" s="43">
        <v>44295</v>
      </c>
      <c r="L30" s="43">
        <v>44295</v>
      </c>
      <c r="M30" s="43">
        <v>44295</v>
      </c>
      <c r="N30" s="33">
        <v>100</v>
      </c>
      <c r="O30" s="40" t="s">
        <v>237</v>
      </c>
      <c r="P30" s="38" t="s">
        <v>52</v>
      </c>
    </row>
    <row r="31" spans="2:18" ht="30" customHeight="1">
      <c r="F31" s="76"/>
      <c r="G31" s="76"/>
      <c r="H31" s="136"/>
      <c r="I31" s="137"/>
      <c r="J31" s="138"/>
    </row>
    <row r="32" spans="2:18" ht="30" customHeight="1">
      <c r="F32" s="76"/>
      <c r="G32" s="76"/>
      <c r="H32" s="136"/>
      <c r="I32" s="137"/>
      <c r="J32" s="138"/>
    </row>
    <row r="33" spans="6:10" ht="30" customHeight="1">
      <c r="F33" s="76"/>
      <c r="G33" s="76"/>
      <c r="H33" s="136"/>
      <c r="I33" s="137"/>
      <c r="J33" s="138"/>
    </row>
    <row r="34" spans="6:10" ht="30" customHeight="1">
      <c r="F34" s="76"/>
      <c r="G34" s="76"/>
    </row>
    <row r="35" spans="6:10" ht="30" customHeight="1">
      <c r="F35" s="76"/>
      <c r="G35" s="76"/>
    </row>
    <row r="36" spans="6:10" ht="30" customHeight="1">
      <c r="F36" s="76"/>
      <c r="G36" s="76"/>
    </row>
    <row r="37" spans="6:10" ht="30" customHeight="1">
      <c r="F37" s="76"/>
      <c r="G37" s="76"/>
    </row>
    <row r="38" spans="6:10" ht="30" customHeight="1">
      <c r="F38" s="76"/>
      <c r="G38" s="76"/>
    </row>
    <row r="39" spans="6:10" ht="30" customHeight="1">
      <c r="F39" s="76"/>
      <c r="G39" s="76"/>
    </row>
    <row r="40" spans="6:10" ht="30" customHeight="1">
      <c r="F40" s="76"/>
      <c r="G40" s="76"/>
    </row>
    <row r="41" spans="6:10" ht="30" customHeight="1">
      <c r="F41" s="76"/>
      <c r="G41" s="76"/>
    </row>
    <row r="42" spans="6:10" ht="30" customHeight="1">
      <c r="F42" s="76"/>
      <c r="G42" s="76"/>
    </row>
    <row r="43" spans="6:10" ht="30" customHeight="1">
      <c r="F43" s="76"/>
      <c r="G43" s="76"/>
    </row>
    <row r="44" spans="6:10" ht="30" customHeight="1">
      <c r="F44" s="76"/>
      <c r="G44" s="76"/>
    </row>
    <row r="45" spans="6:10" ht="30" customHeight="1">
      <c r="F45" s="76"/>
      <c r="G45" s="76"/>
    </row>
    <row r="46" spans="6:10" ht="30" customHeight="1">
      <c r="F46" s="76"/>
      <c r="G46" s="76"/>
    </row>
    <row r="47" spans="6:10" ht="30" customHeight="1"/>
    <row r="48" spans="6:10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</sheetData>
  <autoFilter ref="A13:XFC22" xr:uid="{00000000-0009-0000-0000-000008000000}">
    <filterColumn colId="5" showButton="0"/>
    <filterColumn colId="7" showButton="0"/>
    <filterColumn colId="8" showButton="0"/>
  </autoFilter>
  <mergeCells count="41">
    <mergeCell ref="H33:J33"/>
    <mergeCell ref="H28:J28"/>
    <mergeCell ref="H29:J29"/>
    <mergeCell ref="H30:J30"/>
    <mergeCell ref="H31:J31"/>
    <mergeCell ref="H24:J24"/>
    <mergeCell ref="H25:J25"/>
    <mergeCell ref="H26:J26"/>
    <mergeCell ref="H27:J27"/>
    <mergeCell ref="H32:J32"/>
    <mergeCell ref="B1:C4"/>
    <mergeCell ref="D1:Q4"/>
    <mergeCell ref="F13:G13"/>
    <mergeCell ref="H13:J13"/>
    <mergeCell ref="F14:G14"/>
    <mergeCell ref="H14:J14"/>
    <mergeCell ref="F18:G18"/>
    <mergeCell ref="H18:J18"/>
    <mergeCell ref="F19:G19"/>
    <mergeCell ref="H19:J19"/>
    <mergeCell ref="F15:G15"/>
    <mergeCell ref="H15:J15"/>
    <mergeCell ref="F16:G16"/>
    <mergeCell ref="H16:J16"/>
    <mergeCell ref="F17:G17"/>
    <mergeCell ref="H17:J17"/>
    <mergeCell ref="F23:G23"/>
    <mergeCell ref="H23:J23"/>
    <mergeCell ref="F20:G20"/>
    <mergeCell ref="H20:J20"/>
    <mergeCell ref="F21:G21"/>
    <mergeCell ref="H21:J21"/>
    <mergeCell ref="F22:G22"/>
    <mergeCell ref="H22:J22"/>
    <mergeCell ref="F28:G28"/>
    <mergeCell ref="F29:G29"/>
    <mergeCell ref="F30:G30"/>
    <mergeCell ref="F24:G24"/>
    <mergeCell ref="F25:G25"/>
    <mergeCell ref="F26:G26"/>
    <mergeCell ref="F27:G27"/>
  </mergeCells>
  <conditionalFormatting sqref="N14:N27">
    <cfRule type="cellIs" dxfId="36" priority="6" operator="equal">
      <formula>100</formula>
    </cfRule>
  </conditionalFormatting>
  <conditionalFormatting sqref="N29:N30">
    <cfRule type="cellIs" dxfId="35" priority="1" operator="equal">
      <formula>100</formula>
    </cfRule>
  </conditionalFormatting>
  <conditionalFormatting sqref="P1:P13">
    <cfRule type="containsText" dxfId="34" priority="33" operator="containsText" text="RETRASADO">
      <formula>NOT(ISERROR(SEARCH("RETRASADO",P1)))</formula>
    </cfRule>
    <cfRule type="containsText" dxfId="33" priority="34" operator="containsText" text="EN PROCESO">
      <formula>NOT(ISERROR(SEARCH("EN PROCESO",P1)))</formula>
    </cfRule>
    <cfRule type="containsText" dxfId="32" priority="35" operator="containsText" text="CERRADO">
      <formula>NOT(ISERROR(SEARCH("CERRADO",P1)))</formula>
    </cfRule>
  </conditionalFormatting>
  <conditionalFormatting sqref="P19:P25">
    <cfRule type="containsText" dxfId="31" priority="8" operator="containsText" text="RETRASADO">
      <formula>NOT(ISERROR(SEARCH("RETRASADO",P19)))</formula>
    </cfRule>
    <cfRule type="containsText" dxfId="30" priority="9" operator="containsText" text="EN PROCESO">
      <formula>NOT(ISERROR(SEARCH("EN PROCESO",P19)))</formula>
    </cfRule>
    <cfRule type="containsText" dxfId="29" priority="10" operator="containsText" text="CERRADO">
      <formula>NOT(ISERROR(SEARCH("CERRADO",P19)))</formula>
    </cfRule>
  </conditionalFormatting>
  <conditionalFormatting sqref="P27:P1048576">
    <cfRule type="containsText" dxfId="28" priority="3" operator="containsText" text="RETRASADO">
      <formula>NOT(ISERROR(SEARCH("RETRASADO",P27)))</formula>
    </cfRule>
    <cfRule type="containsText" dxfId="27" priority="4" operator="containsText" text="EN PROCESO">
      <formula>NOT(ISERROR(SEARCH("EN PROCESO",P27)))</formula>
    </cfRule>
    <cfRule type="containsText" dxfId="26" priority="5" operator="containsText" text="CERRADO">
      <formula>NOT(ISERROR(SEARCH("CERRADO",P27)))</formula>
    </cfRule>
  </conditionalFormatting>
  <pageMargins left="0.17" right="0.17" top="0.37" bottom="0.4" header="0.31496062992125984" footer="0.17"/>
  <pageSetup paperSize="9" scale="7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1925-03F6-43A1-9BA5-B565F1D171FB}">
  <dimension ref="A1:XFC59"/>
  <sheetViews>
    <sheetView topLeftCell="B5" workbookViewId="0">
      <selection activeCell="K21" sqref="K21:R21"/>
    </sheetView>
  </sheetViews>
  <sheetFormatPr baseColWidth="10" defaultColWidth="11.42578125" defaultRowHeight="15"/>
  <cols>
    <col min="1" max="1" width="3.140625" style="1" customWidth="1"/>
    <col min="2" max="2" width="10" style="1" customWidth="1"/>
    <col min="3" max="3" width="34" style="1" customWidth="1"/>
    <col min="4" max="4" width="11.85546875" style="1" customWidth="1"/>
    <col min="5" max="5" width="10.140625" style="1" customWidth="1"/>
    <col min="6" max="6" width="14.28515625" style="1" customWidth="1"/>
    <col min="7" max="7" width="9.5703125" style="1" customWidth="1"/>
    <col min="8" max="8" width="9" style="1" customWidth="1"/>
    <col min="9" max="9" width="4.85546875" style="1" customWidth="1"/>
    <col min="10" max="10" width="5.5703125" style="1" customWidth="1"/>
    <col min="11" max="12" width="10.5703125" style="1" customWidth="1"/>
    <col min="13" max="13" width="11" style="1" customWidth="1"/>
    <col min="14" max="14" width="8.7109375" style="1" customWidth="1"/>
    <col min="15" max="15" width="8.28515625" style="1" customWidth="1"/>
    <col min="16" max="16" width="9.28515625" style="1" customWidth="1"/>
    <col min="17" max="17" width="9.140625" style="1" hidden="1" customWidth="1"/>
    <col min="18" max="18" width="20.140625" style="1" customWidth="1"/>
    <col min="19" max="16384" width="11.42578125" style="1"/>
  </cols>
  <sheetData>
    <row r="1" spans="1:16383" ht="15" customHeight="1">
      <c r="A1" s="13"/>
      <c r="B1" s="150"/>
      <c r="C1" s="151"/>
      <c r="D1" s="156" t="s">
        <v>30</v>
      </c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8"/>
      <c r="R1" s="27" t="s">
        <v>31</v>
      </c>
      <c r="S1" s="3"/>
    </row>
    <row r="2" spans="1:16383" ht="15" customHeight="1">
      <c r="A2" s="13"/>
      <c r="B2" s="152"/>
      <c r="C2" s="153"/>
      <c r="D2" s="159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1"/>
      <c r="R2" s="28" t="s">
        <v>32</v>
      </c>
      <c r="S2" s="3"/>
    </row>
    <row r="3" spans="1:16383" ht="15" customHeight="1">
      <c r="A3" s="13"/>
      <c r="B3" s="152"/>
      <c r="C3" s="153"/>
      <c r="D3" s="159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1"/>
      <c r="R3" s="28" t="s">
        <v>33</v>
      </c>
      <c r="S3" s="3"/>
    </row>
    <row r="4" spans="1:16383" ht="15" customHeight="1">
      <c r="A4" s="13"/>
      <c r="B4" s="154"/>
      <c r="C4" s="155"/>
      <c r="D4" s="162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/>
      <c r="R4" s="29" t="s">
        <v>34</v>
      </c>
      <c r="S4" s="3"/>
    </row>
    <row r="5" spans="1:16383" ht="25.5" customHeight="1">
      <c r="A5" s="13"/>
      <c r="B5" s="14"/>
      <c r="C5" s="14"/>
      <c r="D5" s="15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5"/>
      <c r="S5" s="3"/>
    </row>
    <row r="6" spans="1:16383" ht="31.5" customHeight="1">
      <c r="A6" s="13"/>
      <c r="B6" s="16" t="s">
        <v>1</v>
      </c>
      <c r="C6" s="79" t="s">
        <v>344</v>
      </c>
      <c r="D6" s="6"/>
      <c r="E6" s="6" t="s">
        <v>2</v>
      </c>
      <c r="F6" s="50">
        <v>44323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13"/>
      <c r="S6" s="3"/>
    </row>
    <row r="7" spans="1:16383" ht="12.75" customHeight="1">
      <c r="A7" s="13"/>
      <c r="B7" s="17"/>
      <c r="C7" s="17"/>
      <c r="D7" s="21"/>
      <c r="E7" s="21"/>
      <c r="F7" s="26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13"/>
      <c r="S7" s="3"/>
    </row>
    <row r="8" spans="1:16383" ht="33" customHeight="1">
      <c r="A8" s="13"/>
      <c r="B8" s="18" t="s">
        <v>36</v>
      </c>
      <c r="C8" s="80" t="s">
        <v>345</v>
      </c>
      <c r="D8" s="6"/>
      <c r="E8" s="6" t="s">
        <v>4</v>
      </c>
      <c r="F8" s="50" t="s">
        <v>38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13"/>
      <c r="S8" s="3"/>
    </row>
    <row r="9" spans="1:16383" ht="37.5" customHeight="1">
      <c r="A9" s="13"/>
      <c r="B9" s="19" t="s">
        <v>1</v>
      </c>
      <c r="C9" s="13"/>
      <c r="D9" s="13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13"/>
      <c r="S9" s="3"/>
    </row>
    <row r="10" spans="1:16383" ht="14.25" customHeight="1" thickBot="1">
      <c r="A10" s="13"/>
      <c r="B10" s="20"/>
      <c r="C10" s="21"/>
      <c r="D10" s="21"/>
      <c r="E10" s="21"/>
      <c r="F10" s="21"/>
      <c r="G10" s="21"/>
      <c r="H10" s="7"/>
      <c r="I10" s="8" t="s">
        <v>39</v>
      </c>
      <c r="J10" s="8" t="s">
        <v>40</v>
      </c>
      <c r="K10" s="8" t="s">
        <v>41</v>
      </c>
      <c r="L10" s="8" t="s">
        <v>42</v>
      </c>
      <c r="M10" s="8" t="s">
        <v>9</v>
      </c>
      <c r="N10" s="21"/>
      <c r="O10" s="21"/>
      <c r="P10" s="21"/>
      <c r="Q10" s="21"/>
      <c r="R10" s="13"/>
      <c r="S10" s="3"/>
    </row>
    <row r="11" spans="1:16383" ht="14.25" customHeight="1" thickBot="1">
      <c r="A11" s="13"/>
      <c r="B11" s="22" t="s">
        <v>13</v>
      </c>
      <c r="C11" s="13"/>
      <c r="D11" s="13"/>
      <c r="E11" s="20"/>
      <c r="F11" s="13"/>
      <c r="G11" s="13"/>
      <c r="H11" s="52" t="s">
        <v>14</v>
      </c>
      <c r="I11" s="9">
        <f>COUNTIF(P14:Q23,"CERRADO")</f>
        <v>6</v>
      </c>
      <c r="J11" s="10">
        <f>COUNTIF(P14:P23,"EN PROCESO")</f>
        <v>0</v>
      </c>
      <c r="K11" s="11">
        <f>COUNTIF(P14:P23,"RETRASADO")</f>
        <v>0</v>
      </c>
      <c r="L11" s="9">
        <f>SUM(I11:K11)</f>
        <v>6</v>
      </c>
      <c r="M11" s="12">
        <f>I11/L11</f>
        <v>1</v>
      </c>
      <c r="N11" s="13"/>
      <c r="O11" s="13"/>
      <c r="P11" s="13"/>
      <c r="Q11" s="13"/>
      <c r="R11" s="13"/>
      <c r="S11" s="3"/>
    </row>
    <row r="12" spans="1:16383" ht="9" customHeight="1">
      <c r="A12" s="13"/>
      <c r="B12" s="20"/>
      <c r="C12" s="13"/>
      <c r="D12" s="13"/>
      <c r="E12" s="13"/>
      <c r="F12" s="13"/>
      <c r="G12" s="13"/>
      <c r="H12" s="24"/>
      <c r="I12" s="4"/>
      <c r="J12" s="4"/>
      <c r="K12" s="4"/>
      <c r="L12" s="4"/>
      <c r="M12" s="25"/>
      <c r="N12" s="13"/>
      <c r="O12" s="13"/>
      <c r="P12" s="13"/>
      <c r="Q12" s="13"/>
      <c r="R12" s="13"/>
      <c r="S12" s="3"/>
    </row>
    <row r="13" spans="1:16383" ht="46.5" customHeight="1">
      <c r="A13" s="4"/>
      <c r="B13" s="57" t="s">
        <v>17</v>
      </c>
      <c r="C13" s="36" t="s">
        <v>43</v>
      </c>
      <c r="D13" s="36" t="s">
        <v>19</v>
      </c>
      <c r="E13" s="36" t="s">
        <v>20</v>
      </c>
      <c r="F13" s="165" t="s">
        <v>21</v>
      </c>
      <c r="G13" s="165"/>
      <c r="H13" s="166" t="s">
        <v>22</v>
      </c>
      <c r="I13" s="166"/>
      <c r="J13" s="166"/>
      <c r="K13" s="30" t="s">
        <v>23</v>
      </c>
      <c r="L13" s="30" t="s">
        <v>24</v>
      </c>
      <c r="M13" s="30" t="s">
        <v>25</v>
      </c>
      <c r="N13" s="31" t="s">
        <v>9</v>
      </c>
      <c r="O13" s="31" t="s">
        <v>26</v>
      </c>
      <c r="P13" s="31" t="s">
        <v>27</v>
      </c>
      <c r="Q13" s="23" t="s">
        <v>44</v>
      </c>
      <c r="R13" s="31" t="s">
        <v>29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</row>
    <row r="14" spans="1:16383" ht="107.25" customHeight="1">
      <c r="B14" s="91"/>
      <c r="C14" s="39" t="s">
        <v>346</v>
      </c>
      <c r="D14" s="91" t="s">
        <v>47</v>
      </c>
      <c r="E14" s="33"/>
      <c r="F14" s="167" t="s">
        <v>347</v>
      </c>
      <c r="G14" s="149"/>
      <c r="H14" s="139" t="s">
        <v>50</v>
      </c>
      <c r="I14" s="140"/>
      <c r="J14" s="141"/>
      <c r="K14" s="43">
        <v>44323</v>
      </c>
      <c r="L14" s="43">
        <v>44323</v>
      </c>
      <c r="M14" s="43">
        <v>44323</v>
      </c>
      <c r="N14" s="72">
        <v>100</v>
      </c>
      <c r="O14" s="40" t="s">
        <v>237</v>
      </c>
      <c r="P14" s="71" t="s">
        <v>52</v>
      </c>
      <c r="Q14" s="33"/>
      <c r="R14" s="49" t="s">
        <v>348</v>
      </c>
    </row>
    <row r="15" spans="1:16383" ht="73.5" customHeight="1">
      <c r="B15" s="91"/>
      <c r="C15" s="39" t="s">
        <v>349</v>
      </c>
      <c r="D15" s="91" t="s">
        <v>47</v>
      </c>
      <c r="E15" s="33"/>
      <c r="F15" s="148" t="s">
        <v>309</v>
      </c>
      <c r="G15" s="149"/>
      <c r="H15" s="139" t="s">
        <v>64</v>
      </c>
      <c r="I15" s="140"/>
      <c r="J15" s="141"/>
      <c r="K15" s="43">
        <v>44319</v>
      </c>
      <c r="L15" s="43">
        <v>44319</v>
      </c>
      <c r="M15" s="43">
        <v>44319</v>
      </c>
      <c r="N15" s="72">
        <v>100</v>
      </c>
      <c r="O15" s="40" t="s">
        <v>237</v>
      </c>
      <c r="P15" s="71" t="s">
        <v>52</v>
      </c>
      <c r="Q15" s="40"/>
      <c r="R15" s="46"/>
    </row>
    <row r="16" spans="1:16383" ht="75" hidden="1" customHeight="1">
      <c r="B16" s="83"/>
      <c r="C16" s="39"/>
      <c r="D16" s="83"/>
      <c r="E16" s="38"/>
      <c r="F16" s="167"/>
      <c r="G16" s="149"/>
      <c r="H16" s="139"/>
      <c r="I16" s="140"/>
      <c r="J16" s="141"/>
      <c r="K16" s="43"/>
      <c r="L16" s="43"/>
      <c r="M16" s="43"/>
      <c r="N16" s="38"/>
      <c r="O16" s="40" t="s">
        <v>237</v>
      </c>
      <c r="P16" s="38"/>
      <c r="Q16" s="42"/>
      <c r="R16" s="54"/>
    </row>
    <row r="17" spans="2:18" ht="71.25" customHeight="1">
      <c r="B17" s="91"/>
      <c r="C17" s="39" t="s">
        <v>350</v>
      </c>
      <c r="D17" s="91" t="s">
        <v>47</v>
      </c>
      <c r="E17" s="33"/>
      <c r="F17" s="167" t="s">
        <v>351</v>
      </c>
      <c r="G17" s="171"/>
      <c r="H17" s="139" t="s">
        <v>50</v>
      </c>
      <c r="I17" s="140"/>
      <c r="J17" s="141"/>
      <c r="K17" s="43">
        <v>44323</v>
      </c>
      <c r="L17" s="43">
        <v>44323</v>
      </c>
      <c r="M17" s="43">
        <v>44323</v>
      </c>
      <c r="N17" s="72">
        <v>100</v>
      </c>
      <c r="O17" s="40" t="s">
        <v>237</v>
      </c>
      <c r="P17" s="71" t="s">
        <v>52</v>
      </c>
      <c r="R17" s="54"/>
    </row>
    <row r="18" spans="2:18" ht="58.5" customHeight="1">
      <c r="B18" s="83"/>
      <c r="C18" s="39" t="s">
        <v>312</v>
      </c>
      <c r="D18" s="91" t="s">
        <v>47</v>
      </c>
      <c r="E18" s="33"/>
      <c r="F18" s="167" t="s">
        <v>313</v>
      </c>
      <c r="G18" s="171"/>
      <c r="H18" s="136" t="s">
        <v>95</v>
      </c>
      <c r="I18" s="137"/>
      <c r="J18" s="138"/>
      <c r="K18" s="43">
        <v>44302</v>
      </c>
      <c r="L18" s="43">
        <v>44302</v>
      </c>
      <c r="M18" s="43">
        <v>44302</v>
      </c>
      <c r="N18" s="38">
        <v>100</v>
      </c>
      <c r="O18" s="40" t="s">
        <v>237</v>
      </c>
      <c r="P18" s="71" t="s">
        <v>52</v>
      </c>
      <c r="R18" s="49"/>
    </row>
    <row r="19" spans="2:18" ht="79.5" customHeight="1">
      <c r="B19" s="83"/>
      <c r="C19" s="39" t="s">
        <v>352</v>
      </c>
      <c r="D19" s="97" t="s">
        <v>61</v>
      </c>
      <c r="E19" s="33"/>
      <c r="F19" s="167" t="s">
        <v>316</v>
      </c>
      <c r="G19" s="171"/>
      <c r="H19" s="136" t="s">
        <v>272</v>
      </c>
      <c r="I19" s="137"/>
      <c r="J19" s="138"/>
      <c r="K19" s="43">
        <v>44319</v>
      </c>
      <c r="L19" s="43">
        <v>44319</v>
      </c>
      <c r="M19" s="43">
        <v>44319</v>
      </c>
      <c r="N19" s="33">
        <v>100</v>
      </c>
      <c r="O19" s="40" t="s">
        <v>237</v>
      </c>
      <c r="P19" s="38" t="s">
        <v>238</v>
      </c>
      <c r="R19" s="54" t="s">
        <v>244</v>
      </c>
    </row>
    <row r="20" spans="2:18" ht="45.75" customHeight="1">
      <c r="B20" s="83"/>
      <c r="C20" s="39" t="s">
        <v>353</v>
      </c>
      <c r="D20" s="97" t="s">
        <v>61</v>
      </c>
      <c r="E20" s="38"/>
      <c r="F20" s="167" t="s">
        <v>354</v>
      </c>
      <c r="G20" s="171"/>
      <c r="H20" s="136" t="s">
        <v>64</v>
      </c>
      <c r="I20" s="137"/>
      <c r="J20" s="138"/>
      <c r="K20" s="43">
        <v>44432</v>
      </c>
      <c r="L20" s="43">
        <v>44432</v>
      </c>
      <c r="M20" s="43">
        <v>44432</v>
      </c>
      <c r="N20" s="33">
        <v>100</v>
      </c>
      <c r="P20" s="38" t="s">
        <v>238</v>
      </c>
      <c r="R20" s="49" t="s">
        <v>355</v>
      </c>
    </row>
    <row r="21" spans="2:18" ht="106.5" customHeight="1">
      <c r="B21" s="83"/>
      <c r="C21" s="39" t="s">
        <v>356</v>
      </c>
      <c r="D21" s="97" t="s">
        <v>61</v>
      </c>
      <c r="E21" s="38"/>
      <c r="F21" s="167" t="s">
        <v>318</v>
      </c>
      <c r="G21" s="171"/>
      <c r="H21" s="136" t="s">
        <v>95</v>
      </c>
      <c r="I21" s="137"/>
      <c r="J21" s="138"/>
      <c r="K21" s="43">
        <v>44314</v>
      </c>
      <c r="L21" s="43">
        <v>44314</v>
      </c>
      <c r="M21" s="43">
        <v>44314</v>
      </c>
      <c r="N21" s="38">
        <v>100</v>
      </c>
      <c r="O21" s="47"/>
      <c r="P21" s="1" t="s">
        <v>52</v>
      </c>
      <c r="R21" s="49" t="s">
        <v>357</v>
      </c>
    </row>
    <row r="22" spans="2:18" ht="48" customHeight="1">
      <c r="B22" s="83"/>
      <c r="C22" s="39" t="s">
        <v>358</v>
      </c>
      <c r="D22" s="83" t="s">
        <v>359</v>
      </c>
      <c r="E22" s="38"/>
      <c r="F22" s="167"/>
      <c r="G22" s="171"/>
      <c r="H22" s="136" t="s">
        <v>64</v>
      </c>
      <c r="I22" s="137"/>
      <c r="J22" s="138"/>
      <c r="K22" s="43">
        <v>44314</v>
      </c>
      <c r="L22" s="43">
        <v>44314</v>
      </c>
      <c r="M22" s="43">
        <v>44314</v>
      </c>
      <c r="N22" s="38">
        <v>100</v>
      </c>
      <c r="O22" s="47"/>
      <c r="P22" s="1" t="s">
        <v>52</v>
      </c>
      <c r="R22" s="49"/>
    </row>
    <row r="23" spans="2:18" ht="63.75" customHeight="1">
      <c r="B23" s="83"/>
      <c r="C23" s="41" t="s">
        <v>360</v>
      </c>
      <c r="D23" s="83" t="s">
        <v>78</v>
      </c>
      <c r="F23" s="167" t="s">
        <v>334</v>
      </c>
      <c r="G23" s="171"/>
      <c r="H23" s="136" t="s">
        <v>95</v>
      </c>
      <c r="I23" s="137"/>
      <c r="J23" s="138"/>
      <c r="K23" s="43">
        <v>44309</v>
      </c>
      <c r="L23" s="43">
        <v>44309</v>
      </c>
      <c r="M23" s="43">
        <v>44309</v>
      </c>
      <c r="N23" s="38">
        <v>100</v>
      </c>
      <c r="O23" s="40" t="s">
        <v>237</v>
      </c>
      <c r="P23" s="38" t="s">
        <v>238</v>
      </c>
    </row>
    <row r="24" spans="2:18" ht="44.25" customHeight="1">
      <c r="B24" s="37"/>
      <c r="C24" s="64" t="s">
        <v>361</v>
      </c>
      <c r="D24" s="37" t="s">
        <v>258</v>
      </c>
      <c r="F24" s="176" t="s">
        <v>330</v>
      </c>
      <c r="G24" s="177"/>
      <c r="H24" s="136" t="s">
        <v>95</v>
      </c>
      <c r="I24" s="137"/>
      <c r="J24" s="138"/>
      <c r="K24" s="43">
        <v>44336</v>
      </c>
      <c r="L24" s="43">
        <v>44336</v>
      </c>
      <c r="M24" s="43">
        <v>44336</v>
      </c>
      <c r="N24" s="33">
        <v>100</v>
      </c>
      <c r="O24" s="40" t="s">
        <v>237</v>
      </c>
      <c r="P24" s="38" t="s">
        <v>238</v>
      </c>
      <c r="R24" s="55" t="s">
        <v>294</v>
      </c>
    </row>
    <row r="25" spans="2:18" ht="50.25" customHeight="1">
      <c r="B25" s="83"/>
      <c r="C25" s="95" t="s">
        <v>362</v>
      </c>
      <c r="D25" s="96"/>
      <c r="E25" s="90"/>
      <c r="F25" s="179"/>
      <c r="G25" s="180"/>
      <c r="H25" s="172"/>
      <c r="I25" s="178"/>
      <c r="J25" s="173"/>
      <c r="K25" s="99">
        <v>44313</v>
      </c>
      <c r="L25" s="99">
        <v>44313</v>
      </c>
      <c r="M25" s="99">
        <v>44313</v>
      </c>
      <c r="N25" s="88">
        <v>100</v>
      </c>
      <c r="O25" s="90"/>
      <c r="P25" s="38" t="s">
        <v>238</v>
      </c>
      <c r="Q25" s="90"/>
      <c r="R25" s="100" t="s">
        <v>363</v>
      </c>
    </row>
    <row r="26" spans="2:18" ht="90.75" customHeight="1">
      <c r="B26" s="83"/>
      <c r="C26" s="41" t="s">
        <v>364</v>
      </c>
      <c r="D26" s="83"/>
      <c r="F26" s="167" t="s">
        <v>365</v>
      </c>
      <c r="G26" s="171"/>
      <c r="H26" s="136"/>
      <c r="I26" s="137"/>
      <c r="J26" s="138"/>
      <c r="K26" s="43"/>
      <c r="L26" s="43"/>
      <c r="M26" s="43"/>
      <c r="N26" s="38">
        <v>100</v>
      </c>
      <c r="O26" s="47"/>
      <c r="P26" s="38" t="s">
        <v>238</v>
      </c>
      <c r="R26" s="49" t="s">
        <v>366</v>
      </c>
    </row>
    <row r="27" spans="2:18" ht="64.5" customHeight="1">
      <c r="B27" s="82"/>
      <c r="C27" s="39" t="s">
        <v>367</v>
      </c>
      <c r="D27" s="83" t="s">
        <v>258</v>
      </c>
      <c r="F27" s="167" t="s">
        <v>243</v>
      </c>
      <c r="G27" s="171"/>
      <c r="H27" s="136" t="s">
        <v>64</v>
      </c>
      <c r="I27" s="137"/>
      <c r="J27" s="138"/>
      <c r="K27" s="43">
        <v>44316</v>
      </c>
      <c r="L27" s="43">
        <v>44316</v>
      </c>
      <c r="M27" s="43">
        <v>44316</v>
      </c>
      <c r="N27" s="72">
        <v>100</v>
      </c>
      <c r="O27" s="40" t="s">
        <v>237</v>
      </c>
      <c r="P27" s="72" t="s">
        <v>238</v>
      </c>
    </row>
    <row r="28" spans="2:18" ht="67.5" customHeight="1">
      <c r="B28" s="82"/>
      <c r="C28" s="41" t="s">
        <v>368</v>
      </c>
      <c r="D28" s="83"/>
      <c r="F28" s="167" t="s">
        <v>369</v>
      </c>
      <c r="G28" s="171"/>
      <c r="H28" s="136" t="s">
        <v>370</v>
      </c>
      <c r="I28" s="137"/>
      <c r="J28" s="138"/>
      <c r="N28" s="72">
        <v>100</v>
      </c>
      <c r="P28" s="1" t="s">
        <v>238</v>
      </c>
      <c r="R28" s="40" t="s">
        <v>371</v>
      </c>
    </row>
    <row r="29" spans="2:18" ht="38.25" customHeight="1">
      <c r="C29" s="40" t="s">
        <v>372</v>
      </c>
      <c r="F29" s="167"/>
      <c r="G29" s="171"/>
      <c r="H29" s="136" t="s">
        <v>50</v>
      </c>
      <c r="I29" s="137"/>
      <c r="J29" s="138"/>
      <c r="K29" s="43">
        <v>44295</v>
      </c>
      <c r="L29" s="43">
        <v>44295</v>
      </c>
      <c r="M29" s="43">
        <v>44295</v>
      </c>
      <c r="N29" s="63">
        <v>100</v>
      </c>
      <c r="O29" s="40" t="s">
        <v>237</v>
      </c>
      <c r="P29" s="38" t="s">
        <v>52</v>
      </c>
    </row>
    <row r="30" spans="2:18" ht="30" customHeight="1">
      <c r="F30" s="76"/>
      <c r="G30" s="76"/>
      <c r="H30" s="136"/>
      <c r="I30" s="137"/>
      <c r="J30" s="138"/>
    </row>
    <row r="31" spans="2:18" ht="30" customHeight="1">
      <c r="F31" s="76"/>
      <c r="G31" s="76"/>
    </row>
    <row r="32" spans="2:18" ht="30" customHeight="1">
      <c r="F32" s="76"/>
      <c r="G32" s="76"/>
    </row>
    <row r="33" spans="6:7" ht="30" customHeight="1">
      <c r="F33" s="76"/>
      <c r="G33" s="76"/>
    </row>
    <row r="34" spans="6:7" ht="30" customHeight="1">
      <c r="F34" s="76"/>
      <c r="G34" s="76"/>
    </row>
    <row r="35" spans="6:7" ht="30" customHeight="1">
      <c r="F35" s="76"/>
      <c r="G35" s="76"/>
    </row>
    <row r="36" spans="6:7" ht="30" customHeight="1">
      <c r="F36" s="76"/>
      <c r="G36" s="76"/>
    </row>
    <row r="37" spans="6:7" ht="30" customHeight="1">
      <c r="F37" s="76"/>
      <c r="G37" s="76"/>
    </row>
    <row r="38" spans="6:7" ht="30" customHeight="1">
      <c r="F38" s="76"/>
      <c r="G38" s="76"/>
    </row>
    <row r="39" spans="6:7" ht="30" customHeight="1">
      <c r="F39" s="76"/>
      <c r="G39" s="76"/>
    </row>
    <row r="40" spans="6:7" ht="30" customHeight="1">
      <c r="F40" s="76"/>
      <c r="G40" s="76"/>
    </row>
    <row r="41" spans="6:7" ht="30" customHeight="1">
      <c r="F41" s="76"/>
      <c r="G41" s="76"/>
    </row>
    <row r="42" spans="6:7" ht="30" customHeight="1">
      <c r="F42" s="76"/>
      <c r="G42" s="76"/>
    </row>
    <row r="43" spans="6:7" ht="30" customHeight="1">
      <c r="F43" s="76"/>
      <c r="G43" s="76"/>
    </row>
    <row r="44" spans="6:7" ht="30" customHeight="1"/>
    <row r="45" spans="6:7" ht="30" customHeight="1"/>
    <row r="46" spans="6:7" ht="30" customHeight="1"/>
    <row r="47" spans="6:7" ht="30" customHeight="1"/>
    <row r="48" spans="6:7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</sheetData>
  <autoFilter ref="A13:XFC22" xr:uid="{00000000-0009-0000-0000-000008000000}">
    <filterColumn colId="5" showButton="0"/>
    <filterColumn colId="7" showButton="0"/>
    <filterColumn colId="8" showButton="0"/>
  </autoFilter>
  <mergeCells count="37">
    <mergeCell ref="B1:C4"/>
    <mergeCell ref="D1:Q4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F20:G20"/>
    <mergeCell ref="H20:J20"/>
    <mergeCell ref="F24:G24"/>
    <mergeCell ref="H24:J24"/>
    <mergeCell ref="F21:G21"/>
    <mergeCell ref="H21:J21"/>
    <mergeCell ref="F22:G22"/>
    <mergeCell ref="H22:J22"/>
    <mergeCell ref="F23:G23"/>
    <mergeCell ref="H23:J23"/>
    <mergeCell ref="F25:G25"/>
    <mergeCell ref="H25:J25"/>
    <mergeCell ref="F26:G26"/>
    <mergeCell ref="H26:J26"/>
    <mergeCell ref="H29:J29"/>
    <mergeCell ref="H30:J30"/>
    <mergeCell ref="F27:G27"/>
    <mergeCell ref="H27:J27"/>
    <mergeCell ref="F28:G28"/>
    <mergeCell ref="H28:J28"/>
    <mergeCell ref="F29:G29"/>
  </mergeCells>
  <conditionalFormatting sqref="N14:N28">
    <cfRule type="cellIs" dxfId="25" priority="7" operator="equal">
      <formula>100</formula>
    </cfRule>
  </conditionalFormatting>
  <conditionalFormatting sqref="P1:P13">
    <cfRule type="containsText" dxfId="24" priority="63" operator="containsText" text="RETRASADO">
      <formula>NOT(ISERROR(SEARCH("RETRASADO",P1)))</formula>
    </cfRule>
    <cfRule type="containsText" dxfId="23" priority="64" operator="containsText" text="EN PROCESO">
      <formula>NOT(ISERROR(SEARCH("EN PROCESO",P1)))</formula>
    </cfRule>
    <cfRule type="containsText" dxfId="22" priority="65" operator="containsText" text="CERRADO">
      <formula>NOT(ISERROR(SEARCH("CERRADO",P1)))</formula>
    </cfRule>
  </conditionalFormatting>
  <conditionalFormatting sqref="P19:P1048576">
    <cfRule type="containsText" dxfId="21" priority="1" operator="containsText" text="RETRASADO">
      <formula>NOT(ISERROR(SEARCH("RETRASADO",P19)))</formula>
    </cfRule>
    <cfRule type="containsText" dxfId="20" priority="2" operator="containsText" text="EN PROCESO">
      <formula>NOT(ISERROR(SEARCH("EN PROCESO",P19)))</formula>
    </cfRule>
    <cfRule type="containsText" dxfId="19" priority="3" operator="containsText" text="CERRADO">
      <formula>NOT(ISERROR(SEARCH("CERRADO",P19)))</formula>
    </cfRule>
  </conditionalFormatting>
  <pageMargins left="0.17" right="0.17" top="0.37" bottom="0.4" header="0.31496062992125984" footer="0.17"/>
  <pageSetup paperSize="9" scale="7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C1DB-0307-4261-BA32-EB64AEBA1745}">
  <dimension ref="A1:XFC60"/>
  <sheetViews>
    <sheetView topLeftCell="C27" workbookViewId="0">
      <selection activeCell="D13" sqref="D13"/>
    </sheetView>
  </sheetViews>
  <sheetFormatPr baseColWidth="10" defaultColWidth="11.42578125" defaultRowHeight="15"/>
  <cols>
    <col min="1" max="1" width="3.140625" style="1" customWidth="1"/>
    <col min="2" max="2" width="10" style="1" customWidth="1"/>
    <col min="3" max="3" width="34" style="1" customWidth="1"/>
    <col min="4" max="4" width="11.85546875" style="1" customWidth="1"/>
    <col min="5" max="5" width="10.140625" style="1" customWidth="1"/>
    <col min="6" max="6" width="14.28515625" style="1" customWidth="1"/>
    <col min="7" max="7" width="9.5703125" style="1" customWidth="1"/>
    <col min="8" max="8" width="9" style="1" customWidth="1"/>
    <col min="9" max="9" width="4.85546875" style="1" customWidth="1"/>
    <col min="10" max="10" width="5.5703125" style="1" customWidth="1"/>
    <col min="11" max="12" width="10.5703125" style="1" customWidth="1"/>
    <col min="13" max="13" width="11" style="1" customWidth="1"/>
    <col min="14" max="14" width="8.7109375" style="1" customWidth="1"/>
    <col min="15" max="15" width="8.28515625" style="1" customWidth="1"/>
    <col min="16" max="16" width="10.5703125" style="1" customWidth="1"/>
    <col min="17" max="17" width="9.140625" style="1" hidden="1" customWidth="1"/>
    <col min="18" max="18" width="20.140625" style="1" customWidth="1"/>
    <col min="19" max="16384" width="11.42578125" style="1"/>
  </cols>
  <sheetData>
    <row r="1" spans="1:16383" ht="15" customHeight="1">
      <c r="A1" s="13"/>
      <c r="B1" s="150"/>
      <c r="C1" s="151"/>
      <c r="D1" s="156" t="s">
        <v>30</v>
      </c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8"/>
      <c r="R1" s="27" t="s">
        <v>31</v>
      </c>
      <c r="S1" s="3"/>
    </row>
    <row r="2" spans="1:16383" ht="15" customHeight="1">
      <c r="A2" s="13"/>
      <c r="B2" s="152"/>
      <c r="C2" s="153"/>
      <c r="D2" s="159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1"/>
      <c r="R2" s="28" t="s">
        <v>32</v>
      </c>
      <c r="S2" s="3"/>
    </row>
    <row r="3" spans="1:16383" ht="15" customHeight="1">
      <c r="A3" s="13"/>
      <c r="B3" s="152"/>
      <c r="C3" s="153"/>
      <c r="D3" s="159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1"/>
      <c r="R3" s="28" t="s">
        <v>33</v>
      </c>
      <c r="S3" s="3"/>
    </row>
    <row r="4" spans="1:16383" ht="15" customHeight="1">
      <c r="A4" s="13"/>
      <c r="B4" s="154"/>
      <c r="C4" s="155"/>
      <c r="D4" s="162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/>
      <c r="R4" s="29" t="s">
        <v>34</v>
      </c>
      <c r="S4" s="3"/>
    </row>
    <row r="5" spans="1:16383" ht="25.5" customHeight="1">
      <c r="A5" s="13"/>
      <c r="B5" s="14"/>
      <c r="C5" s="14"/>
      <c r="D5" s="15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5"/>
      <c r="S5" s="3"/>
    </row>
    <row r="6" spans="1:16383" ht="31.5" customHeight="1">
      <c r="A6" s="13"/>
      <c r="B6" s="16" t="s">
        <v>1</v>
      </c>
      <c r="C6" s="79" t="s">
        <v>373</v>
      </c>
      <c r="D6" s="6"/>
      <c r="E6" s="6" t="s">
        <v>2</v>
      </c>
      <c r="F6" s="50">
        <v>44291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13"/>
      <c r="S6" s="3"/>
    </row>
    <row r="7" spans="1:16383" ht="12.75" customHeight="1">
      <c r="A7" s="13"/>
      <c r="B7" s="17"/>
      <c r="C7" s="17"/>
      <c r="D7" s="21"/>
      <c r="E7" s="21"/>
      <c r="F7" s="26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13"/>
      <c r="S7" s="3"/>
    </row>
    <row r="8" spans="1:16383" ht="33" customHeight="1">
      <c r="A8" s="13"/>
      <c r="B8" s="18" t="s">
        <v>36</v>
      </c>
      <c r="C8" s="80" t="s">
        <v>374</v>
      </c>
      <c r="D8" s="6"/>
      <c r="E8" s="6" t="s">
        <v>4</v>
      </c>
      <c r="F8" s="50" t="s">
        <v>38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13"/>
      <c r="S8" s="3"/>
    </row>
    <row r="9" spans="1:16383" ht="37.5" customHeight="1">
      <c r="A9" s="13"/>
      <c r="B9" s="19" t="s">
        <v>1</v>
      </c>
      <c r="C9" s="13"/>
      <c r="D9" s="13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13"/>
      <c r="S9" s="3"/>
    </row>
    <row r="10" spans="1:16383" ht="14.25" customHeight="1" thickBot="1">
      <c r="A10" s="13"/>
      <c r="B10" s="20"/>
      <c r="C10" s="21"/>
      <c r="D10" s="21"/>
      <c r="E10" s="21"/>
      <c r="F10" s="21"/>
      <c r="G10" s="21"/>
      <c r="H10" s="7"/>
      <c r="I10" s="8" t="s">
        <v>39</v>
      </c>
      <c r="J10" s="8" t="s">
        <v>40</v>
      </c>
      <c r="K10" s="8" t="s">
        <v>41</v>
      </c>
      <c r="L10" s="8" t="s">
        <v>42</v>
      </c>
      <c r="M10" s="8" t="s">
        <v>9</v>
      </c>
      <c r="N10" s="21"/>
      <c r="O10" s="21"/>
      <c r="P10" s="21"/>
      <c r="Q10" s="21"/>
      <c r="R10" s="13"/>
      <c r="S10" s="3"/>
    </row>
    <row r="11" spans="1:16383" ht="14.25" customHeight="1" thickBot="1">
      <c r="A11" s="13"/>
      <c r="B11" s="22" t="s">
        <v>13</v>
      </c>
      <c r="C11" s="13"/>
      <c r="D11" s="13"/>
      <c r="E11" s="20"/>
      <c r="F11" s="13"/>
      <c r="G11" s="13"/>
      <c r="H11" s="52" t="s">
        <v>14</v>
      </c>
      <c r="I11" s="9">
        <f>COUNTIF(P14:Q23,"CERRADO")</f>
        <v>1</v>
      </c>
      <c r="J11" s="10">
        <f>COUNTIF(P14:P23,"EN PROCESO")</f>
        <v>1</v>
      </c>
      <c r="K11" s="11">
        <f>COUNTIF(P14:P23,"RETRASADO")</f>
        <v>0</v>
      </c>
      <c r="L11" s="9">
        <f>SUM(I11:K11)</f>
        <v>2</v>
      </c>
      <c r="M11" s="12">
        <f>I11/L11</f>
        <v>0.5</v>
      </c>
      <c r="N11" s="13"/>
      <c r="O11" s="13"/>
      <c r="P11" s="13"/>
      <c r="Q11" s="13"/>
      <c r="R11" s="13"/>
      <c r="S11" s="3"/>
    </row>
    <row r="12" spans="1:16383" ht="9" customHeight="1">
      <c r="A12" s="13"/>
      <c r="B12" s="20"/>
      <c r="C12" s="13"/>
      <c r="D12" s="13"/>
      <c r="E12" s="13"/>
      <c r="F12" s="13"/>
      <c r="G12" s="13"/>
      <c r="H12" s="24"/>
      <c r="I12" s="4"/>
      <c r="J12" s="4"/>
      <c r="K12" s="4"/>
      <c r="L12" s="4"/>
      <c r="M12" s="25"/>
      <c r="N12" s="13"/>
      <c r="O12" s="13"/>
      <c r="P12" s="13"/>
      <c r="Q12" s="13"/>
      <c r="R12" s="13"/>
      <c r="S12" s="3"/>
    </row>
    <row r="13" spans="1:16383" ht="46.5" customHeight="1">
      <c r="A13" s="4"/>
      <c r="B13" s="57" t="s">
        <v>17</v>
      </c>
      <c r="C13" s="36" t="s">
        <v>43</v>
      </c>
      <c r="D13" s="36" t="s">
        <v>19</v>
      </c>
      <c r="E13" s="36" t="s">
        <v>20</v>
      </c>
      <c r="F13" s="165" t="s">
        <v>21</v>
      </c>
      <c r="G13" s="165"/>
      <c r="H13" s="166" t="s">
        <v>22</v>
      </c>
      <c r="I13" s="166"/>
      <c r="J13" s="166"/>
      <c r="K13" s="30" t="s">
        <v>23</v>
      </c>
      <c r="L13" s="30" t="s">
        <v>24</v>
      </c>
      <c r="M13" s="30" t="s">
        <v>25</v>
      </c>
      <c r="N13" s="31" t="s">
        <v>9</v>
      </c>
      <c r="O13" s="31" t="s">
        <v>26</v>
      </c>
      <c r="P13" s="31" t="s">
        <v>27</v>
      </c>
      <c r="Q13" s="23" t="s">
        <v>44</v>
      </c>
      <c r="R13" s="31" t="s">
        <v>29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</row>
    <row r="14" spans="1:16383" ht="107.25" customHeight="1">
      <c r="B14" s="91"/>
      <c r="C14" s="39" t="s">
        <v>375</v>
      </c>
      <c r="D14" s="91" t="s">
        <v>47</v>
      </c>
      <c r="E14" s="33"/>
      <c r="F14" s="167" t="s">
        <v>316</v>
      </c>
      <c r="G14" s="171"/>
      <c r="H14" s="136" t="s">
        <v>272</v>
      </c>
      <c r="I14" s="137"/>
      <c r="J14" s="138"/>
      <c r="K14" s="43">
        <v>44319</v>
      </c>
      <c r="L14" s="43">
        <v>44319</v>
      </c>
      <c r="M14" s="43">
        <v>44319</v>
      </c>
      <c r="N14" s="33">
        <v>100</v>
      </c>
      <c r="O14" s="40" t="s">
        <v>237</v>
      </c>
      <c r="P14" s="38" t="s">
        <v>238</v>
      </c>
      <c r="R14" s="54" t="s">
        <v>244</v>
      </c>
    </row>
    <row r="15" spans="1:16383" ht="73.5" customHeight="1">
      <c r="B15" s="91"/>
      <c r="C15" s="39" t="s">
        <v>376</v>
      </c>
      <c r="D15" s="91" t="s">
        <v>47</v>
      </c>
      <c r="E15" s="33"/>
      <c r="F15" s="148" t="s">
        <v>377</v>
      </c>
      <c r="G15" s="149"/>
      <c r="H15" s="139" t="s">
        <v>50</v>
      </c>
      <c r="I15" s="140"/>
      <c r="J15" s="141"/>
      <c r="K15" s="43">
        <v>44358</v>
      </c>
      <c r="L15" s="43">
        <v>44358</v>
      </c>
      <c r="M15" s="43">
        <v>44358</v>
      </c>
      <c r="N15" s="72">
        <v>100</v>
      </c>
      <c r="O15" s="40" t="s">
        <v>237</v>
      </c>
      <c r="P15" s="71" t="s">
        <v>238</v>
      </c>
      <c r="Q15" s="40"/>
      <c r="R15" s="46" t="s">
        <v>378</v>
      </c>
    </row>
    <row r="16" spans="1:16383" ht="75" hidden="1" customHeight="1">
      <c r="B16" s="83"/>
      <c r="C16" s="39"/>
      <c r="D16" s="83"/>
      <c r="E16" s="38"/>
      <c r="F16" s="167"/>
      <c r="G16" s="149"/>
      <c r="H16" s="139"/>
      <c r="I16" s="140"/>
      <c r="J16" s="141"/>
      <c r="K16" s="43"/>
      <c r="L16" s="43"/>
      <c r="M16" s="43"/>
      <c r="N16" s="38"/>
      <c r="O16" s="40" t="s">
        <v>237</v>
      </c>
      <c r="P16" s="38"/>
      <c r="Q16" s="42"/>
      <c r="R16" s="54"/>
    </row>
    <row r="17" spans="2:18" ht="71.25" customHeight="1">
      <c r="B17" s="91"/>
      <c r="C17" s="41" t="s">
        <v>379</v>
      </c>
      <c r="D17" s="91" t="s">
        <v>61</v>
      </c>
      <c r="E17" s="33"/>
      <c r="F17" s="167" t="s">
        <v>354</v>
      </c>
      <c r="G17" s="171"/>
      <c r="H17" s="136" t="s">
        <v>64</v>
      </c>
      <c r="I17" s="137"/>
      <c r="J17" s="138"/>
      <c r="K17" s="43">
        <v>44432</v>
      </c>
      <c r="L17" s="43">
        <v>44432</v>
      </c>
      <c r="M17" s="43">
        <v>44432</v>
      </c>
      <c r="N17" s="33">
        <v>100</v>
      </c>
      <c r="P17" s="38" t="s">
        <v>238</v>
      </c>
      <c r="R17" s="49" t="s">
        <v>355</v>
      </c>
    </row>
    <row r="18" spans="2:18" ht="65.25" customHeight="1">
      <c r="B18" s="83"/>
      <c r="C18" s="39" t="s">
        <v>380</v>
      </c>
      <c r="D18" s="83" t="s">
        <v>61</v>
      </c>
      <c r="E18" s="33"/>
      <c r="F18" s="167" t="s">
        <v>318</v>
      </c>
      <c r="G18" s="171"/>
      <c r="H18" s="136" t="s">
        <v>95</v>
      </c>
      <c r="I18" s="137"/>
      <c r="J18" s="138"/>
      <c r="K18" s="43">
        <v>44343</v>
      </c>
      <c r="L18" s="43">
        <v>44343</v>
      </c>
      <c r="M18" s="43">
        <v>44343</v>
      </c>
      <c r="N18" s="38">
        <v>100</v>
      </c>
      <c r="O18" s="47"/>
      <c r="P18" s="38" t="s">
        <v>52</v>
      </c>
      <c r="R18" s="49" t="s">
        <v>357</v>
      </c>
    </row>
    <row r="19" spans="2:18" ht="67.5" customHeight="1">
      <c r="B19" s="83"/>
      <c r="C19" s="39" t="s">
        <v>381</v>
      </c>
      <c r="D19" s="83" t="s">
        <v>74</v>
      </c>
      <c r="E19" s="33"/>
      <c r="F19" s="167" t="s">
        <v>382</v>
      </c>
      <c r="G19" s="171"/>
      <c r="H19" s="136" t="s">
        <v>64</v>
      </c>
      <c r="I19" s="137"/>
      <c r="J19" s="138"/>
      <c r="K19" s="43">
        <v>44343</v>
      </c>
      <c r="L19" s="43">
        <v>44343</v>
      </c>
      <c r="M19" s="43">
        <v>44343</v>
      </c>
      <c r="N19" s="33">
        <v>100</v>
      </c>
      <c r="O19" s="40" t="s">
        <v>237</v>
      </c>
      <c r="P19" s="38" t="s">
        <v>238</v>
      </c>
      <c r="R19" s="54"/>
    </row>
    <row r="20" spans="2:18" ht="62.25" customHeight="1">
      <c r="B20" s="83"/>
      <c r="C20" s="41" t="s">
        <v>383</v>
      </c>
      <c r="D20" s="83" t="s">
        <v>74</v>
      </c>
      <c r="E20" s="38"/>
      <c r="F20" s="167" t="s">
        <v>384</v>
      </c>
      <c r="G20" s="171"/>
      <c r="H20" s="136" t="s">
        <v>50</v>
      </c>
      <c r="I20" s="137"/>
      <c r="J20" s="138"/>
      <c r="K20" s="43">
        <v>44324</v>
      </c>
      <c r="L20" s="43">
        <v>44324</v>
      </c>
      <c r="M20" s="43">
        <v>44324</v>
      </c>
      <c r="N20" s="33">
        <v>100</v>
      </c>
      <c r="O20" s="40" t="s">
        <v>237</v>
      </c>
      <c r="P20" s="71" t="s">
        <v>238</v>
      </c>
      <c r="R20" s="49"/>
    </row>
    <row r="21" spans="2:18" ht="50.25" customHeight="1">
      <c r="B21" s="83"/>
      <c r="C21" s="39" t="s">
        <v>385</v>
      </c>
      <c r="D21" s="83" t="s">
        <v>78</v>
      </c>
      <c r="E21" s="38"/>
      <c r="F21" s="167" t="s">
        <v>320</v>
      </c>
      <c r="G21" s="171"/>
      <c r="H21" s="136" t="s">
        <v>95</v>
      </c>
      <c r="I21" s="137"/>
      <c r="J21" s="138"/>
      <c r="K21" s="43">
        <v>44343</v>
      </c>
      <c r="L21" s="43">
        <v>44343</v>
      </c>
      <c r="M21" s="43">
        <v>44343</v>
      </c>
      <c r="N21" s="38">
        <v>100</v>
      </c>
      <c r="O21" s="47"/>
      <c r="P21" s="33" t="s">
        <v>238</v>
      </c>
      <c r="R21" s="49" t="s">
        <v>386</v>
      </c>
    </row>
    <row r="22" spans="2:18" ht="57.75" customHeight="1">
      <c r="B22" s="83"/>
      <c r="C22" s="39" t="s">
        <v>387</v>
      </c>
      <c r="D22" s="83" t="s">
        <v>78</v>
      </c>
      <c r="E22" s="38"/>
      <c r="F22" s="167" t="s">
        <v>388</v>
      </c>
      <c r="G22" s="171"/>
      <c r="H22" s="136" t="s">
        <v>389</v>
      </c>
      <c r="I22" s="137"/>
      <c r="J22" s="138"/>
      <c r="K22" s="43"/>
      <c r="L22" s="43"/>
      <c r="M22" s="43"/>
      <c r="N22" s="38"/>
      <c r="O22" s="40" t="s">
        <v>237</v>
      </c>
      <c r="P22" s="33" t="s">
        <v>238</v>
      </c>
      <c r="R22" s="49"/>
    </row>
    <row r="23" spans="2:18" ht="45" customHeight="1">
      <c r="B23" s="83"/>
      <c r="C23" s="39" t="s">
        <v>390</v>
      </c>
      <c r="D23" s="83" t="s">
        <v>78</v>
      </c>
      <c r="F23" s="167" t="s">
        <v>236</v>
      </c>
      <c r="G23" s="171"/>
      <c r="H23" s="136" t="s">
        <v>64</v>
      </c>
      <c r="I23" s="137"/>
      <c r="J23" s="138"/>
      <c r="K23" s="43"/>
      <c r="L23" s="43"/>
      <c r="M23" s="43"/>
      <c r="N23" s="38"/>
      <c r="O23" s="40" t="s">
        <v>237</v>
      </c>
      <c r="P23" s="38" t="s">
        <v>6</v>
      </c>
      <c r="R23" s="1" t="s">
        <v>391</v>
      </c>
    </row>
    <row r="24" spans="2:18" ht="51.75" customHeight="1">
      <c r="B24" s="83"/>
      <c r="C24" s="39" t="s">
        <v>392</v>
      </c>
      <c r="D24" s="83" t="s">
        <v>393</v>
      </c>
      <c r="F24" s="142" t="s">
        <v>394</v>
      </c>
      <c r="G24" s="143"/>
      <c r="H24" s="136" t="s">
        <v>395</v>
      </c>
      <c r="I24" s="137"/>
      <c r="J24" s="138"/>
      <c r="O24" s="40" t="s">
        <v>237</v>
      </c>
      <c r="P24" s="1" t="s">
        <v>6</v>
      </c>
      <c r="R24" s="1" t="s">
        <v>391</v>
      </c>
    </row>
    <row r="25" spans="2:18" ht="135.75" customHeight="1">
      <c r="B25" s="83"/>
      <c r="C25" s="41" t="s">
        <v>396</v>
      </c>
      <c r="D25" s="83" t="s">
        <v>213</v>
      </c>
      <c r="F25" s="167" t="s">
        <v>309</v>
      </c>
      <c r="G25" s="171"/>
      <c r="H25" s="136" t="s">
        <v>64</v>
      </c>
      <c r="I25" s="137"/>
      <c r="J25" s="138"/>
      <c r="K25" s="43"/>
      <c r="L25" s="43"/>
      <c r="M25" s="43"/>
      <c r="N25" s="38"/>
      <c r="O25" s="40"/>
      <c r="P25" s="1" t="s">
        <v>6</v>
      </c>
      <c r="R25" s="54" t="s">
        <v>391</v>
      </c>
    </row>
    <row r="26" spans="2:18" ht="45" customHeight="1">
      <c r="B26" s="83"/>
      <c r="C26" s="39" t="s">
        <v>397</v>
      </c>
      <c r="D26" s="83" t="s">
        <v>398</v>
      </c>
      <c r="F26" s="167" t="s">
        <v>399</v>
      </c>
      <c r="G26" s="171"/>
      <c r="H26" s="136" t="s">
        <v>400</v>
      </c>
      <c r="I26" s="137"/>
      <c r="J26" s="138"/>
      <c r="K26" s="43"/>
      <c r="L26" s="43"/>
      <c r="M26" s="43"/>
      <c r="N26" s="38"/>
      <c r="O26" s="40"/>
      <c r="P26" s="1" t="s">
        <v>6</v>
      </c>
      <c r="R26" s="49" t="s">
        <v>401</v>
      </c>
    </row>
    <row r="27" spans="2:18" ht="82.5" customHeight="1">
      <c r="B27" s="37"/>
      <c r="C27" s="41" t="s">
        <v>402</v>
      </c>
      <c r="D27" s="37" t="s">
        <v>129</v>
      </c>
      <c r="F27" s="167" t="s">
        <v>313</v>
      </c>
      <c r="G27" s="171"/>
      <c r="H27" s="136" t="s">
        <v>95</v>
      </c>
      <c r="I27" s="137"/>
      <c r="J27" s="138"/>
      <c r="K27" s="43">
        <v>44302</v>
      </c>
      <c r="L27" s="43">
        <v>44302</v>
      </c>
      <c r="M27" s="43">
        <v>44302</v>
      </c>
      <c r="N27" s="38">
        <v>100</v>
      </c>
      <c r="O27" s="40" t="s">
        <v>237</v>
      </c>
      <c r="P27" s="71" t="s">
        <v>52</v>
      </c>
      <c r="R27" s="94"/>
    </row>
    <row r="28" spans="2:18" ht="64.5" customHeight="1">
      <c r="B28" s="82"/>
      <c r="C28" s="39" t="s">
        <v>403</v>
      </c>
      <c r="D28" s="83" t="s">
        <v>129</v>
      </c>
      <c r="F28" s="167" t="s">
        <v>334</v>
      </c>
      <c r="G28" s="171"/>
      <c r="H28" s="136" t="s">
        <v>95</v>
      </c>
      <c r="I28" s="137"/>
      <c r="J28" s="138"/>
      <c r="K28" s="43">
        <v>44309</v>
      </c>
      <c r="L28" s="43">
        <v>44309</v>
      </c>
      <c r="M28" s="43">
        <v>44309</v>
      </c>
      <c r="N28" s="38">
        <v>100</v>
      </c>
      <c r="O28" s="40" t="s">
        <v>237</v>
      </c>
      <c r="P28" s="38" t="s">
        <v>238</v>
      </c>
    </row>
    <row r="29" spans="2:18" ht="30" customHeight="1">
      <c r="C29" s="42" t="s">
        <v>404</v>
      </c>
      <c r="D29" s="98" t="s">
        <v>137</v>
      </c>
      <c r="F29" s="119" t="s">
        <v>405</v>
      </c>
      <c r="G29" s="121"/>
      <c r="H29" s="119" t="s">
        <v>400</v>
      </c>
      <c r="I29" s="120"/>
      <c r="J29" s="121"/>
      <c r="O29" s="40" t="s">
        <v>237</v>
      </c>
      <c r="R29" s="1" t="s">
        <v>406</v>
      </c>
    </row>
    <row r="30" spans="2:18" ht="63" customHeight="1">
      <c r="C30" s="42" t="s">
        <v>407</v>
      </c>
      <c r="D30" s="81" t="s">
        <v>141</v>
      </c>
      <c r="F30" s="146" t="s">
        <v>408</v>
      </c>
      <c r="G30" s="147"/>
      <c r="H30" s="136"/>
      <c r="I30" s="137"/>
      <c r="J30" s="138"/>
      <c r="N30" s="38">
        <v>100</v>
      </c>
      <c r="O30" s="40" t="s">
        <v>237</v>
      </c>
      <c r="P30" s="38" t="s">
        <v>238</v>
      </c>
      <c r="R30" s="94" t="s">
        <v>409</v>
      </c>
    </row>
    <row r="31" spans="2:18" ht="30" customHeight="1">
      <c r="F31" s="76"/>
      <c r="G31" s="76"/>
      <c r="H31" s="136"/>
      <c r="I31" s="137"/>
      <c r="J31" s="138"/>
    </row>
    <row r="32" spans="2:18" ht="30" customHeight="1">
      <c r="F32" s="76"/>
      <c r="G32" s="76"/>
    </row>
    <row r="33" spans="6:7" ht="30" customHeight="1">
      <c r="F33" s="76"/>
      <c r="G33" s="76"/>
    </row>
    <row r="34" spans="6:7" ht="30" customHeight="1">
      <c r="F34" s="76"/>
      <c r="G34" s="76"/>
    </row>
    <row r="35" spans="6:7" ht="30" customHeight="1">
      <c r="F35" s="76"/>
      <c r="G35" s="76"/>
    </row>
    <row r="36" spans="6:7" ht="30" customHeight="1">
      <c r="F36" s="76"/>
      <c r="G36" s="76"/>
    </row>
    <row r="37" spans="6:7" ht="30" customHeight="1">
      <c r="F37" s="76"/>
      <c r="G37" s="76"/>
    </row>
    <row r="38" spans="6:7" ht="30" customHeight="1">
      <c r="F38" s="76"/>
      <c r="G38" s="76"/>
    </row>
    <row r="39" spans="6:7" ht="30" customHeight="1">
      <c r="F39" s="76"/>
      <c r="G39" s="76"/>
    </row>
    <row r="40" spans="6:7" ht="30" customHeight="1">
      <c r="F40" s="76"/>
      <c r="G40" s="76"/>
    </row>
    <row r="41" spans="6:7" ht="30" customHeight="1">
      <c r="F41" s="76"/>
      <c r="G41" s="76"/>
    </row>
    <row r="42" spans="6:7" ht="30" customHeight="1">
      <c r="F42" s="76"/>
      <c r="G42" s="76"/>
    </row>
    <row r="43" spans="6:7" ht="30" customHeight="1">
      <c r="F43" s="76"/>
      <c r="G43" s="76"/>
    </row>
    <row r="44" spans="6:7" ht="30" customHeight="1">
      <c r="F44" s="76"/>
      <c r="G44" s="76"/>
    </row>
    <row r="45" spans="6:7" ht="30" customHeight="1"/>
    <row r="46" spans="6:7" ht="30" customHeight="1"/>
    <row r="47" spans="6:7" ht="30" customHeight="1"/>
    <row r="48" spans="6:7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</sheetData>
  <autoFilter ref="A13:XFC22" xr:uid="{00000000-0009-0000-0000-000008000000}">
    <filterColumn colId="5" showButton="0"/>
    <filterColumn colId="7" showButton="0"/>
    <filterColumn colId="8" showButton="0"/>
  </autoFilter>
  <mergeCells count="39">
    <mergeCell ref="B1:C4"/>
    <mergeCell ref="D1:Q4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F20:G20"/>
    <mergeCell ref="H20:J20"/>
    <mergeCell ref="F21:G21"/>
    <mergeCell ref="H21:J21"/>
    <mergeCell ref="F22:G22"/>
    <mergeCell ref="H22:J22"/>
    <mergeCell ref="H24:J24"/>
    <mergeCell ref="F23:G23"/>
    <mergeCell ref="H23:J23"/>
    <mergeCell ref="F24:G24"/>
    <mergeCell ref="F25:G25"/>
    <mergeCell ref="H25:J25"/>
    <mergeCell ref="F26:G26"/>
    <mergeCell ref="H26:J26"/>
    <mergeCell ref="F27:G27"/>
    <mergeCell ref="H27:J27"/>
    <mergeCell ref="H29:J29"/>
    <mergeCell ref="H30:J30"/>
    <mergeCell ref="H31:J31"/>
    <mergeCell ref="F28:G28"/>
    <mergeCell ref="H28:J28"/>
    <mergeCell ref="F30:G30"/>
    <mergeCell ref="F29:G29"/>
  </mergeCells>
  <conditionalFormatting sqref="N14:N23">
    <cfRule type="cellIs" dxfId="18" priority="4" operator="equal">
      <formula>100</formula>
    </cfRule>
  </conditionalFormatting>
  <conditionalFormatting sqref="N25:N28">
    <cfRule type="cellIs" dxfId="17" priority="16" operator="equal">
      <formula>100</formula>
    </cfRule>
  </conditionalFormatting>
  <conditionalFormatting sqref="N30">
    <cfRule type="cellIs" dxfId="16" priority="12" operator="equal">
      <formula>100</formula>
    </cfRule>
  </conditionalFormatting>
  <conditionalFormatting sqref="P1:P14">
    <cfRule type="containsText" dxfId="15" priority="28" operator="containsText" text="RETRASADO">
      <formula>NOT(ISERROR(SEARCH("RETRASADO",P1)))</formula>
    </cfRule>
    <cfRule type="containsText" dxfId="14" priority="29" operator="containsText" text="EN PROCESO">
      <formula>NOT(ISERROR(SEARCH("EN PROCESO",P1)))</formula>
    </cfRule>
    <cfRule type="containsText" dxfId="13" priority="30" operator="containsText" text="CERRADO">
      <formula>NOT(ISERROR(SEARCH("CERRADO",P1)))</formula>
    </cfRule>
  </conditionalFormatting>
  <conditionalFormatting sqref="P17:P19">
    <cfRule type="containsText" dxfId="12" priority="1" operator="containsText" text="RETRASADO">
      <formula>NOT(ISERROR(SEARCH("RETRASADO",P17)))</formula>
    </cfRule>
    <cfRule type="containsText" dxfId="11" priority="2" operator="containsText" text="EN PROCESO">
      <formula>NOT(ISERROR(SEARCH("EN PROCESO",P17)))</formula>
    </cfRule>
    <cfRule type="containsText" dxfId="10" priority="3" operator="containsText" text="CERRADO">
      <formula>NOT(ISERROR(SEARCH("CERRADO",P17)))</formula>
    </cfRule>
  </conditionalFormatting>
  <conditionalFormatting sqref="P21:P26">
    <cfRule type="containsText" dxfId="9" priority="22" operator="containsText" text="RETRASADO">
      <formula>NOT(ISERROR(SEARCH("RETRASADO",P21)))</formula>
    </cfRule>
    <cfRule type="containsText" dxfId="8" priority="23" operator="containsText" text="EN PROCESO">
      <formula>NOT(ISERROR(SEARCH("EN PROCESO",P21)))</formula>
    </cfRule>
    <cfRule type="containsText" dxfId="7" priority="24" operator="containsText" text="CERRADO">
      <formula>NOT(ISERROR(SEARCH("CERRADO",P21)))</formula>
    </cfRule>
  </conditionalFormatting>
  <conditionalFormatting sqref="P28:P1048576">
    <cfRule type="containsText" dxfId="6" priority="9" operator="containsText" text="RETRASADO">
      <formula>NOT(ISERROR(SEARCH("RETRASADO",P28)))</formula>
    </cfRule>
    <cfRule type="containsText" dxfId="5" priority="10" operator="containsText" text="EN PROCESO">
      <formula>NOT(ISERROR(SEARCH("EN PROCESO",P28)))</formula>
    </cfRule>
    <cfRule type="containsText" dxfId="4" priority="11" operator="containsText" text="CERRADO">
      <formula>NOT(ISERROR(SEARCH("CERRADO",P28)))</formula>
    </cfRule>
  </conditionalFormatting>
  <pageMargins left="0.17" right="0.17" top="0.37" bottom="0.4" header="0.31496062992125984" footer="0.17"/>
  <pageSetup paperSize="9" scale="7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7198-1E06-4BB5-9F53-9ADD2203F4C2}">
  <dimension ref="A1:XFC30"/>
  <sheetViews>
    <sheetView workbookViewId="0">
      <selection activeCell="G9" sqref="G9"/>
    </sheetView>
  </sheetViews>
  <sheetFormatPr baseColWidth="10" defaultColWidth="11.42578125" defaultRowHeight="15"/>
  <cols>
    <col min="1" max="1" width="3.140625" style="1" customWidth="1"/>
    <col min="2" max="2" width="10" style="1" customWidth="1"/>
    <col min="3" max="3" width="34" style="1" customWidth="1"/>
    <col min="4" max="4" width="11.85546875" style="1" customWidth="1"/>
    <col min="5" max="5" width="10.140625" style="1" customWidth="1"/>
    <col min="6" max="6" width="14.28515625" style="1" customWidth="1"/>
    <col min="7" max="7" width="9.5703125" style="1" customWidth="1"/>
    <col min="8" max="8" width="9" style="1" customWidth="1"/>
    <col min="9" max="9" width="4.85546875" style="1" customWidth="1"/>
    <col min="10" max="10" width="5.5703125" style="1" customWidth="1"/>
    <col min="11" max="12" width="10.5703125" style="1" customWidth="1"/>
    <col min="13" max="13" width="11" style="1" customWidth="1"/>
    <col min="14" max="14" width="8.7109375" style="1" customWidth="1"/>
    <col min="15" max="15" width="8.28515625" style="1" customWidth="1"/>
    <col min="16" max="16" width="11.7109375" style="1" customWidth="1"/>
    <col min="17" max="17" width="1.5703125" style="1" customWidth="1"/>
    <col min="18" max="18" width="20.140625" style="1" customWidth="1"/>
    <col min="19" max="16384" width="11.42578125" style="1"/>
  </cols>
  <sheetData>
    <row r="1" spans="1:16383" ht="15" customHeight="1">
      <c r="A1" s="13"/>
      <c r="B1" s="150"/>
      <c r="C1" s="151"/>
      <c r="D1" s="156" t="s">
        <v>30</v>
      </c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8"/>
      <c r="R1" s="27" t="s">
        <v>31</v>
      </c>
      <c r="S1" s="3"/>
    </row>
    <row r="2" spans="1:16383" ht="15" customHeight="1">
      <c r="A2" s="13"/>
      <c r="B2" s="152"/>
      <c r="C2" s="153"/>
      <c r="D2" s="159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1"/>
      <c r="R2" s="28" t="s">
        <v>32</v>
      </c>
      <c r="S2" s="3"/>
    </row>
    <row r="3" spans="1:16383" ht="15" customHeight="1">
      <c r="A3" s="13"/>
      <c r="B3" s="152"/>
      <c r="C3" s="153"/>
      <c r="D3" s="159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1"/>
      <c r="R3" s="28" t="s">
        <v>33</v>
      </c>
      <c r="S3" s="3"/>
    </row>
    <row r="4" spans="1:16383" ht="15" customHeight="1">
      <c r="A4" s="13"/>
      <c r="B4" s="154"/>
      <c r="C4" s="155"/>
      <c r="D4" s="162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/>
      <c r="R4" s="29" t="s">
        <v>34</v>
      </c>
      <c r="S4" s="3"/>
    </row>
    <row r="5" spans="1:16383" ht="25.5" customHeight="1">
      <c r="A5" s="13"/>
      <c r="B5" s="14"/>
      <c r="C5" s="14"/>
      <c r="D5" s="15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5"/>
      <c r="S5" s="3"/>
    </row>
    <row r="6" spans="1:16383" ht="31.5" customHeight="1">
      <c r="A6" s="13"/>
      <c r="B6" s="16" t="s">
        <v>1</v>
      </c>
      <c r="C6" s="79" t="s">
        <v>410</v>
      </c>
      <c r="D6" s="6"/>
      <c r="E6" s="6" t="s">
        <v>2</v>
      </c>
      <c r="F6" s="50">
        <v>44386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13"/>
      <c r="S6" s="3"/>
    </row>
    <row r="7" spans="1:16383" ht="12.75" customHeight="1">
      <c r="A7" s="13"/>
      <c r="B7" s="17"/>
      <c r="C7" s="17"/>
      <c r="D7" s="21"/>
      <c r="E7" s="21"/>
      <c r="F7" s="26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13"/>
      <c r="S7" s="3"/>
    </row>
    <row r="8" spans="1:16383" ht="33" customHeight="1">
      <c r="A8" s="13"/>
      <c r="B8" s="18" t="s">
        <v>36</v>
      </c>
      <c r="C8" s="80" t="s">
        <v>411</v>
      </c>
      <c r="D8" s="6"/>
      <c r="E8" s="6" t="s">
        <v>4</v>
      </c>
      <c r="F8" s="50" t="s">
        <v>38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13"/>
      <c r="S8" s="3"/>
    </row>
    <row r="9" spans="1:16383" ht="37.5" customHeight="1">
      <c r="A9" s="13"/>
      <c r="B9" s="19" t="s">
        <v>1</v>
      </c>
      <c r="C9" s="13"/>
      <c r="D9" s="13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13"/>
      <c r="S9" s="3"/>
    </row>
    <row r="10" spans="1:16383" ht="14.25" customHeight="1" thickBot="1">
      <c r="A10" s="13"/>
      <c r="B10" s="20"/>
      <c r="C10" s="21"/>
      <c r="D10" s="21"/>
      <c r="E10" s="21"/>
      <c r="F10" s="21"/>
      <c r="G10" s="21"/>
      <c r="H10" s="7"/>
      <c r="I10" s="8" t="s">
        <v>39</v>
      </c>
      <c r="J10" s="8" t="s">
        <v>40</v>
      </c>
      <c r="K10" s="8" t="s">
        <v>41</v>
      </c>
      <c r="L10" s="8" t="s">
        <v>42</v>
      </c>
      <c r="M10" s="8" t="s">
        <v>9</v>
      </c>
      <c r="N10" s="21"/>
      <c r="O10" s="21"/>
      <c r="P10" s="21"/>
      <c r="Q10" s="21"/>
      <c r="R10" s="13"/>
      <c r="S10" s="3"/>
    </row>
    <row r="11" spans="1:16383" ht="14.25" customHeight="1" thickBot="1">
      <c r="A11" s="13"/>
      <c r="B11" s="22" t="s">
        <v>13</v>
      </c>
      <c r="C11" s="13"/>
      <c r="D11" s="13"/>
      <c r="E11" s="20"/>
      <c r="F11" s="13"/>
      <c r="G11" s="13"/>
      <c r="H11" s="52" t="s">
        <v>14</v>
      </c>
      <c r="I11" s="9">
        <f>COUNTIF(P14:Q23,"CERRADO")</f>
        <v>6</v>
      </c>
      <c r="J11" s="10">
        <f>COUNTIF(P14:P23,"EN PROCESO")</f>
        <v>1</v>
      </c>
      <c r="K11" s="11">
        <f>COUNTIF(P14:P23,"RETRASADO")</f>
        <v>0</v>
      </c>
      <c r="L11" s="9">
        <f>SUM(I11:K11)</f>
        <v>7</v>
      </c>
      <c r="M11" s="12">
        <f>I11/L11</f>
        <v>0.8571428571428571</v>
      </c>
      <c r="N11" s="13"/>
      <c r="O11" s="13"/>
      <c r="P11" s="13"/>
      <c r="Q11" s="13"/>
      <c r="R11" s="13"/>
      <c r="S11" s="3"/>
    </row>
    <row r="12" spans="1:16383" ht="9" customHeight="1">
      <c r="A12" s="13"/>
      <c r="B12" s="20"/>
      <c r="C12" s="13"/>
      <c r="D12" s="13"/>
      <c r="E12" s="13"/>
      <c r="F12" s="13"/>
      <c r="G12" s="13"/>
      <c r="H12" s="24"/>
      <c r="I12" s="4"/>
      <c r="J12" s="4"/>
      <c r="K12" s="4"/>
      <c r="L12" s="4"/>
      <c r="M12" s="25"/>
      <c r="N12" s="13"/>
      <c r="O12" s="13"/>
      <c r="P12" s="13"/>
      <c r="Q12" s="13"/>
      <c r="R12" s="13"/>
      <c r="S12" s="3"/>
    </row>
    <row r="13" spans="1:16383" ht="46.5" customHeight="1">
      <c r="A13" s="4"/>
      <c r="B13" s="57" t="s">
        <v>17</v>
      </c>
      <c r="C13" s="36" t="s">
        <v>43</v>
      </c>
      <c r="D13" s="36" t="s">
        <v>19</v>
      </c>
      <c r="E13" s="36" t="s">
        <v>20</v>
      </c>
      <c r="F13" s="165" t="s">
        <v>21</v>
      </c>
      <c r="G13" s="165"/>
      <c r="H13" s="166" t="s">
        <v>22</v>
      </c>
      <c r="I13" s="166"/>
      <c r="J13" s="166"/>
      <c r="K13" s="30" t="s">
        <v>23</v>
      </c>
      <c r="L13" s="30" t="s">
        <v>24</v>
      </c>
      <c r="M13" s="30" t="s">
        <v>25</v>
      </c>
      <c r="N13" s="31" t="s">
        <v>9</v>
      </c>
      <c r="O13" s="31" t="s">
        <v>26</v>
      </c>
      <c r="P13" s="31" t="s">
        <v>27</v>
      </c>
      <c r="Q13" s="23" t="s">
        <v>44</v>
      </c>
      <c r="R13" s="31" t="s">
        <v>29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</row>
    <row r="14" spans="1:16383" ht="73.5" customHeight="1">
      <c r="B14" s="91"/>
      <c r="C14" s="39" t="s">
        <v>412</v>
      </c>
      <c r="D14" s="91" t="s">
        <v>47</v>
      </c>
      <c r="E14" s="33"/>
      <c r="F14" s="148" t="s">
        <v>413</v>
      </c>
      <c r="G14" s="149"/>
      <c r="H14" s="139" t="s">
        <v>50</v>
      </c>
      <c r="I14" s="140"/>
      <c r="J14" s="141"/>
      <c r="K14" s="43"/>
      <c r="L14" s="43"/>
      <c r="M14" s="43"/>
      <c r="N14" s="72"/>
      <c r="O14" s="70"/>
      <c r="P14" s="38" t="s">
        <v>52</v>
      </c>
      <c r="Q14" s="40"/>
      <c r="R14" s="46" t="s">
        <v>414</v>
      </c>
    </row>
    <row r="15" spans="1:16383" ht="75" hidden="1" customHeight="1">
      <c r="B15" s="83"/>
      <c r="C15" s="39"/>
      <c r="D15" s="83"/>
      <c r="E15" s="38"/>
      <c r="F15" s="167"/>
      <c r="G15" s="149"/>
      <c r="H15" s="139"/>
      <c r="I15" s="140"/>
      <c r="J15" s="141"/>
      <c r="K15" s="43"/>
      <c r="L15" s="43"/>
      <c r="M15" s="43"/>
      <c r="N15" s="38"/>
      <c r="O15" s="47"/>
      <c r="P15" s="38" t="s">
        <v>6</v>
      </c>
      <c r="Q15" s="42"/>
      <c r="R15" s="54"/>
    </row>
    <row r="16" spans="1:16383" ht="71.25" customHeight="1">
      <c r="B16" s="91"/>
      <c r="C16" s="39" t="s">
        <v>415</v>
      </c>
      <c r="D16" s="91" t="s">
        <v>47</v>
      </c>
      <c r="E16" s="33"/>
      <c r="F16" s="167" t="s">
        <v>416</v>
      </c>
      <c r="G16" s="171"/>
      <c r="H16" s="139" t="s">
        <v>64</v>
      </c>
      <c r="I16" s="140"/>
      <c r="J16" s="141"/>
      <c r="K16" s="43"/>
      <c r="L16" s="43"/>
      <c r="M16" s="43"/>
      <c r="N16" s="72"/>
      <c r="O16" s="70"/>
      <c r="P16" s="38" t="s">
        <v>238</v>
      </c>
      <c r="R16" s="49" t="s">
        <v>417</v>
      </c>
    </row>
    <row r="17" spans="2:18" ht="58.5" customHeight="1">
      <c r="B17" s="83"/>
      <c r="C17" s="39" t="s">
        <v>418</v>
      </c>
      <c r="D17" s="83" t="s">
        <v>61</v>
      </c>
      <c r="E17" s="33"/>
      <c r="F17" s="167" t="s">
        <v>419</v>
      </c>
      <c r="G17" s="171"/>
      <c r="H17" s="136" t="s">
        <v>64</v>
      </c>
      <c r="I17" s="137"/>
      <c r="J17" s="138"/>
      <c r="K17" s="43"/>
      <c r="L17" s="43"/>
      <c r="M17" s="43"/>
      <c r="N17" s="38"/>
      <c r="P17" s="38" t="s">
        <v>52</v>
      </c>
      <c r="R17" s="49" t="s">
        <v>420</v>
      </c>
    </row>
    <row r="18" spans="2:18" ht="78" customHeight="1">
      <c r="B18" s="83"/>
      <c r="C18" s="41" t="s">
        <v>421</v>
      </c>
      <c r="D18" s="83" t="s">
        <v>61</v>
      </c>
      <c r="E18" s="33"/>
      <c r="F18" s="167" t="s">
        <v>422</v>
      </c>
      <c r="G18" s="171"/>
      <c r="H18" s="136" t="s">
        <v>64</v>
      </c>
      <c r="I18" s="137"/>
      <c r="J18" s="138"/>
      <c r="K18" s="43"/>
      <c r="L18" s="43"/>
      <c r="M18" s="43"/>
      <c r="N18" s="33"/>
      <c r="P18" s="38" t="s">
        <v>238</v>
      </c>
      <c r="R18" s="49" t="s">
        <v>423</v>
      </c>
    </row>
    <row r="19" spans="2:18" ht="30" customHeight="1">
      <c r="B19" s="83"/>
      <c r="C19" s="41" t="s">
        <v>424</v>
      </c>
      <c r="D19" s="83" t="s">
        <v>74</v>
      </c>
      <c r="E19" s="38"/>
      <c r="F19" s="167" t="s">
        <v>425</v>
      </c>
      <c r="G19" s="171"/>
      <c r="H19" s="136" t="s">
        <v>64</v>
      </c>
      <c r="I19" s="137"/>
      <c r="J19" s="138"/>
      <c r="K19" s="43"/>
      <c r="L19" s="43"/>
      <c r="M19" s="43"/>
      <c r="N19" s="33"/>
      <c r="P19" s="38" t="s">
        <v>52</v>
      </c>
      <c r="R19" s="49" t="s">
        <v>426</v>
      </c>
    </row>
    <row r="20" spans="2:18" ht="59.25" customHeight="1">
      <c r="B20" s="83"/>
      <c r="C20" s="39" t="s">
        <v>427</v>
      </c>
      <c r="D20" s="83" t="s">
        <v>78</v>
      </c>
      <c r="E20" s="38"/>
      <c r="F20" s="167" t="s">
        <v>428</v>
      </c>
      <c r="G20" s="171"/>
      <c r="H20" s="136" t="s">
        <v>64</v>
      </c>
      <c r="I20" s="137"/>
      <c r="J20" s="138"/>
      <c r="K20" s="43"/>
      <c r="L20" s="43"/>
      <c r="M20" s="43"/>
      <c r="N20" s="38"/>
      <c r="O20" s="47"/>
      <c r="P20" s="38" t="s">
        <v>238</v>
      </c>
      <c r="R20" s="49" t="s">
        <v>429</v>
      </c>
    </row>
    <row r="21" spans="2:18" ht="80.25" customHeight="1">
      <c r="B21" s="83"/>
      <c r="C21" s="39" t="s">
        <v>430</v>
      </c>
      <c r="D21" s="83" t="s">
        <v>78</v>
      </c>
      <c r="E21" s="38"/>
      <c r="F21" s="167" t="s">
        <v>431</v>
      </c>
      <c r="G21" s="171"/>
      <c r="H21" s="136" t="s">
        <v>64</v>
      </c>
      <c r="I21" s="137"/>
      <c r="J21" s="138"/>
      <c r="K21" s="43"/>
      <c r="L21" s="43"/>
      <c r="M21" s="43"/>
      <c r="N21" s="38"/>
      <c r="O21" s="47"/>
      <c r="P21" s="38" t="s">
        <v>52</v>
      </c>
      <c r="R21" s="49" t="s">
        <v>432</v>
      </c>
    </row>
    <row r="22" spans="2:18" ht="43.5" customHeight="1">
      <c r="B22" s="83"/>
      <c r="C22" s="39" t="s">
        <v>433</v>
      </c>
      <c r="D22" s="83" t="s">
        <v>213</v>
      </c>
      <c r="E22" s="38"/>
      <c r="F22" s="167" t="s">
        <v>419</v>
      </c>
      <c r="G22" s="171"/>
      <c r="H22" s="136" t="s">
        <v>95</v>
      </c>
      <c r="I22" s="137"/>
      <c r="J22" s="138"/>
      <c r="K22" s="43"/>
      <c r="L22" s="43"/>
      <c r="M22" s="43"/>
      <c r="N22" s="38"/>
      <c r="O22" s="47"/>
      <c r="P22" s="38" t="s">
        <v>52</v>
      </c>
      <c r="R22" s="55"/>
    </row>
    <row r="23" spans="2:18" ht="45" customHeight="1">
      <c r="B23" s="83"/>
      <c r="C23" s="39" t="s">
        <v>434</v>
      </c>
      <c r="D23" s="83" t="s">
        <v>213</v>
      </c>
      <c r="F23" s="176" t="s">
        <v>435</v>
      </c>
      <c r="G23" s="177"/>
      <c r="H23" s="136" t="s">
        <v>64</v>
      </c>
      <c r="I23" s="137"/>
      <c r="J23" s="138"/>
      <c r="K23" s="43"/>
      <c r="L23" s="43"/>
      <c r="M23" s="43"/>
      <c r="N23" s="38"/>
      <c r="O23" s="47"/>
      <c r="P23" s="38" t="s">
        <v>52</v>
      </c>
    </row>
    <row r="24" spans="2:18" ht="55.5" customHeight="1">
      <c r="B24" s="83"/>
      <c r="C24" s="95" t="s">
        <v>436</v>
      </c>
      <c r="D24" s="96" t="s">
        <v>213</v>
      </c>
      <c r="E24" s="90"/>
      <c r="F24" s="181" t="s">
        <v>437</v>
      </c>
      <c r="G24" s="182"/>
      <c r="H24" s="172" t="s">
        <v>64</v>
      </c>
      <c r="I24" s="178"/>
      <c r="J24" s="173"/>
      <c r="K24" s="43"/>
      <c r="L24" s="43"/>
      <c r="M24" s="43"/>
      <c r="N24" s="38"/>
      <c r="P24" s="38" t="s">
        <v>238</v>
      </c>
      <c r="R24" s="40" t="s">
        <v>438</v>
      </c>
    </row>
    <row r="25" spans="2:18" ht="66.75" customHeight="1">
      <c r="B25" s="83"/>
      <c r="C25" s="41" t="s">
        <v>439</v>
      </c>
      <c r="D25" s="83"/>
      <c r="F25" s="167" t="s">
        <v>440</v>
      </c>
      <c r="G25" s="171"/>
      <c r="H25" s="136" t="s">
        <v>272</v>
      </c>
      <c r="I25" s="137"/>
      <c r="J25" s="138"/>
      <c r="K25" s="43"/>
      <c r="L25" s="43"/>
      <c r="M25" s="43"/>
      <c r="N25" s="38"/>
      <c r="O25" s="47"/>
      <c r="P25" s="38" t="s">
        <v>6</v>
      </c>
      <c r="R25" s="49"/>
    </row>
    <row r="26" spans="2:18" ht="72" customHeight="1">
      <c r="B26" s="37"/>
      <c r="C26" s="39" t="s">
        <v>441</v>
      </c>
      <c r="D26" s="37"/>
      <c r="F26" s="167" t="s">
        <v>442</v>
      </c>
      <c r="G26" s="171"/>
      <c r="H26" s="136" t="s">
        <v>95</v>
      </c>
      <c r="I26" s="137"/>
      <c r="J26" s="138"/>
      <c r="P26" s="1" t="s">
        <v>6</v>
      </c>
      <c r="R26" s="94"/>
    </row>
    <row r="27" spans="2:18" ht="30" customHeight="1">
      <c r="F27" s="76"/>
      <c r="G27" s="76"/>
      <c r="H27" s="136"/>
      <c r="I27" s="137"/>
      <c r="J27" s="138"/>
    </row>
    <row r="28" spans="2:18" ht="30" customHeight="1">
      <c r="F28" s="76"/>
      <c r="G28" s="76"/>
      <c r="H28" s="136"/>
      <c r="I28" s="137"/>
      <c r="J28" s="138"/>
    </row>
    <row r="29" spans="2:18" ht="30" customHeight="1">
      <c r="F29" s="76"/>
      <c r="G29" s="76"/>
      <c r="H29" s="136"/>
      <c r="I29" s="137"/>
      <c r="J29" s="138"/>
    </row>
    <row r="30" spans="2:18" ht="30" customHeight="1"/>
  </sheetData>
  <autoFilter ref="A13:XFC22" xr:uid="{00000000-0009-0000-0000-000008000000}">
    <filterColumn colId="5" showButton="0"/>
    <filterColumn colId="7" showButton="0"/>
    <filterColumn colId="8" showButton="0"/>
  </autoFilter>
  <mergeCells count="33">
    <mergeCell ref="B1:C4"/>
    <mergeCell ref="D1:Q4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F20:G20"/>
    <mergeCell ref="H20:J20"/>
    <mergeCell ref="F21:G21"/>
    <mergeCell ref="H21:J21"/>
    <mergeCell ref="F22:G22"/>
    <mergeCell ref="H22:J22"/>
    <mergeCell ref="F23:G23"/>
    <mergeCell ref="H23:J23"/>
    <mergeCell ref="H27:J27"/>
    <mergeCell ref="H28:J28"/>
    <mergeCell ref="H29:J29"/>
    <mergeCell ref="F24:G24"/>
    <mergeCell ref="H24:J24"/>
    <mergeCell ref="F25:G25"/>
    <mergeCell ref="H25:J25"/>
    <mergeCell ref="F26:G26"/>
    <mergeCell ref="H26:J26"/>
  </mergeCells>
  <conditionalFormatting sqref="N14:N25">
    <cfRule type="cellIs" dxfId="3" priority="4" operator="equal">
      <formula>100</formula>
    </cfRule>
  </conditionalFormatting>
  <conditionalFormatting sqref="P1:P1048576">
    <cfRule type="containsText" dxfId="2" priority="1" operator="containsText" text="RETRASADO">
      <formula>NOT(ISERROR(SEARCH("RETRASADO",P1)))</formula>
    </cfRule>
    <cfRule type="containsText" dxfId="1" priority="2" operator="containsText" text="EN PROCESO">
      <formula>NOT(ISERROR(SEARCH("EN PROCESO",P1)))</formula>
    </cfRule>
    <cfRule type="containsText" dxfId="0" priority="3" operator="containsText" text="CERRADO">
      <formula>NOT(ISERROR(SEARCH("CERRADO",P1)))</formula>
    </cfRule>
  </conditionalFormatting>
  <pageMargins left="0.17" right="0.17" top="0.37" bottom="0.4" header="0.31496062992125984" footer="0.17"/>
  <pageSetup paperSize="9" scale="7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440A19-F3B2-4F6A-B574-CA0B47612B0D}">
  <ds:schemaRefs>
    <ds:schemaRef ds:uri="http://schemas.microsoft.com/office/infopath/2007/PartnerControls"/>
    <ds:schemaRef ds:uri="f5102957-2906-4ac4-a837-74799e48d913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587febe2-e8e9-4324-80b8-d8863bd330fa"/>
    <ds:schemaRef ds:uri="http://schemas.microsoft.com/office/2006/metadata/properties"/>
    <ds:schemaRef ds:uri="http://purl.org/dc/dcmitype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2378BF78-EC14-47B7-9B65-B11333C4F1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febe2-e8e9-4324-80b8-d8863bd330fa"/>
    <ds:schemaRef ds:uri="f5102957-2906-4ac4-a837-74799e48d9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DCB110-DE46-48D1-A05F-CADBAC935A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ACF35</vt:lpstr>
      <vt:lpstr>Verificación PPR´s (Julio)</vt:lpstr>
      <vt:lpstr>Verificación PPR´s(agosto)</vt:lpstr>
      <vt:lpstr>Verificación PPR´s (Sept) </vt:lpstr>
      <vt:lpstr>Verificación PPR´s (Octubre))</vt:lpstr>
      <vt:lpstr>verificación de PPR´s Enero 21</vt:lpstr>
      <vt:lpstr>verificación de PPR´s Feb  21</vt:lpstr>
      <vt:lpstr>verificación de PPR´s Marzo21</vt:lpstr>
      <vt:lpstr>verificación de PPR´s Abril21</vt:lpstr>
      <vt:lpstr>verificación de PPR´s Mayo 21</vt:lpstr>
      <vt:lpstr>verificación de PPR´s Junio21</vt:lpstr>
      <vt:lpstr>'ACF35'!Área_de_impresión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Blanca Estela</dc:creator>
  <cp:keywords/>
  <dc:description/>
  <cp:lastModifiedBy>Alfonso Hernandez</cp:lastModifiedBy>
  <cp:revision/>
  <dcterms:created xsi:type="dcterms:W3CDTF">2020-05-15T19:08:16Z</dcterms:created>
  <dcterms:modified xsi:type="dcterms:W3CDTF">2025-08-29T18:02:54Z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</Properties>
</file>