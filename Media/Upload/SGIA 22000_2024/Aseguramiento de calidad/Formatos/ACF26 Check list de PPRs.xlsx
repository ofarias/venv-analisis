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Aseguramiento de calidad/Formatos/"/>
    </mc:Choice>
  </mc:AlternateContent>
  <xr:revisionPtr revIDLastSave="6" documentId="8_{CDD817AA-C7EC-4913-A01D-6D1A55CCEA03}" xr6:coauthVersionLast="47" xr6:coauthVersionMax="47" xr10:uidLastSave="{F279E82D-5399-4557-9335-3C3D59CB9AE1}"/>
  <bookViews>
    <workbookView xWindow="-120" yWindow="-120" windowWidth="29040" windowHeight="15720" tabRatio="951" firstSheet="7" activeTab="5" xr2:uid="{53C9E36E-3F54-4619-B5B1-C1E9A35908C6}"/>
  </bookViews>
  <sheets>
    <sheet name="Resultados" sheetId="29" state="hidden" r:id="rId1"/>
    <sheet name="Global" sheetId="74" state="hidden" r:id="rId2"/>
    <sheet name="Documentación" sheetId="75" state="hidden" r:id="rId3"/>
    <sheet name="Piso" sheetId="76" state="hidden" r:id="rId4"/>
    <sheet name="Doc+Piso" sheetId="77" state="hidden" r:id="rId5"/>
    <sheet name="1.BPM´s " sheetId="39" r:id="rId6"/>
    <sheet name="2.Limpieza" sheetId="60" r:id="rId7"/>
    <sheet name="3. Químicos" sheetId="61" r:id="rId8"/>
    <sheet name="1.BPM´s (almacenes)" sheetId="31" state="hidden" r:id="rId9"/>
    <sheet name="1.BPM´s (producción)" sheetId="30" state="hidden" r:id="rId10"/>
    <sheet name="4.Plagas" sheetId="62" r:id="rId11"/>
    <sheet name="5.Microbiología" sheetId="63" r:id="rId12"/>
    <sheet name="6.MTTO" sheetId="64" r:id="rId13"/>
    <sheet name="7.Vidrio y plástico" sheetId="65" r:id="rId14"/>
    <sheet name="8. Materia extraña" sheetId="66" r:id="rId15"/>
    <sheet name="9.Alérgenos" sheetId="67" r:id="rId16"/>
    <sheet name="10. Recuperación y trazabilidad" sheetId="68" r:id="rId17"/>
    <sheet name="11.Calibración" sheetId="69" r:id="rId18"/>
    <sheet name="12. Almacenamiento." sheetId="70" r:id="rId19"/>
    <sheet name="13. Compras" sheetId="71" r:id="rId20"/>
    <sheet name="14. Defensa" sheetId="72" r:id="rId21"/>
    <sheet name="15. Residuos" sheetId="73" r:id="rId22"/>
    <sheet name="HACCP" sheetId="25" state="hidden" r:id="rId23"/>
  </sheets>
  <definedNames>
    <definedName name="_xlnm.Print_Area" localSheetId="5">'1.BPM´s '!$A$1:$L$40</definedName>
    <definedName name="_xlnm.Print_Area" localSheetId="8">'1.BPM´s (almacenes)'!$A$1:$K$46</definedName>
    <definedName name="_xlnm.Print_Area" localSheetId="9">'1.BPM´s (producción)'!$A$1:$K$56</definedName>
    <definedName name="_xlnm.Print_Area" localSheetId="16">'10. Recuperación y trazabilidad'!$A$1:$L$32</definedName>
    <definedName name="_xlnm.Print_Area" localSheetId="17">'11.Calibración'!$A$1:$L$35</definedName>
    <definedName name="_xlnm.Print_Area" localSheetId="18">'12. Almacenamiento.'!$A$1:$L$37</definedName>
    <definedName name="_xlnm.Print_Area" localSheetId="19">'13. Compras'!$A$1:$L$31</definedName>
    <definedName name="_xlnm.Print_Area" localSheetId="20">'14. Defensa'!$A$1:$L$33</definedName>
    <definedName name="_xlnm.Print_Area" localSheetId="21">'15. Residuos'!$A$1:$L$33</definedName>
    <definedName name="_xlnm.Print_Area" localSheetId="6">'2.Limpieza'!$A$1:$L$35</definedName>
    <definedName name="_xlnm.Print_Area" localSheetId="7">'3. Químicos'!$A$1:$L$35</definedName>
    <definedName name="_xlnm.Print_Area" localSheetId="10">'4.Plagas'!$A$1:$L$42</definedName>
    <definedName name="_xlnm.Print_Area" localSheetId="11">'5.Microbiología'!$A$1:$L$39</definedName>
    <definedName name="_xlnm.Print_Area" localSheetId="12">'6.MTTO'!$A$1:$L$34</definedName>
    <definedName name="_xlnm.Print_Area" localSheetId="13">'7.Vidrio y plástico'!$A$1:$L$33</definedName>
    <definedName name="_xlnm.Print_Area" localSheetId="14">'8. Materia extraña'!$A$1:$L$32</definedName>
    <definedName name="_xlnm.Print_Area" localSheetId="15">'9.Alérgenos'!$A$1:$L$39</definedName>
    <definedName name="_xlnm.Print_Area" localSheetId="4">'Doc+Piso'!$A$1:$K$25</definedName>
    <definedName name="_xlnm.Print_Area" localSheetId="2">Documentación!$A$1:$K$25</definedName>
    <definedName name="_xlnm.Print_Area" localSheetId="1">Global!$A$1:$K$25</definedName>
    <definedName name="_xlnm.Print_Area" localSheetId="3">Piso!$A$1:$K$25</definedName>
    <definedName name="_xlnm.Print_Area" localSheetId="0">Resultados!$A$1:$G$29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9" l="1"/>
  <c r="F23" i="29"/>
  <c r="E23" i="29"/>
  <c r="I22" i="73"/>
  <c r="I11" i="73"/>
  <c r="I10" i="73"/>
  <c r="I9" i="73"/>
  <c r="E22" i="29"/>
  <c r="G21" i="29"/>
  <c r="F21" i="29"/>
  <c r="E21" i="29"/>
  <c r="I22" i="72"/>
  <c r="F22" i="29"/>
  <c r="I13" i="72"/>
  <c r="I12" i="72"/>
  <c r="I11" i="72"/>
  <c r="I10" i="72"/>
  <c r="I9" i="72"/>
  <c r="I20" i="71"/>
  <c r="I13" i="71"/>
  <c r="I12" i="71"/>
  <c r="I11" i="71"/>
  <c r="I10" i="71"/>
  <c r="I9" i="71"/>
  <c r="G20" i="29"/>
  <c r="F20" i="29"/>
  <c r="E20" i="29"/>
  <c r="I26" i="70"/>
  <c r="I22" i="70"/>
  <c r="I13" i="70"/>
  <c r="I12" i="70"/>
  <c r="I11" i="70"/>
  <c r="I10" i="70"/>
  <c r="I9" i="70"/>
  <c r="G19" i="29"/>
  <c r="F19" i="29"/>
  <c r="E19" i="29"/>
  <c r="I22" i="69"/>
  <c r="I14" i="69"/>
  <c r="I13" i="69"/>
  <c r="I10" i="69"/>
  <c r="I9" i="69"/>
  <c r="G18" i="29"/>
  <c r="F18" i="29"/>
  <c r="E18" i="29"/>
  <c r="G17" i="29"/>
  <c r="F17" i="29"/>
  <c r="E17" i="29"/>
  <c r="I19" i="68"/>
  <c r="I12" i="68"/>
  <c r="I11" i="68"/>
  <c r="I10" i="68"/>
  <c r="I9" i="68"/>
  <c r="I12" i="67"/>
  <c r="I11" i="67"/>
  <c r="I10" i="67"/>
  <c r="I24" i="67"/>
  <c r="I26" i="67"/>
  <c r="I15" i="67"/>
  <c r="I14" i="67"/>
  <c r="I13" i="67"/>
  <c r="I9" i="67"/>
  <c r="G16" i="29"/>
  <c r="F16" i="29"/>
  <c r="E16" i="29"/>
  <c r="I11" i="66"/>
  <c r="I12" i="66"/>
  <c r="G15" i="29"/>
  <c r="F15" i="29"/>
  <c r="E15" i="29"/>
  <c r="I17" i="66"/>
  <c r="I10" i="66"/>
  <c r="I9" i="66"/>
  <c r="I19" i="65"/>
  <c r="I17" i="65"/>
  <c r="I20" i="65"/>
  <c r="I12" i="65"/>
  <c r="I11" i="65"/>
  <c r="I10" i="65"/>
  <c r="I9" i="65"/>
  <c r="G14" i="29"/>
  <c r="F14" i="29"/>
  <c r="E14" i="29"/>
  <c r="I20" i="64"/>
  <c r="I19" i="64"/>
  <c r="I17" i="64"/>
  <c r="I12" i="64"/>
  <c r="I11" i="64"/>
  <c r="I10" i="64"/>
  <c r="I9" i="64"/>
  <c r="G13" i="29"/>
  <c r="F13" i="29"/>
  <c r="E13" i="29"/>
  <c r="I24" i="63"/>
  <c r="I25" i="63"/>
  <c r="I23" i="63"/>
  <c r="I22" i="63"/>
  <c r="I21" i="63"/>
  <c r="I19" i="63"/>
  <c r="I14" i="63"/>
  <c r="I13" i="63"/>
  <c r="I12" i="63"/>
  <c r="I11" i="63"/>
  <c r="I10" i="63"/>
  <c r="I9" i="63"/>
  <c r="G12" i="29"/>
  <c r="F12" i="29"/>
  <c r="E12" i="29"/>
  <c r="I27" i="62"/>
  <c r="I15" i="62"/>
  <c r="I14" i="62"/>
  <c r="I13" i="62"/>
  <c r="I12" i="62"/>
  <c r="I11" i="62"/>
  <c r="I10" i="62"/>
  <c r="I28" i="62"/>
  <c r="I26" i="62"/>
  <c r="I25" i="62"/>
  <c r="I23" i="62"/>
  <c r="I18" i="62"/>
  <c r="I17" i="62"/>
  <c r="I16" i="62"/>
  <c r="I9" i="62"/>
  <c r="G11" i="29"/>
  <c r="F11" i="29"/>
  <c r="E11" i="29"/>
  <c r="G10" i="29"/>
  <c r="F10" i="29"/>
  <c r="E10" i="29"/>
  <c r="I21" i="61"/>
  <c r="I20" i="61"/>
  <c r="I19" i="61"/>
  <c r="I17" i="61"/>
  <c r="I22" i="61"/>
  <c r="I12" i="61"/>
  <c r="I11" i="61"/>
  <c r="I10" i="61"/>
  <c r="I9" i="61"/>
  <c r="I13" i="61"/>
  <c r="I24" i="61"/>
  <c r="I21" i="60"/>
  <c r="I20" i="60"/>
  <c r="I19" i="60"/>
  <c r="I17" i="60"/>
  <c r="I12" i="60"/>
  <c r="I11" i="60"/>
  <c r="I10" i="60"/>
  <c r="I9" i="60"/>
  <c r="G9" i="29"/>
  <c r="F9" i="29"/>
  <c r="H17" i="39"/>
  <c r="H18" i="39"/>
  <c r="H19" i="39"/>
  <c r="H20" i="39"/>
  <c r="H21" i="39"/>
  <c r="H22" i="39"/>
  <c r="H23" i="39"/>
  <c r="H24" i="39"/>
  <c r="H25" i="39"/>
  <c r="H26" i="39"/>
  <c r="H16" i="39"/>
  <c r="I12" i="39"/>
  <c r="I9" i="39"/>
  <c r="I26" i="39"/>
  <c r="I25" i="39"/>
  <c r="I24" i="39"/>
  <c r="I23" i="39"/>
  <c r="I22" i="39"/>
  <c r="I21" i="39"/>
  <c r="I20" i="39"/>
  <c r="I19" i="39"/>
  <c r="I17" i="39"/>
  <c r="I11" i="39"/>
  <c r="I10" i="39"/>
  <c r="H21" i="30"/>
  <c r="H22" i="31"/>
  <c r="H23" i="31"/>
  <c r="H24" i="31"/>
  <c r="H25" i="31"/>
  <c r="H26" i="31"/>
  <c r="H27" i="31"/>
  <c r="H28" i="31"/>
  <c r="H29" i="31"/>
  <c r="H30" i="31"/>
  <c r="H31" i="31"/>
  <c r="H32" i="31"/>
  <c r="H21" i="31"/>
  <c r="H33" i="31"/>
  <c r="H9" i="31"/>
  <c r="H18" i="31"/>
  <c r="H10" i="31"/>
  <c r="H11" i="31"/>
  <c r="H12" i="31"/>
  <c r="H13" i="31"/>
  <c r="H14" i="31"/>
  <c r="H15" i="31"/>
  <c r="H16" i="31"/>
  <c r="H17" i="31"/>
  <c r="H8" i="31"/>
  <c r="H8" i="30"/>
  <c r="H9" i="30"/>
  <c r="H10" i="30"/>
  <c r="H11" i="30"/>
  <c r="H12" i="30"/>
  <c r="H18" i="30"/>
  <c r="H13" i="30"/>
  <c r="H14" i="30"/>
  <c r="H15" i="30"/>
  <c r="H16" i="30"/>
  <c r="H17" i="30"/>
  <c r="G22" i="30"/>
  <c r="H22" i="30"/>
  <c r="G32" i="31"/>
  <c r="G31" i="31"/>
  <c r="G30" i="31"/>
  <c r="G29" i="31"/>
  <c r="G28" i="31"/>
  <c r="G27" i="31"/>
  <c r="G26" i="31"/>
  <c r="G25" i="31"/>
  <c r="G24" i="31"/>
  <c r="G23" i="31"/>
  <c r="G22" i="31"/>
  <c r="G21" i="31"/>
  <c r="G17" i="31"/>
  <c r="G16" i="31"/>
  <c r="G15" i="31"/>
  <c r="G14" i="31"/>
  <c r="G13" i="31"/>
  <c r="G12" i="31"/>
  <c r="G11" i="31"/>
  <c r="G10" i="31"/>
  <c r="G9" i="31"/>
  <c r="G8" i="31"/>
  <c r="G42" i="30"/>
  <c r="H42" i="30"/>
  <c r="G41" i="30"/>
  <c r="H41" i="30"/>
  <c r="G40" i="30"/>
  <c r="H40" i="30"/>
  <c r="G39" i="30"/>
  <c r="H39" i="30"/>
  <c r="G38" i="30"/>
  <c r="H38" i="30"/>
  <c r="G37" i="30"/>
  <c r="H37" i="30"/>
  <c r="G36" i="30"/>
  <c r="H36" i="30"/>
  <c r="G35" i="30"/>
  <c r="H35" i="30"/>
  <c r="G34" i="30"/>
  <c r="H34" i="30"/>
  <c r="G33" i="30"/>
  <c r="H33" i="30"/>
  <c r="G32" i="30"/>
  <c r="H32" i="30"/>
  <c r="G31" i="30"/>
  <c r="H31" i="30"/>
  <c r="G30" i="30"/>
  <c r="H30" i="30"/>
  <c r="G29" i="30"/>
  <c r="H29" i="30"/>
  <c r="G28" i="30"/>
  <c r="H28" i="30"/>
  <c r="G27" i="30"/>
  <c r="H27" i="30"/>
  <c r="G26" i="30"/>
  <c r="H26" i="30"/>
  <c r="G25" i="30"/>
  <c r="H25" i="30"/>
  <c r="G24" i="30"/>
  <c r="H24" i="30"/>
  <c r="H43" i="30"/>
  <c r="H45" i="30"/>
  <c r="G23" i="30"/>
  <c r="H23" i="30"/>
  <c r="G21" i="30"/>
  <c r="G17" i="30"/>
  <c r="G16" i="30"/>
  <c r="G15" i="30"/>
  <c r="G14" i="30"/>
  <c r="G13" i="30"/>
  <c r="G12" i="30"/>
  <c r="G11" i="30"/>
  <c r="G10" i="30"/>
  <c r="G9" i="30"/>
  <c r="G8" i="30"/>
  <c r="H32" i="25"/>
  <c r="H35" i="31"/>
  <c r="I13" i="68"/>
  <c r="I21" i="68"/>
  <c r="I16" i="67"/>
  <c r="I28" i="67"/>
  <c r="I19" i="66"/>
  <c r="I13" i="66"/>
  <c r="I21" i="66"/>
  <c r="I13" i="65"/>
  <c r="I22" i="65"/>
  <c r="I13" i="64"/>
  <c r="I21" i="64"/>
  <c r="I15" i="63"/>
  <c r="I26" i="63"/>
  <c r="I29" i="62"/>
  <c r="I19" i="62"/>
  <c r="I31" i="62"/>
  <c r="I22" i="60"/>
  <c r="I13" i="60"/>
  <c r="I27" i="39"/>
  <c r="I13" i="39"/>
  <c r="I23" i="64"/>
  <c r="I28" i="63"/>
  <c r="I24" i="60"/>
  <c r="E9" i="29"/>
  <c r="I29" i="39"/>
  <c r="E27" i="29"/>
  <c r="I12" i="73"/>
  <c r="I24" i="73"/>
  <c r="I14" i="72"/>
  <c r="I24" i="72"/>
  <c r="G22" i="29"/>
  <c r="E28" i="29"/>
  <c r="I14" i="71"/>
  <c r="I22" i="71"/>
  <c r="I14" i="70"/>
  <c r="I28" i="70"/>
  <c r="E26" i="29"/>
  <c r="I15" i="69"/>
  <c r="I24" i="69"/>
</calcChain>
</file>

<file path=xl/sharedStrings.xml><?xml version="1.0" encoding="utf-8"?>
<sst xmlns="http://schemas.openxmlformats.org/spreadsheetml/2006/main" count="812" uniqueCount="294">
  <si>
    <t xml:space="preserve">
Check list de PPR´s</t>
  </si>
  <si>
    <t xml:space="preserve">
</t>
  </si>
  <si>
    <t>RESULTADOS DEL MES DE ______________</t>
  </si>
  <si>
    <t>Prerrequisito</t>
  </si>
  <si>
    <t>Documentación</t>
  </si>
  <si>
    <t>Piso</t>
  </si>
  <si>
    <t>Global</t>
  </si>
  <si>
    <t>1. BPM´s</t>
  </si>
  <si>
    <t>2. Limpieza</t>
  </si>
  <si>
    <t>3. Químicos</t>
  </si>
  <si>
    <t>4. Control de Plagas</t>
  </si>
  <si>
    <t>5. Microbiología</t>
  </si>
  <si>
    <t>6. Mantenimiento</t>
  </si>
  <si>
    <t>7. Vidrio y Plástico</t>
  </si>
  <si>
    <t>8. Material Extraño</t>
  </si>
  <si>
    <t>9. Alérgenos</t>
  </si>
  <si>
    <t>10. Recuperación y trazabilidad</t>
  </si>
  <si>
    <t>11. Calibración</t>
  </si>
  <si>
    <t>12. Almacenamiento</t>
  </si>
  <si>
    <t>13. Compras</t>
  </si>
  <si>
    <t>14. Defensa de Alimentos</t>
  </si>
  <si>
    <t>15. Gestión de Residuos</t>
  </si>
  <si>
    <t>1. Buenas Prácticas de Manufactura</t>
  </si>
  <si>
    <t>Verificación documental</t>
  </si>
  <si>
    <t>Cumple</t>
  </si>
  <si>
    <t>No Cumple</t>
  </si>
  <si>
    <t>% Optimo</t>
  </si>
  <si>
    <t>% Obtenido</t>
  </si>
  <si>
    <t>Comentarios</t>
  </si>
  <si>
    <t>1. La capacitación de BPM´S tiene una frecuencia anual y contempla al 100% del personal y se cumple.</t>
  </si>
  <si>
    <t>2. Existen ayudas visuales del método de lavado de manos para consulta del personal. (producción, sanitarios, comedor etc.)</t>
  </si>
  <si>
    <t xml:space="preserve">3. Está documentado la realización de los análisis clínicos necesarios a los empleados, y está incluido que hacer en caso de que estén fuera de parámetros aceptables. </t>
  </si>
  <si>
    <t>4. Existen registros de los resultados de los análisis clínicos marcados  en las fechas estipuladas. Se le da seguimiento documentado al personal que se encuentra bajo tratamiento médico.</t>
  </si>
  <si>
    <t>Total</t>
  </si>
  <si>
    <t>Verificación en piso</t>
  </si>
  <si>
    <t>1. El personal conoce las BPM´S, desde operarios hasta personal administrativo. Entreviste a 4 personas.</t>
  </si>
  <si>
    <t xml:space="preserve"> </t>
  </si>
  <si>
    <t>2.- El personal utiliza uniforme limpio, completo y en condiciones apropiadas de uso de acuerdo a su área de trabajo.</t>
  </si>
  <si>
    <t>3.- Se observa el personal con barba afeitada, bigote recortado, el cabello corto, uñas recortadas y se evita el uso de uñas postizas, barniz en las uñas, uñas sucias, el uso de maquillaje, perfumes, medicamentos, lociones para piel y de pestañas postizas.</t>
  </si>
  <si>
    <t>4.- Se observa que no hay evidencia de consumo de bebidas, goma de mascar, alimentos, tabaco, alcohol etc, además muestra buenos hábitos al no escupir en ningún área, o toser sobre envase o producto.</t>
  </si>
  <si>
    <t>5.- Se prohíbe el uso de joyería incluyendo relojes, pulseras, cadenas, anillos, collares, piercing, llaveros, y ligas, broches o pasadores para el cabello, llaveros, o cualquier otro objeto suelto o que potencialmente pueda aflojarse y contaminar productos, materias primas o insumos.</t>
  </si>
  <si>
    <t>6.- El personal conoce el procedimiento de lavado de manos, así como la frecuencia.</t>
  </si>
  <si>
    <t>7.- Verifique que las estaciones de lavado de manos funcionen correctamente, cuentan con agua corriente, jabón bactericida, sanitizante, toallas de papel y cesto para basura</t>
  </si>
  <si>
    <t>8.- El personal tiene conocimiento sobre que hacer en caso de presencia de algún síntoma de enfermedad infecto-contagiosa</t>
  </si>
  <si>
    <t>9.- Los baños están limpios, funcionan correctamente y se mantienen cerrados.</t>
  </si>
  <si>
    <t xml:space="preserve">10.-Los casilleros se encuentran limpios, libres de basura, ropa o equipos contaminados, herramienta, medicamentos, químicos o alimentos. </t>
  </si>
  <si>
    <t>11.- Las áreas se mantienen limpias, ordenadas, libres de ropa, objetos personales, o astillas de madera.</t>
  </si>
  <si>
    <t>% de cumplimiento total</t>
  </si>
  <si>
    <t>Marcar con una X el Área Evaluada</t>
  </si>
  <si>
    <t>Almacén</t>
  </si>
  <si>
    <t>Fecha de verificación:</t>
  </si>
  <si>
    <t>Aseguramiento de calidad</t>
  </si>
  <si>
    <t>Control de calidad</t>
  </si>
  <si>
    <t>Nombre y Firma del Evaluador</t>
  </si>
  <si>
    <t>Desarrollos</t>
  </si>
  <si>
    <t>Mantenimiento</t>
  </si>
  <si>
    <t>Nombre y Firma del Responsables de área</t>
  </si>
  <si>
    <t>Producción</t>
  </si>
  <si>
    <t>2. Limpieza y desinfección</t>
  </si>
  <si>
    <t>1. Se cuenta con planes maestros de limpieza de todas las áreas (internas y externas),  incluyendo equipos, lámparas, techos etc. Y cada actividad es registrada en los formatos correspondientes.</t>
  </si>
  <si>
    <t>2. Se cuenta con procedimientos o instructivos para la realización de la limpieza de cada actividad .</t>
  </si>
  <si>
    <t xml:space="preserve">3. Los saneamientos de equipos cuentan con liberaciones que detallan el cumplimiento de los requerimientos tales como: ATP, hisopado de alérgenos. </t>
  </si>
  <si>
    <t>4. Los procedimientos de limpieza y saneamiento incluyen actividades a realizar en caso de que no se cumplan los requerimientos.</t>
  </si>
  <si>
    <t>1. Las áreas se encuentran libres de suciedad y libres de hongos</t>
  </si>
  <si>
    <t xml:space="preserve">2. Se respeta el código de colores en los utensilios de limpieza. </t>
  </si>
  <si>
    <t>3. Las frecuencias establecidas de limpieza de instalaciones se respetan de acuerdo al programa establecido.</t>
  </si>
  <si>
    <t>4. Únicamente se utilizan en planta agentes de limpieza y saneamiento autorizados para su uso en plantas de alimentos (solo aplica producción).</t>
  </si>
  <si>
    <t>5. Los utensilios para limpieza y sus materiales no representan un riesgo de contaminación hacia el producto y proceso. Solo aplica a producción.</t>
  </si>
  <si>
    <t>6. Los  materiales de limpieza (cepillos, escobas, paños, etc.) se almacenan limpios después de su uso, y está asignada un área y ordenados.</t>
  </si>
  <si>
    <t>3. Control de químicos</t>
  </si>
  <si>
    <t>1. Se tiene un listado actualizado de todos los químicos permitidos en planta, que considera químicos de Limpieza, mantenimiento, laboratorio, manejo de plagas etc.</t>
  </si>
  <si>
    <t>2. Se cuenta con todas las fichas técnicas y hojas de seguridad en las áreas especificas de uso o almacenamiento.</t>
  </si>
  <si>
    <t>3. El personal de planta cuenta con los registros de capacitación sobre el manejo y almacenamiento de químicos.</t>
  </si>
  <si>
    <t>4. Se cuenta con los documentos (fichas técnicas, cartas garantía, registros de aprobación, etc ) de los químicos para  su uso en plantas de alimentos y/ o  grado alimentario, por ejemplo lubricantes etc.</t>
  </si>
  <si>
    <t>1. El personal tiene un manejo adecuado de los químicos, de acuerdo a los procedimientos y etiquetado</t>
  </si>
  <si>
    <t>2. Se lleva un inventario al día,  por medio del uso de la bitacora CCBT06 de las diferentes áreas (producción, desarrollos,calidad, comedor), así como de su entrega a las diferentes áreas (cuando aplique).</t>
  </si>
  <si>
    <t>3. Los químicos grado alimentario y sus utensilios están separados de los demás químicos, y se manejan de tal forma que se evite una contaminación de los mismos.</t>
  </si>
  <si>
    <t>4. Los químicos en planta y almacén se encuentran bajo llave cuando no se están utilizando (si no hay personal supervisándolos).</t>
  </si>
  <si>
    <t>5. El personal encargado de la manipulación de los químicos sabe que hacer en caso de una fuga o derrame (consulta hojas de seguridad / ayuda a controlar derrames / conoce la ruta de evacuación / sabe dónde se almacenan los residuos peligrosos). Entreviste a los empleados sobre la manera correcta de almacenar y manejar el producto químico.</t>
  </si>
  <si>
    <t>6. Durante el recorrido, se observó que todos los químicos se encontraban identificados de acuerdo a lo marcado en el procedimiento.</t>
  </si>
  <si>
    <t>Listado de Cumplimiento de Prerrequisitos</t>
  </si>
  <si>
    <t xml:space="preserve">EMBOTELLADORA AGUASCALIENTES S.A. DE C.V </t>
  </si>
  <si>
    <t>CEPRO/CEDIS LAS TROJES</t>
  </si>
  <si>
    <t>EVALUACIÓN DE BUENAS PRÁCTICAS DE MANUFACTURA (ALMACENES)</t>
  </si>
  <si>
    <t>Verificación de documentación</t>
  </si>
  <si>
    <t>Observaciones</t>
  </si>
  <si>
    <t>1. Se cuenta con un manual de BHM's.</t>
  </si>
  <si>
    <t>2. El manual de BHM's es conocido por todo el personal de planta, así como personal externo que ingresa a realizar actividades a áreas de producción.</t>
  </si>
  <si>
    <t>3. El manual de BHM's abarca todas las áreas de la planta.</t>
  </si>
  <si>
    <t>4. El manual cumple con la ley que rige al país de origen y de destino.</t>
  </si>
  <si>
    <t>5. La planta tiene un sistema de evaluación de las BHM´S en piso, y las evaluaciones se hacen con la frecuencia determinada y son actualizadas.</t>
  </si>
  <si>
    <t>6. Existen registros de una inducción para el personal de nuevo ingreso, incluyendo contratistas y proveedores.</t>
  </si>
  <si>
    <t>7. La capacitación de BHM´S tiene una frecuencia anual y contempla al 100% del personal y se cumple.</t>
  </si>
  <si>
    <t>8. Existe una metodología documentada para el lavado y saneamiento de manos para los trabajadores.</t>
  </si>
  <si>
    <t>9. Se cuenta con un requerimiento específico sobre el uso de cofia y cubre boca cuando los ingredientes, materiales y producto se encuentran expuestos.</t>
  </si>
  <si>
    <t>10. El programa contempla la segregación del personal  con síntomas de enfermedad o cortaduras y/o lesiones expuestas, y  se excluyen de trabajos que involucren el manejo de alimentos.</t>
  </si>
  <si>
    <t>2.- El personal utiliza uniforme limpio, completo y en condiciones apropiadas de uso de acuerdo a su área (camisa, pantalón y calzado).</t>
  </si>
  <si>
    <t>3.- Los empleados, contratistas y visitantes son responsables del buen uso, la limpieza y la integridad de su equipo de protección personal.</t>
  </si>
  <si>
    <t>4.- Se observa que el personal lava su uniforme diariamente</t>
  </si>
  <si>
    <t>5.- Se observa el personal con barba afeitada, bigote recortado, el cabello corto.</t>
  </si>
  <si>
    <t>6.- Se observa que no hay evidencia de consumo de bebidas, goma de mascar, alimentos, tabaco alcohol y drogas ilegales.</t>
  </si>
  <si>
    <t>7.- El personal debe de evitar los siguiente: el uso de botellas de los productos que elaboramos como recipiente para cualquier otra sustancia, Ingresar químicos no autorizados, medicamentos o cualquier material no autorizado tales como, recipientes ó articulos de vidrio, plástico quebradizo y cerámica, ingresar animales.</t>
  </si>
  <si>
    <t>8.- El personal interno y externo ha participado en cursos de capacitación relacionados con buenas prácticas de manufactura y demuestra tener conocimiento. (Revisar registros)</t>
  </si>
  <si>
    <t>9.- Se cuenta con ayudas visuales sobre las BPM´S en la planta como ayuda para el personal.</t>
  </si>
  <si>
    <t>10.- En el área de almacenamiento y áreas productivas verifique el uso del Formato Lista de Verificación de Buenas Prácticas de Manufactura</t>
  </si>
  <si>
    <t xml:space="preserve">11.- El área se encuentra limpia, libre de ropa u objetos personales. </t>
  </si>
  <si>
    <t>12.- El personal evita tomar agua en envases de refresco.</t>
  </si>
  <si>
    <t>Cumplimiento Total</t>
  </si>
  <si>
    <t>Fecha:</t>
  </si>
  <si>
    <t>Oficinas Generales</t>
  </si>
  <si>
    <t>Servicios Generales</t>
  </si>
  <si>
    <t>APE</t>
  </si>
  <si>
    <t>X</t>
  </si>
  <si>
    <t>Nombre y Firma del Personal Evaluado</t>
  </si>
  <si>
    <t>PTAR</t>
  </si>
  <si>
    <t>Transporte</t>
  </si>
  <si>
    <t>Patios y Estacionamientos</t>
  </si>
  <si>
    <t>INA-E-F4-700.01.04</t>
  </si>
  <si>
    <t>EVALUACIÓN DE BUENAS PRÁCTICAS DE MANUFACTURA (PRODUCCIÓN)</t>
  </si>
  <si>
    <t>5.- Se observa el personal con barba afeitada, bigote recortado, el cabello corto, traer uñas recortadas y se evita el uso de uñas postizas, barniz en las uñas, uñas sucias, el uso de maquillaje, perfumes, medicamentos, lociones para piel, cremas, pomadas y de pestañas postizas.</t>
  </si>
  <si>
    <t>6.- Se observa que no hay evidencia de consumo de bebidas, goma de mascar, alimentos, tabaco alcohol y drogas ilegales, además muestra buenos hábitos al no escupir en ningún área, o toser sobre envase o producto.</t>
  </si>
  <si>
    <t xml:space="preserve"> 11.- Los empleados Contratistas y visitantes deben portar casco, cofia, cubre bocas y de acuerdo a la necesidades de las actividades a realizar o áreas a visitar deben estar dotados de mandil, lentes de seguridad, protección auditiva, guantes, faja, respiradores, calzado de seguridad cerrado y no absorbente.</t>
  </si>
  <si>
    <t>12.- Se prohíbe el uso de joyería incluyendo relojes, pulseras, cadenas, anillos, collares, piercing, llaveros, y ligas, broches o pasadores para el cabello, llaveros, o cualquier otro objeto suelto o que potencialmente pueda aflojarse y contaminar productos, materias primas o insumos.</t>
  </si>
  <si>
    <t>13.- Los empleados laboran directamente en el área de proceso no debe tener bolsillos en las camisas de los uniformes o los deberá traer cancelados.</t>
  </si>
  <si>
    <t>14.- Verificar que el personal no porte plumas o lápices en la oreja ya que se pueden verter y constituir un riesgo en nuestros productos intermedios o finales.</t>
  </si>
  <si>
    <t>15.- El personal conoce el procedimiento de lavado de manos, así como la frecuencia.</t>
  </si>
  <si>
    <t>16.- Verifique que las estaciones de lavado de manos funcionen correctamente, cuentan con agua corriente, jabón germicida, sanitizante, secador de aire o toallas de papel y cesto para basura</t>
  </si>
  <si>
    <t>17.- Se cuenta con estaciones de sanitizado en llenadora, enjuagadora de botella, depaletizadoras a granel de envase no retornable.</t>
  </si>
  <si>
    <t>18.- El personal tiene conocimiento sobre que hacer en caso de presencia de algún síntoma de enfermedad infecto-contagiosa</t>
  </si>
  <si>
    <t>19.- Se observa que el personal transita por áreas delimitadas para evitar una contaminación cruzada</t>
  </si>
  <si>
    <t>20.- Los baños están limpios y cerrados</t>
  </si>
  <si>
    <t xml:space="preserve">21.-Los casilleros se encuentran limpios, libres de basura, ropa o equipos contaminados, herramienta, medicamentos, químicos o alimentos. </t>
  </si>
  <si>
    <t xml:space="preserve">22.- Las áreas se mantienen limpias, ordenadas, libres de ropa, objetos personales, madera (excepto tarimas para producto terminado) </t>
  </si>
  <si>
    <t>4. Control de plagas</t>
  </si>
  <si>
    <t>1. Se cuenta con un seguro de responsabilidad civil vigente por parte de la compañía externa.</t>
  </si>
  <si>
    <t xml:space="preserve">2. Se tiene un listado de los plaguicidas autorizados para su uso dentro de la planta, copias de etiquetas, registros de Cicloplafest y hojas de seguridad de cada uno de los plaguicidas que serán utilizados en las instalaciones de la planta, así como la rotación de los mismos. </t>
  </si>
  <si>
    <t>3. La compañía de plagas cuenta con procedimientos basados en las plagas objetivo, para todas las actividades que se realizan dentro y en los alrededores de la planta.</t>
  </si>
  <si>
    <t>4. El contrato está actualizado y firmado. La compañía de plagas cumple con lo estipulado en la normatividad. El contrato establece el alcance de servicio para cada tipo de plaga.</t>
  </si>
  <si>
    <t>5. Los procedimientos consideran medidas de protección al producto, materiales y superficies, antes, durante y después de las aplicaciones.</t>
  </si>
  <si>
    <t>6. El personal que realiza las actividades del programa tiene entrenamiento en: BPM´s, control de plagas, manejo seguro de químicos. Que garanticen su competencia laboral y que no serán un riesgo para la empresa.</t>
  </si>
  <si>
    <t>7. La compañía de plagas realiza un reporte donde registra las actividades realizadas durante el servicio, así como registrar las cantidades de plaguicida o rodenticida utilizado durante el servicio, y realiza una recomendación hacia la planta para mejorar el control de plagas.</t>
  </si>
  <si>
    <t>8. El prestador de servicio cuenta con Licencia Sanitaria. Los técnicos aplicadores cuentan con certificados de competencia laboral.</t>
  </si>
  <si>
    <t>9. Constancias de tratamiento a transporte están vigente.</t>
  </si>
  <si>
    <t>10. Se tiene establecido y documentado el manejo del equipo, materiales y químicos utilizados en el programa. Hay evidencia de este control.</t>
  </si>
  <si>
    <t>1. Verifique en piso los dispositivos de luz, 3 trampas internas y 3 trampas externas, y verifique que corresponden a la ubicación señalada en el lay-out.</t>
  </si>
  <si>
    <t>2. Verifique que las áreas sensibles de la planta estén libres de plagas o evidencia de plagas. Excretas (crítico cucarachas, moscas, aves y roedores).</t>
  </si>
  <si>
    <t>3. En las aplicaciones de plaguicidas se respeta la dosificación marcada en la etiqueta ya sea por mI. X litro de agua, o por metros cuadrados o cúbicos, y están registrados en el reporte de servicio.</t>
  </si>
  <si>
    <t>4. El proveedor de servicio de control de plagas cuenta con una capacitación sobre el manejo integrado de plaguicidas, biología y hábitos de plagas objetivo, su aplicación, y que hacer en caso de un derrame o contaminación del producto, BPM´s etc.</t>
  </si>
  <si>
    <t>5. Las trampas colocadas en áreas interiores de la planta se encuentran ancladas, son suficientes para el perímetro a controlar y funcionan correctamente.</t>
  </si>
  <si>
    <t>6.  Se realiza seguimiento y cierre de acciones solicitadas a planta por parte del prestador de servicio.</t>
  </si>
  <si>
    <t>7. Se han eliminado condiciones que puedan ocasionar contaminación del producto y proliferación de plagas, tales como: equipo en desuso, desperdicios y chatarra, maleza o hierbas, encharcamiento por drenaje insuficiente o inadecuado, grietas o claros de luz.</t>
  </si>
  <si>
    <t>1. La planta cuenta con un procedimiento para el monitoreo microbiológico que tiene como alcance:  monitoreo ambiental, del aire, del agua, de equipos, materias primas y producto terminado.</t>
  </si>
  <si>
    <t>2. Existe evidencia de la capacitación y competencia técnica del personal que realiza los métodos de muestreo y prueba.</t>
  </si>
  <si>
    <t>3. Si se utilizan métodos rápidos, ¿están validados contra los métodos oficiales?</t>
  </si>
  <si>
    <t>4. Las materias primas se utilizan hasta tener la liberación del resultado de microbiología.</t>
  </si>
  <si>
    <t>5. Para validar la sanidad del equipo se realizan métodos microbiológicos.</t>
  </si>
  <si>
    <t>6. Se analizan las bases de datos de los resultados microbiológicos  para identificar tendencias y tomar acciones preventivas.</t>
  </si>
  <si>
    <t>1. Verifique que las frecuencias de monitoreo se  cumplen como marca la matriz. (si no se cumple la frecuencia de cualquier punto de muestreo penalice el punto 2 de documentación).</t>
  </si>
  <si>
    <t>2. Las especificaciones tomadas para los resultados microbiológicos cumplen con las normativas nacionales, de la empresa y del cliente.</t>
  </si>
  <si>
    <t>3.El personal que ingresa al área de microbiologia utiliza bata en laboratorio y es exclusiva de esa área.</t>
  </si>
  <si>
    <t>4. El laboratorio de microbiología cumple con las diferentes barreras para evitar una contaminación de otras áreas.</t>
  </si>
  <si>
    <t xml:space="preserve">5. El acceso al laboratorio es controlado. </t>
  </si>
  <si>
    <t>6. Las incubadoras cumplen con un programa formal de verificación.</t>
  </si>
  <si>
    <t>7. Verifique en práctica como es desechado el material utilizado para las pruebas microbiológicas (si penaliza este punto penalice el punto 1 de documentación con la calificación mas estricta).</t>
  </si>
  <si>
    <t>8.Se establecen acciones correctivas derivado de desviaciones a parámetros microbiológicos y se tiene evidencia del seguimiento? (análisis causa raíz, evidencias de cumplimiento de acciones etc.)</t>
  </si>
  <si>
    <t>1. Existe un programa documentado de mantenimiento correctivo y preventivo. Y tiene como alcance equipos, áreas de proceso e instalaciones</t>
  </si>
  <si>
    <t>2. Los trabajos que son necesarios llevarlos a cabo por terceros, son supervisados para cumplir los lineamientos de este PPR; como evidencia existe un reporte de cumplimiento firmado por ambas partes.</t>
  </si>
  <si>
    <t>3. Se cuenta con la evidencia de que las grasas y lubricantes utilizados en equipos son  grado alimenticio (Fichas Técnicas).</t>
  </si>
  <si>
    <t>4. Se han documentado los lineamientos de inocuidad para mantenimiento, por ejemplo, cómo evitar excesos de lubricación, utilización de grasas y/o lubricantes grado alimenticio, soldadura con acabado sanitario, control de químicos y herramientas, etc.</t>
  </si>
  <si>
    <t>1. se realiza el inventario de herramientas y se verifica su limpieza.</t>
  </si>
  <si>
    <t>2. Las ordenes de mantenimiento se firman por quien realizó el mantenimiento, así como por quien recibe el servicio subcontratado.</t>
  </si>
  <si>
    <t xml:space="preserve">3. Las grasas y lubricantes grado alimenticio se almacenan adecuadamente. Existe concordancia con las fichas técnicas mostradas. </t>
  </si>
  <si>
    <t>4. las paredes, pisos o techos se observan en buen estado</t>
  </si>
  <si>
    <t>5. Existen evidencias de que los planes de mantenimiento  se llevan a cabo en planta y exteriores, por ejemplo: presencia de reparaciones temporales, excesos de grasa, riesgos por material extraño, maleza crecida, goteras, etc.</t>
  </si>
  <si>
    <t>7. Control de vidrio y plástico quebradizo</t>
  </si>
  <si>
    <t>1. Se cuenta con inventarios por área de trabajo, se mantienen actualizados y se verifican con la frecuencia marcada por la planta.</t>
  </si>
  <si>
    <t>2. Se cuenta con un procedimiento general para la entrada de objetos que contengan este material a la planta, cambio de lámparas y limpieza en caso de una contingencia.</t>
  </si>
  <si>
    <t>3. Los eventos de ruptura de vidrio y/o  plástico quebradizo están documentados y actualizados.</t>
  </si>
  <si>
    <t>4. Los utensilios designados para la limpieza de incidencias de vidrio y/o plastico quebradizo son utilizados paa dicho fin. (el bote no deberá contener basura o algún residuo diferente).</t>
  </si>
  <si>
    <t xml:space="preserve">1. Se tienen protegidas y se encuentran en buen estado las lámparas y cristales de ventanas y puertas de las áreas criticas . </t>
  </si>
  <si>
    <t>2. El personal respeta la política de vidrio y/o plástico quebradizo</t>
  </si>
  <si>
    <t xml:space="preserve">3. Se cumple con la frecuencia de los inventarios. </t>
  </si>
  <si>
    <t>4. El personal asignado realiza las liberaciones de las áreas cuando ocurre un acontecimiento en las áreas de la planta. (solo aplica en producción)</t>
  </si>
  <si>
    <t>8. Control de materia extraña</t>
  </si>
  <si>
    <t>1. Se tienen los registros de inspección sobre el funcionamiento de los dispositivos de control de material extraño (mallas, rejillas magnéticas).</t>
  </si>
  <si>
    <t>2. Se cuenta con evidencia de verificaciones y validación de los equipos para detección de material extraño. (Malla, rejilla magnética)</t>
  </si>
  <si>
    <t>3. El personal que monitoreo los prerrequisitos operativos cuenta con capacitación.</t>
  </si>
  <si>
    <t>4. Se tienen bien definidas las acciones a seguir en caso de falla de las medidas de control.</t>
  </si>
  <si>
    <t>1. Las áreas se mantienen libres de objetos extraños</t>
  </si>
  <si>
    <t>2. Se llevan acabo las acciones correctivas marcadas en el procedimiento cuando se encuentra un material extraño (mostrar documento).</t>
  </si>
  <si>
    <t>3. La planta elimina las posibles causas de generación de material extraño en las áreas de la planta. (astillas de madera, plástico o letreros rotos etc.)</t>
  </si>
  <si>
    <t>9. Control de alérgenos.</t>
  </si>
  <si>
    <t>1. Se cuenta con una lista actualizada de los alérgenos que hay en planta y el personal los ubica.</t>
  </si>
  <si>
    <t>2.-Se cuenta con las fichas técnicas de los productos alérgenos o sustancias sensitivas</t>
  </si>
  <si>
    <t>3.-Se cuenta con un procedimiento para el manejo de alérgenos que abarque su almacenamiento e indique qué hacer cuando ocurre un derrame, así como  para evitar  las posibles contaminaciones del material a los trabajadores. También las posibles contaminaciones cruzadas por mal manejo de utensilios y disposición de materiales.</t>
  </si>
  <si>
    <t>4. Se han establecido criterios para la recepción de materias identificadas como alérgenos.</t>
  </si>
  <si>
    <t>5. Se encuentran registros que demuestren que el personal es capacitado en el programa de alérgenos y materiales sensitivos.</t>
  </si>
  <si>
    <t>6. El listado de alérgenos aparece en el análisis de riesgos de ingredientes en el plan HACCP.</t>
  </si>
  <si>
    <t>7.-Se cuenta con un procedimiento para realizar las limpiezas de las líneas donde se procesaron alérgenos y su liberación.</t>
  </si>
  <si>
    <t xml:space="preserve">1. Los alérgenos están identificados y se almacenan adecuadamente, separados de los ingredientes no alérgenos. </t>
  </si>
  <si>
    <t>2. El personal de la planta conoce el manejo de alérgenos y cómo actuar ante una contingencia relacionado con los mismos.</t>
  </si>
  <si>
    <t>3. Se utilizan programas de producción y métodos de limpieza para prevenir la contaminación cruzada.</t>
  </si>
  <si>
    <t>4. Se cuenta con utensilios especiales para el manejo de alérgenos.</t>
  </si>
  <si>
    <t>5. En áreas donde los sacos o contenedores de alérgenos son abiertos para ser pesados o dosificados, se cumplen los lineamientos del programa para evitar la contaminación cruzada.</t>
  </si>
  <si>
    <t>6.Los alérgenos del comedor son manejados adecuadamente para evitar contaminación cruzada y se tiene identificado al personal que es alérgico.</t>
  </si>
  <si>
    <t>7.Se cumple la restricción de no ingresar con bata al comedor para evitar contaminación cruzada.</t>
  </si>
  <si>
    <t>10. Recuperación y Trazabilidad</t>
  </si>
  <si>
    <t>1. Se cuenta con el procedimiento para realizar la trazabilidad del producto terminado y/o materias primas</t>
  </si>
  <si>
    <t>2. La duración de los ejercicios  de trazabilidad deberá de estar marcada en el procedimiento (2 horas) y una frecuencia  de dos veces por año.</t>
  </si>
  <si>
    <t xml:space="preserve">3. Se cuenta con un procedimiento de recuperación y está documentado para casos reales como simulados y se lleva a cabo. </t>
  </si>
  <si>
    <t>4. El personal involucrado está capacitado de acuerdo al procedimiento establecido.</t>
  </si>
  <si>
    <t>1. Verifique que a lo largo del proceso, desde recepción hasta distribución, tanto ingredientes, producto en proceso y terminado tenga una forma de identificarse (código / lote) y que permita seguir su trazabilidad.</t>
  </si>
  <si>
    <t>2. Se tiene registro de la realización de simulacros de rastreo y recuperación de producto</t>
  </si>
  <si>
    <t>3. Se han tomado acciones preventivas para atender los hallazgos durante el ejercicio de trazabilidad y /o recuperación de producto.</t>
  </si>
  <si>
    <t>1. Se cuenta con un programa de calibración e involucra todos los equipos susceptibles de realizar una medición y que intervenga en la fabricación, pudiendo afectar la calidad e inocuidad del producto.</t>
  </si>
  <si>
    <t>2. Los responsables de área donde se tienen equipos de medición de nueva adquisición  consideran la calibración previa a su uso.</t>
  </si>
  <si>
    <t>3. Se cuenta con el respaldo de que los laboratorios donde se mandan los equipos a calibrar son laboratorios acreditados por entes legales.</t>
  </si>
  <si>
    <t>4. El procedimiento define un código para cada equipo y así poder tener una trazabilidad documental y física.</t>
  </si>
  <si>
    <t>5.Los equipos de medición utilizados en las diferentes áreas son los autorizados.</t>
  </si>
  <si>
    <t>6. Se cuenta con los registros de certificación de los patrones utilizados en planta.</t>
  </si>
  <si>
    <t xml:space="preserve">1. Los equipos mencionados en el programa de calibración deben contar con una identificación  así su como evidencia de su calibración. </t>
  </si>
  <si>
    <t>2. Se reciben certificados de las calibraciones realizadas por externos.</t>
  </si>
  <si>
    <t>3. El personal sabe que hacer en caso de identificar un equipo que no funcione correctamente</t>
  </si>
  <si>
    <t xml:space="preserve">4.Los responsables de área que tienen equipos de medición y actualizan el programa de calibración.  </t>
  </si>
  <si>
    <t>1. Se tienen procedimientos de recepción, almacenamiento y Despacho de producto terminado y son son conocidos por el personal que realiza la carga y la descarga de materiales y de producto terminado.</t>
  </si>
  <si>
    <t>2. Se tienen todas las especificaciones de los materiales e ingredientes utilizados para la fabricación de los alimentos.</t>
  </si>
  <si>
    <t>3. Se cuenta con un sistema que asegure que tanto los ingredientes, insumos y producto terminado se despachen de acuerdo a sus fechas de ingreso o fechas de caducidad.</t>
  </si>
  <si>
    <t>4. Se cuenta con un sistema para identificar primeras entradas - primeras salidas.</t>
  </si>
  <si>
    <t>5. Se cuenta con un sistema para bloquear el producto no conforme y este no sea distribuido a cliente.</t>
  </si>
  <si>
    <t>1. Se tienen certificados de calidad de los materiales recibidos, y se expide un certificado cuando se despacha producto terminado.</t>
  </si>
  <si>
    <t>2. Se realizan las revisiones de los transportes antes de cargar y descargar, en base a un check list (ver evidencia). Se realizan observaciones a los operadores de los camiones sobre las mejoras se tienen que hacer a su unidad.</t>
  </si>
  <si>
    <t>3. El producto terminado se almacena de una manera que se prevenga la contaminación del producto.</t>
  </si>
  <si>
    <t>4. La franja sanitaria y/o espacios detrás de los racks se observa limpia, libre de evidencia de plaga o materia extraña</t>
  </si>
  <si>
    <t>5. Se tienen identificadas todas las materias primas, excepto aquellas cuya identificación sea evidente.</t>
  </si>
  <si>
    <t>6. Se encuentran identificados los materiales almacenados con status de calidad (liberado, rechazado o en cuarentena).</t>
  </si>
  <si>
    <t>7. Se tiene asignado un área para producto no conforme</t>
  </si>
  <si>
    <t>8. Todos los materiales e ingredientes se almacenan por separado de producto terminado, asegurando condiciones que eviten su contaminación.</t>
  </si>
  <si>
    <t>9. Los contenedores que son abiertos para su muestreo son debidamente cerrados e identificados.</t>
  </si>
  <si>
    <t>1. Se cuenta con un procedimiento para la selección y evaluación  de proveedores.</t>
  </si>
  <si>
    <t>2.  Se tienen el listado de proveedores autorizados.</t>
  </si>
  <si>
    <t>3. Se tiene evidencia de evaluación a proveedores de ingredientes, empaques y de servicio. Cuestionarios, check list, base de datos.</t>
  </si>
  <si>
    <t>4. Se define en el procedimiento el lapso de tiempo que tienen los proveedores para establecer acciones correctivas sobre los hallazgos.</t>
  </si>
  <si>
    <t>5. Se verifica el cumplimiento normativo que deben cumplir los proveedores de ingredientes y servicio.</t>
  </si>
  <si>
    <t>1.- Verifique algunas materias primas y corrobore que los proveedores de las mismas son proveedores autorizados.</t>
  </si>
  <si>
    <t>2.- Se cuenta con cartas de garantía y certificados de calidad de los proveedores de materias primas y material de empaque primario. Verifique 3 que se hayan recibido recientemente.</t>
  </si>
  <si>
    <t>4.- Revise en piso si el personal de almacén conoce y está consciente de la documentación que debe entregar proveedores de materias primas y material de empaque para aceptar un embarque.</t>
  </si>
  <si>
    <t>1. Se tiene un plan de defensa de alimentos que contempla acceso controlado, seguridad de la información, monitoreo de cámaras de seguridad etc.</t>
  </si>
  <si>
    <t>2.  Se cuenta con un análisis de vulnerabilidad de las instalaciones y operaciones sensibles.</t>
  </si>
  <si>
    <t>3. El personal cuenta con capacitación sobre defensa de alimentos.</t>
  </si>
  <si>
    <t>4. Se cuenta con evidencia del seguimiento a las vulnerabilidadel detectadas.</t>
  </si>
  <si>
    <t>5. La contratación de personal nuevo es apoyada por herramientas de evaluación de confianza (psicométricos, estudios socioeconómicos, referencias, etc.)</t>
  </si>
  <si>
    <t>1. El programa de control de acceso al personal es llevado adecuadamente.</t>
  </si>
  <si>
    <t>2. El sistema de CCV funciona correctamente y es monitoreado continuamente.</t>
  </si>
  <si>
    <t>3. El acceso a las instalaciones se encuentra restringido a personal no autorizado a través de candados, letreros, puertas con clave, etc.</t>
  </si>
  <si>
    <t>4. El personal identifica los controles establecidos para el programa de defensa de alimentos.Mencione ejemplos</t>
  </si>
  <si>
    <t>5. Los visitantes portan identificación y su desplazamiento o actividad dentro de la instalación es supervisada  por personal de la planta.</t>
  </si>
  <si>
    <t>15. Gestión de residuos</t>
  </si>
  <si>
    <t>1.Se tiene un procedimiento para gestión de desechos.</t>
  </si>
  <si>
    <t>2.Se tiene un proveedor autorizado por SEMARNAT para  retiro y traslado de residuos peligrosos y los permisos están vigentes.</t>
  </si>
  <si>
    <t xml:space="preserve">3.Se tiene capacitación del personal en la gestión de desechos y residuos de manejo especial. </t>
  </si>
  <si>
    <t>1. Los contenedores de desechos se encuentran identificados y con tapa. Además de que no están desbordados de desechos, están limpios y en buenas condiciones físicas.</t>
  </si>
  <si>
    <t>2.Los desechos se colocan en el contenedor respectivo.</t>
  </si>
  <si>
    <t>3.Se observa que se retiran los desechos frecuentemente del interior de la instalación.</t>
  </si>
  <si>
    <t>4.Las áreas de almacenamiento de desechos se encuentran identificadas, delimitadas y en orden.</t>
  </si>
  <si>
    <t>5.Los residuos peligrosos se depositan en sus contenedores respectivos y se cuenta con los manifiestos correspondientes una vez que son retirados de planta</t>
  </si>
  <si>
    <t>6.Se cuenta con evidencia del retiro de residuos sólidos urbanos de la instalción.</t>
  </si>
  <si>
    <t>7.El personal identifica que tipo de desechos se genera en su área ( residuo especial o residuos peligrosos). Que mencione al menos 1 ejemplo</t>
  </si>
  <si>
    <t>PLANTA</t>
  </si>
  <si>
    <t>GERENCIA GENERAL</t>
  </si>
  <si>
    <t>HACCP</t>
  </si>
  <si>
    <t>% Seguimiento</t>
  </si>
  <si>
    <t>1. Se tiene un análisis de materia prima. Revise dos que estén de acuerdo a lo documentado.</t>
  </si>
  <si>
    <t>2. Los diagramas de flujo de proceso están actualizados.</t>
  </si>
  <si>
    <t>3. Los planes maestros se encuentran en las líneas donde están los PCCs.</t>
  </si>
  <si>
    <t xml:space="preserve">4. Los datos de los miembros del  equipo HACCP se encuentran documentados y actualizados. </t>
  </si>
  <si>
    <t>5. El equipo HACCP se reúne con una frecuencia adecuada para la revisión y mantenimiento del programa</t>
  </si>
  <si>
    <t>6.  Los Planes HACCP concuerdan con las definiciones y directrices del CODEX y NOM 251 para la aplicación de los siete principios del HACCP.</t>
  </si>
  <si>
    <t xml:space="preserve">7. Los planes HACCP incluyen: descripción del producto, incluyendo distribución,  uso destinado, y consumidores a los que se dirige.
</t>
  </si>
  <si>
    <t>8. Describa las auditorias / revisiones del Sistema HACCP realizadas para determinar si está operando de acuerdo con el Plan HACCP.</t>
  </si>
  <si>
    <t>9.-Se cuenta con un análisis de peligros por proceso.</t>
  </si>
  <si>
    <t>10. El personal que monitorea el PCC ha sido capacitado, tiene conciencia de su función, la toma con la responsabilidad adecuada y domina la actividad.</t>
  </si>
  <si>
    <t>1. Los PCCs están identificados físicamente.</t>
  </si>
  <si>
    <t>2. Se sigue la frecuencia de monitoreo ( si se penaliza este punto penalice el punto 5 de documentación).</t>
  </si>
  <si>
    <t>3. Los límites críticos se respetan y los registros son claros. Cuentan con la firma del monitor ( si se penaliza este punto penalice el punto 5 de documentación).</t>
  </si>
  <si>
    <t>4. Se han documentado los PR´s operativos.</t>
  </si>
  <si>
    <t>5.  Describa los procedimientos de validación de los límites críticos (cite el estudio interno, número/ fecha, referencia científica, etc.)</t>
  </si>
  <si>
    <t xml:space="preserve">6. Se cuenta con los procedimientos de re-evaluación del Plan HACCP; e.g. anual, o en respuesta a algún cambio o nueva información que pudiera afectar la validez del Plan HACCP. Verifique la fecha de la última re-evaluación. </t>
  </si>
  <si>
    <t>7. Los registros HACCP son fácilmente accesibles.</t>
  </si>
  <si>
    <t>8. Se llevan a cabo las verificaciones en tiempo, y a su vez documentados (si se penaliza este punto penalice el punto 3 de documentación).</t>
  </si>
  <si>
    <t>9. Existe un resguardo de los documentos del sistema HACCP, y a su vez la documentación se encuentra actualizada.</t>
  </si>
  <si>
    <t>10. Las acciones correctivas se documentan cuando se exceden los límites críticos. El personal conoce los procedimientos para desviaciones y manejo de producto bajo sospecha de contaminación.</t>
  </si>
  <si>
    <t>Seguimiento</t>
  </si>
  <si>
    <t>Nombre, puesto y firma evaluador:</t>
  </si>
  <si>
    <t>Nombre, puesto y firma evaluado: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</si>
</sst>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8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Arial 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36">
    <xf numFmtId="0" fontId="0" fillId="0" borderId="0" xfId="0"/>
    <xf numFmtId="9" fontId="0" fillId="0" borderId="1" xfId="0" applyNumberForma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9" fontId="3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9" fontId="0" fillId="0" borderId="8" xfId="0" applyNumberForma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15" fillId="0" borderId="0" xfId="0" applyFont="1"/>
    <xf numFmtId="9" fontId="0" fillId="0" borderId="1" xfId="0" applyNumberFormat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0" fontId="2" fillId="3" borderId="4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/>
    </xf>
    <xf numFmtId="9" fontId="3" fillId="4" borderId="11" xfId="0" applyNumberFormat="1" applyFont="1" applyFill="1" applyBorder="1" applyAlignment="1">
      <alignment horizontal="center"/>
    </xf>
    <xf numFmtId="0" fontId="0" fillId="5" borderId="0" xfId="0" applyFill="1"/>
    <xf numFmtId="0" fontId="17" fillId="5" borderId="0" xfId="0" applyFont="1" applyFill="1"/>
    <xf numFmtId="9" fontId="16" fillId="5" borderId="1" xfId="0" applyNumberFormat="1" applyFont="1" applyFill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9" fontId="18" fillId="5" borderId="1" xfId="0" applyNumberFormat="1" applyFont="1" applyFill="1" applyBorder="1" applyAlignment="1">
      <alignment horizontal="center" vertical="center"/>
    </xf>
    <xf numFmtId="9" fontId="16" fillId="0" borderId="1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5" borderId="0" xfId="0" applyNumberFormat="1" applyFont="1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0" xfId="0" applyFill="1" applyBorder="1"/>
    <xf numFmtId="0" fontId="0" fillId="5" borderId="0" xfId="0" applyFill="1" applyAlignment="1">
      <alignment horizontal="center"/>
    </xf>
    <xf numFmtId="0" fontId="13" fillId="5" borderId="0" xfId="0" applyFont="1" applyFill="1"/>
    <xf numFmtId="0" fontId="19" fillId="5" borderId="0" xfId="0" applyFont="1" applyFill="1"/>
    <xf numFmtId="0" fontId="19" fillId="5" borderId="13" xfId="0" applyFont="1" applyFill="1" applyBorder="1" applyAlignment="1">
      <alignment horizontal="center"/>
    </xf>
    <xf numFmtId="0" fontId="19" fillId="5" borderId="13" xfId="0" applyFont="1" applyFill="1" applyBorder="1"/>
    <xf numFmtId="0" fontId="0" fillId="5" borderId="13" xfId="0" applyFill="1" applyBorder="1" applyAlignment="1">
      <alignment horizontal="center"/>
    </xf>
    <xf numFmtId="9" fontId="3" fillId="6" borderId="7" xfId="1" applyNumberFormat="1" applyFont="1" applyFill="1" applyBorder="1" applyAlignment="1">
      <alignment horizontal="center"/>
    </xf>
    <xf numFmtId="0" fontId="0" fillId="5" borderId="0" xfId="0" applyFill="1" applyAlignment="1">
      <alignment vertical="center" wrapText="1"/>
    </xf>
    <xf numFmtId="0" fontId="17" fillId="5" borderId="0" xfId="0" applyFont="1" applyFill="1" applyAlignment="1">
      <alignment horizontal="justify" vertical="center"/>
    </xf>
    <xf numFmtId="0" fontId="6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9" fontId="10" fillId="6" borderId="1" xfId="0" applyNumberFormat="1" applyFont="1" applyFill="1" applyBorder="1" applyAlignment="1">
      <alignment horizontal="center" vertical="center"/>
    </xf>
    <xf numFmtId="0" fontId="20" fillId="5" borderId="0" xfId="0" applyFont="1" applyFill="1"/>
    <xf numFmtId="10" fontId="0" fillId="0" borderId="8" xfId="0" applyNumberFormat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horizontal="center"/>
    </xf>
    <xf numFmtId="9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9" fontId="16" fillId="5" borderId="0" xfId="0" applyNumberFormat="1" applyFont="1" applyFill="1" applyAlignment="1">
      <alignment horizontal="center" vertical="center"/>
    </xf>
    <xf numFmtId="9" fontId="18" fillId="5" borderId="0" xfId="0" applyNumberFormat="1" applyFont="1" applyFill="1" applyAlignment="1">
      <alignment horizontal="center" vertical="center"/>
    </xf>
    <xf numFmtId="9" fontId="10" fillId="6" borderId="0" xfId="0" applyNumberFormat="1" applyFont="1" applyFill="1" applyAlignment="1">
      <alignment horizontal="center" vertical="center"/>
    </xf>
    <xf numFmtId="0" fontId="16" fillId="5" borderId="0" xfId="0" applyFont="1" applyFill="1"/>
    <xf numFmtId="0" fontId="16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9" fontId="10" fillId="6" borderId="14" xfId="0" applyNumberFormat="1" applyFont="1" applyFill="1" applyBorder="1" applyAlignment="1">
      <alignment horizontal="left" vertical="center"/>
    </xf>
    <xf numFmtId="9" fontId="10" fillId="6" borderId="15" xfId="0" applyNumberFormat="1" applyFont="1" applyFill="1" applyBorder="1" applyAlignment="1">
      <alignment horizontal="left" vertical="center"/>
    </xf>
    <xf numFmtId="9" fontId="10" fillId="6" borderId="16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6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/>
    </xf>
    <xf numFmtId="9" fontId="10" fillId="6" borderId="0" xfId="0" applyNumberFormat="1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justify" vertical="center"/>
    </xf>
    <xf numFmtId="0" fontId="19" fillId="5" borderId="13" xfId="0" applyFont="1" applyFill="1" applyBorder="1" applyAlignment="1">
      <alignment horizontal="justify"/>
    </xf>
    <xf numFmtId="0" fontId="17" fillId="6" borderId="17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3" fillId="6" borderId="7" xfId="1" applyFont="1" applyFill="1" applyBorder="1" applyAlignment="1">
      <alignment horizontal="center"/>
    </xf>
    <xf numFmtId="0" fontId="1" fillId="5" borderId="1" xfId="0" applyFont="1" applyFill="1" applyBorder="1" applyAlignment="1">
      <alignment horizontal="justify" vertical="center" wrapText="1"/>
    </xf>
    <xf numFmtId="0" fontId="0" fillId="5" borderId="1" xfId="0" applyFill="1" applyBorder="1" applyAlignment="1">
      <alignment horizontal="justify" vertical="center" wrapText="1"/>
    </xf>
    <xf numFmtId="0" fontId="0" fillId="5" borderId="0" xfId="0" applyFill="1" applyAlignment="1">
      <alignment horizontal="center"/>
    </xf>
    <xf numFmtId="9" fontId="0" fillId="0" borderId="1" xfId="0" applyNumberForma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justify" vertical="center" wrapText="1"/>
    </xf>
    <xf numFmtId="0" fontId="1" fillId="0" borderId="15" xfId="0" applyFont="1" applyBorder="1" applyAlignment="1">
      <alignment horizontal="justify" vertical="center" wrapText="1"/>
    </xf>
    <xf numFmtId="0" fontId="1" fillId="0" borderId="16" xfId="0" applyFont="1" applyBorder="1" applyAlignment="1">
      <alignment horizontal="justify" vertical="center" wrapText="1"/>
    </xf>
    <xf numFmtId="0" fontId="0" fillId="0" borderId="1" xfId="0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2" fillId="3" borderId="47" xfId="0" applyFont="1" applyFill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1" fillId="0" borderId="28" xfId="0" applyFont="1" applyBorder="1" applyAlignment="1">
      <alignment horizontal="justify" vertical="center" wrapText="1"/>
    </xf>
    <xf numFmtId="0" fontId="0" fillId="0" borderId="29" xfId="0" applyBorder="1" applyAlignment="1">
      <alignment horizontal="center" wrapText="1"/>
    </xf>
    <xf numFmtId="0" fontId="1" fillId="0" borderId="31" xfId="0" applyFont="1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0" borderId="29" xfId="0" applyFon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wrapText="1"/>
    </xf>
    <xf numFmtId="9" fontId="0" fillId="0" borderId="15" xfId="0" applyNumberFormat="1" applyBorder="1" applyAlignment="1">
      <alignment horizontal="center" wrapText="1"/>
    </xf>
    <xf numFmtId="9" fontId="0" fillId="0" borderId="30" xfId="0" applyNumberFormat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29" xfId="0" applyFont="1" applyBorder="1" applyAlignment="1">
      <alignment horizontal="left" vertical="center" wrapText="1"/>
    </xf>
    <xf numFmtId="0" fontId="1" fillId="5" borderId="28" xfId="0" applyFont="1" applyFill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21" fillId="0" borderId="14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1" fillId="0" borderId="30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center"/>
    </xf>
    <xf numFmtId="0" fontId="1" fillId="0" borderId="38" xfId="0" applyFont="1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15" fillId="0" borderId="41" xfId="0" applyFont="1" applyBorder="1" applyAlignment="1">
      <alignment horizontal="left" wrapText="1"/>
    </xf>
    <xf numFmtId="0" fontId="15" fillId="0" borderId="39" xfId="0" applyFont="1" applyBorder="1" applyAlignment="1">
      <alignment wrapText="1"/>
    </xf>
    <xf numFmtId="0" fontId="15" fillId="0" borderId="42" xfId="0" applyFont="1" applyBorder="1" applyAlignment="1">
      <alignment wrapText="1"/>
    </xf>
    <xf numFmtId="0" fontId="15" fillId="0" borderId="9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" fillId="0" borderId="37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17" fontId="1" fillId="0" borderId="14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1" fillId="0" borderId="41" xfId="0" applyFont="1" applyBorder="1" applyAlignment="1">
      <alignment horizontal="center" wrapText="1"/>
    </xf>
    <xf numFmtId="0" fontId="15" fillId="0" borderId="39" xfId="0" applyFont="1" applyBorder="1" applyAlignment="1">
      <alignment horizontal="center" wrapText="1"/>
    </xf>
    <xf numFmtId="0" fontId="15" fillId="0" borderId="4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5" fillId="0" borderId="15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</cellXfs>
  <cellStyles count="3">
    <cellStyle name="Normal" xfId="0" builtinId="0"/>
    <cellStyle name="Normal 2" xfId="1" xr:uid="{0B1ADCF3-D8A7-4704-B006-198BB0B9F59F}"/>
    <cellStyle name="Normal 3" xfId="2" xr:uid="{D9223182-D29C-46AC-8AAB-D7172968AE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MX"/>
              <a:t>Resultado</a:t>
            </a:r>
            <a:r>
              <a:rPr lang="es-MX" baseline="0"/>
              <a:t> Global</a:t>
            </a:r>
            <a:endParaRPr lang="es-MX"/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scene3d>
              <a:camera prst="orthographicFront"/>
              <a:lightRig rig="threePt" dir="t"/>
            </a:scene3d>
            <a:sp3d prstMaterial="plastic">
              <a:bevelT/>
              <a:bevelB w="196850" prst="softRound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6600"/>
              </a:solidFill>
              <a:scene3d>
                <a:camera prst="orthographicFront"/>
                <a:lightRig rig="threePt" dir="t"/>
              </a:scene3d>
              <a:sp3d prstMaterial="plastic">
                <a:bevelT/>
                <a:bevelB w="196850" prst="softRound"/>
              </a:sp3d>
            </c:spPr>
            <c:extLst>
              <c:ext xmlns:c16="http://schemas.microsoft.com/office/drawing/2014/chart" uri="{C3380CC4-5D6E-409C-BE32-E72D297353CC}">
                <c16:uniqueId val="{00000000-3269-4CC1-8377-800C3DCEB85F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/>
              </a:scene3d>
              <a:sp3d prstMaterial="plastic">
                <a:bevelT/>
                <a:bevelB w="196850" prst="softRound"/>
              </a:sp3d>
            </c:spPr>
            <c:extLst>
              <c:ext xmlns:c16="http://schemas.microsoft.com/office/drawing/2014/chart" uri="{C3380CC4-5D6E-409C-BE32-E72D297353CC}">
                <c16:uniqueId val="{00000001-3269-4CC1-8377-800C3DCEB85F}"/>
              </c:ext>
            </c:extLst>
          </c:dPt>
          <c:cat>
            <c:strRef>
              <c:f>Resultados!$A$26:$A$28</c:f>
              <c:strCache>
                <c:ptCount val="3"/>
                <c:pt idx="0">
                  <c:v>Documentación</c:v>
                </c:pt>
                <c:pt idx="1">
                  <c:v>Piso</c:v>
                </c:pt>
                <c:pt idx="2">
                  <c:v>Global</c:v>
                </c:pt>
              </c:strCache>
            </c:strRef>
          </c:cat>
          <c:val>
            <c:numRef>
              <c:f>Resultados!$B$26:$B$28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3269-4CC1-8377-800C3DCEB85F}"/>
            </c:ext>
          </c:extLst>
        </c:ser>
        <c:ser>
          <c:idx val="1"/>
          <c:order val="1"/>
          <c:spPr>
            <a:solidFill>
              <a:srgbClr val="9BBB59">
                <a:lumMod val="50000"/>
              </a:srgbClr>
            </a:solidFill>
            <a:scene3d>
              <a:camera prst="orthographicFront"/>
              <a:lightRig rig="threePt" dir="t"/>
            </a:scene3d>
            <a:sp3d prstMaterial="powder">
              <a:bevelT w="114300" prst="artDeco"/>
              <a:bevelB w="152400" h="50800" prst="softRound"/>
            </a:sp3d>
          </c:spPr>
          <c:invertIfNegative val="0"/>
          <c:cat>
            <c:strRef>
              <c:f>Resultados!$A$26:$A$28</c:f>
              <c:strCache>
                <c:ptCount val="3"/>
                <c:pt idx="0">
                  <c:v>Documentación</c:v>
                </c:pt>
                <c:pt idx="1">
                  <c:v>Piso</c:v>
                </c:pt>
                <c:pt idx="2">
                  <c:v>Global</c:v>
                </c:pt>
              </c:strCache>
            </c:strRef>
          </c:cat>
          <c:val>
            <c:numRef>
              <c:f>Resultados!$C$26:$C$28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3269-4CC1-8377-800C3DCEB85F}"/>
            </c:ext>
          </c:extLst>
        </c:ser>
        <c:ser>
          <c:idx val="2"/>
          <c:order val="2"/>
          <c:invertIfNegative val="0"/>
          <c:cat>
            <c:strRef>
              <c:f>Resultados!$A$26:$A$28</c:f>
              <c:strCache>
                <c:ptCount val="3"/>
                <c:pt idx="0">
                  <c:v>Documentación</c:v>
                </c:pt>
                <c:pt idx="1">
                  <c:v>Piso</c:v>
                </c:pt>
                <c:pt idx="2">
                  <c:v>Global</c:v>
                </c:pt>
              </c:strCache>
            </c:strRef>
          </c:cat>
          <c:val>
            <c:numRef>
              <c:f>Resultados!$D$26:$D$28</c:f>
              <c:numCache>
                <c:formatCode>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3269-4CC1-8377-800C3DCEB85F}"/>
            </c:ext>
          </c:extLst>
        </c:ser>
        <c:ser>
          <c:idx val="3"/>
          <c:order val="3"/>
          <c:invertIfNegative val="0"/>
          <c:dPt>
            <c:idx val="0"/>
            <c:invertIfNegative val="0"/>
            <c:bubble3D val="0"/>
            <c:spPr>
              <a:solidFill>
                <a:srgbClr val="F79646">
                  <a:lumMod val="75000"/>
                </a:srgbClr>
              </a:solidFill>
            </c:spPr>
            <c:extLst>
              <c:ext xmlns:c16="http://schemas.microsoft.com/office/drawing/2014/chart" uri="{C3380CC4-5D6E-409C-BE32-E72D297353CC}">
                <c16:uniqueId val="{00000005-3269-4CC1-8377-800C3DCEB85F}"/>
              </c:ext>
            </c:extLst>
          </c:dPt>
          <c:dPt>
            <c:idx val="1"/>
            <c:invertIfNegative val="0"/>
            <c:bubble3D val="0"/>
            <c:spPr>
              <a:solidFill>
                <a:srgbClr val="F79646">
                  <a:lumMod val="75000"/>
                </a:srgbClr>
              </a:solidFill>
            </c:spPr>
            <c:extLst>
              <c:ext xmlns:c16="http://schemas.microsoft.com/office/drawing/2014/chart" uri="{C3380CC4-5D6E-409C-BE32-E72D297353CC}">
                <c16:uniqueId val="{00000006-3269-4CC1-8377-800C3DCEB85F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3269-4CC1-8377-800C3DCEB85F}"/>
              </c:ext>
            </c:extLst>
          </c:dPt>
          <c:dLbls>
            <c:dLbl>
              <c:idx val="0"/>
              <c:layout>
                <c:manualLayout>
                  <c:x val="5.8700208674619773E-3"/>
                  <c:y val="-1.2147505146349541E-2"/>
                </c:manualLayout>
              </c:layout>
              <c:spPr/>
              <c:txPr>
                <a:bodyPr/>
                <a:lstStyle/>
                <a:p>
                  <a:pPr>
                    <a:defRPr sz="16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69-4CC1-8377-800C3DCEB85F}"/>
                </c:ext>
              </c:extLst>
            </c:dLbl>
            <c:dLbl>
              <c:idx val="1"/>
              <c:layout>
                <c:manualLayout>
                  <c:x val="0"/>
                  <c:y val="-2.4295010292699086E-2"/>
                </c:manualLayout>
              </c:layout>
              <c:spPr/>
              <c:txPr>
                <a:bodyPr/>
                <a:lstStyle/>
                <a:p>
                  <a:pPr>
                    <a:defRPr sz="16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69-4CC1-8377-800C3DCEB85F}"/>
                </c:ext>
              </c:extLst>
            </c:dLbl>
            <c:dLbl>
              <c:idx val="2"/>
              <c:layout>
                <c:manualLayout>
                  <c:x val="0"/>
                  <c:y val="-2.0245841910582582E-2"/>
                </c:manualLayout>
              </c:layout>
              <c:spPr/>
              <c:txPr>
                <a:bodyPr/>
                <a:lstStyle/>
                <a:p>
                  <a:pPr>
                    <a:defRPr sz="16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69-4CC1-8377-800C3DCEB85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Resultados!$A$26:$A$28</c:f>
              <c:strCache>
                <c:ptCount val="3"/>
                <c:pt idx="0">
                  <c:v>Documentación</c:v>
                </c:pt>
                <c:pt idx="1">
                  <c:v>Piso</c:v>
                </c:pt>
                <c:pt idx="2">
                  <c:v>Global</c:v>
                </c:pt>
              </c:strCache>
            </c:strRef>
          </c:cat>
          <c:val>
            <c:numRef>
              <c:f>Resultados!$E$26:$E$28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69-4CC1-8377-800C3DCEB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9922000"/>
        <c:axId val="1"/>
        <c:axId val="0"/>
      </c:bar3DChart>
      <c:catAx>
        <c:axId val="69992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.2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922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effectLst>
      <a:innerShdw blurRad="63500" dist="50800" dir="16200000">
        <a:srgbClr val="FF0000">
          <a:alpha val="50000"/>
        </a:srgbClr>
      </a:innerShdw>
    </a:effectLst>
    <a:scene3d>
      <a:camera prst="orthographicFront"/>
      <a:lightRig rig="threePt" dir="t"/>
    </a:scene3d>
    <a:sp3d prstMaterial="legacyWireframe">
      <a:bevelT w="114300" prst="hardEdge"/>
      <a:bevelB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Resultados de Documentación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scene3d>
              <a:camera prst="orthographicFront"/>
              <a:lightRig rig="threePt" dir="t"/>
            </a:scene3d>
            <a:sp3d prstMaterial="plastic">
              <a:bevelT/>
              <a:bevelB w="196850" prst="softRound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6600"/>
              </a:solidFill>
              <a:scene3d>
                <a:camera prst="orthographicFront"/>
                <a:lightRig rig="threePt" dir="t"/>
              </a:scene3d>
              <a:sp3d prstMaterial="plastic">
                <a:bevelT/>
                <a:bevelB w="196850" prst="softRound"/>
              </a:sp3d>
            </c:spPr>
            <c:extLst>
              <c:ext xmlns:c16="http://schemas.microsoft.com/office/drawing/2014/chart" uri="{C3380CC4-5D6E-409C-BE32-E72D297353CC}">
                <c16:uniqueId val="{00000000-4233-48FF-A351-D7CE77D3FB39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/>
              </a:scene3d>
              <a:sp3d prstMaterial="plastic">
                <a:bevelT/>
                <a:bevelB w="196850" prst="softRound"/>
              </a:sp3d>
            </c:spPr>
            <c:extLst>
              <c:ext xmlns:c16="http://schemas.microsoft.com/office/drawing/2014/chart" uri="{C3380CC4-5D6E-409C-BE32-E72D297353CC}">
                <c16:uniqueId val="{00000001-4233-48FF-A351-D7CE77D3FB39}"/>
              </c:ext>
            </c:extLst>
          </c:dPt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Resultados!$B$9:$B$23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4233-48FF-A351-D7CE77D3FB39}"/>
            </c:ext>
          </c:extLst>
        </c:ser>
        <c:ser>
          <c:idx val="1"/>
          <c:order val="1"/>
          <c:spPr>
            <a:solidFill>
              <a:srgbClr val="9BBB59">
                <a:lumMod val="50000"/>
              </a:srgbClr>
            </a:solidFill>
            <a:scene3d>
              <a:camera prst="orthographicFront"/>
              <a:lightRig rig="threePt" dir="t"/>
            </a:scene3d>
            <a:sp3d prstMaterial="powder">
              <a:bevelT w="114300" prst="artDeco"/>
              <a:bevelB w="152400" h="50800" prst="softRound"/>
            </a:sp3d>
          </c:spPr>
          <c:invertIfNegative val="0"/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Resultados!$C$9:$C$23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4233-48FF-A351-D7CE77D3FB39}"/>
            </c:ext>
          </c:extLst>
        </c:ser>
        <c:ser>
          <c:idx val="2"/>
          <c:order val="2"/>
          <c:invertIfNegative val="0"/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Resultados!$D$9:$D$23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4233-48FF-A351-D7CE77D3FB39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4233-48FF-A351-D7CE77D3FB39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4233-48FF-A351-D7CE77D3FB39}"/>
              </c:ext>
            </c:extLst>
          </c:dPt>
          <c:dLbls>
            <c:dLbl>
              <c:idx val="12"/>
              <c:layout>
                <c:manualLayout>
                  <c:x val="0"/>
                  <c:y val="-1.0122920955291274E-2"/>
                </c:manualLayout>
              </c:layout>
              <c:spPr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33-48FF-A351-D7CE77D3FB3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Resultados!$E$9:$E$23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33-48FF-A351-D7CE77D3F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699920560"/>
        <c:axId val="1"/>
        <c:axId val="0"/>
      </c:bar3DChart>
      <c:catAx>
        <c:axId val="6999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9205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effectLst>
      <a:innerShdw blurRad="63500" dist="50800" dir="16200000">
        <a:srgbClr val="FF0000">
          <a:alpha val="50000"/>
        </a:srgbClr>
      </a:innerShdw>
    </a:effectLst>
    <a:scene3d>
      <a:camera prst="orthographicFront"/>
      <a:lightRig rig="threePt" dir="t"/>
    </a:scene3d>
    <a:sp3d prstMaterial="legacyWireframe">
      <a:bevelT w="114300" prst="hardEdge"/>
      <a:bevelB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9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Resultados en piso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  <c:spPr>
        <a:ln>
          <a:solidFill>
            <a:schemeClr val="accent3">
              <a:lumMod val="60000"/>
              <a:lumOff val="40000"/>
            </a:schemeClr>
          </a:solidFill>
        </a:ln>
      </c:spPr>
    </c:sideWall>
    <c:backWall>
      <c:thickness val="0"/>
      <c:spPr>
        <a:ln>
          <a:solidFill>
            <a:schemeClr val="accent3">
              <a:lumMod val="60000"/>
              <a:lumOff val="40000"/>
            </a:schemeClr>
          </a:solidFill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scene3d>
              <a:camera prst="orthographicFront"/>
              <a:lightRig rig="threePt" dir="t"/>
            </a:scene3d>
            <a:sp3d prstMaterial="plastic">
              <a:bevelT/>
              <a:bevelB w="196850" prst="softRound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6600"/>
              </a:solidFill>
              <a:scene3d>
                <a:camera prst="orthographicFront"/>
                <a:lightRig rig="threePt" dir="t"/>
              </a:scene3d>
              <a:sp3d prstMaterial="plastic">
                <a:bevelT/>
                <a:bevelB w="196850" prst="softRound"/>
              </a:sp3d>
            </c:spPr>
            <c:extLst>
              <c:ext xmlns:c16="http://schemas.microsoft.com/office/drawing/2014/chart" uri="{C3380CC4-5D6E-409C-BE32-E72D297353CC}">
                <c16:uniqueId val="{00000000-0AAC-4E24-934D-194FCB1FC9AC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/>
              </a:scene3d>
              <a:sp3d prstMaterial="plastic">
                <a:bevelT/>
                <a:bevelB w="196850" prst="softRound"/>
              </a:sp3d>
            </c:spPr>
            <c:extLst>
              <c:ext xmlns:c16="http://schemas.microsoft.com/office/drawing/2014/chart" uri="{C3380CC4-5D6E-409C-BE32-E72D297353CC}">
                <c16:uniqueId val="{00000001-0AAC-4E24-934D-194FCB1FC9AC}"/>
              </c:ext>
            </c:extLst>
          </c:dPt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Resultados!$B$9:$B$23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0AAC-4E24-934D-194FCB1FC9AC}"/>
            </c:ext>
          </c:extLst>
        </c:ser>
        <c:ser>
          <c:idx val="1"/>
          <c:order val="1"/>
          <c:spPr>
            <a:solidFill>
              <a:srgbClr val="9BBB59">
                <a:lumMod val="50000"/>
              </a:srgbClr>
            </a:solidFill>
            <a:scene3d>
              <a:camera prst="orthographicFront"/>
              <a:lightRig rig="threePt" dir="t"/>
            </a:scene3d>
            <a:sp3d prstMaterial="powder">
              <a:bevelT w="114300" prst="artDeco"/>
              <a:bevelB w="152400" h="50800" prst="softRound"/>
            </a:sp3d>
          </c:spPr>
          <c:invertIfNegative val="0"/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Resultados!$C$9:$C$23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0AAC-4E24-934D-194FCB1FC9AC}"/>
            </c:ext>
          </c:extLst>
        </c:ser>
        <c:ser>
          <c:idx val="2"/>
          <c:order val="2"/>
          <c:invertIfNegative val="0"/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Resultados!$D$9:$D$23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0AAC-4E24-934D-194FCB1FC9AC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0AAC-4E24-934D-194FCB1FC9A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0AAC-4E24-934D-194FCB1FC9A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0AAC-4E24-934D-194FCB1FC9AC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0AAC-4E24-934D-194FCB1FC9AC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0AAC-4E24-934D-194FCB1FC9A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Resultados!$F$9:$F$23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AC-4E24-934D-194FCB1FC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700140992"/>
        <c:axId val="1"/>
        <c:axId val="0"/>
      </c:bar3DChart>
      <c:catAx>
        <c:axId val="7001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0140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3">
        <a:lumMod val="75000"/>
      </a:schemeClr>
    </a:solidFill>
    <a:ln>
      <a:solidFill>
        <a:schemeClr val="accent1">
          <a:lumMod val="40000"/>
          <a:lumOff val="60000"/>
        </a:schemeClr>
      </a:solidFill>
    </a:ln>
    <a:effectLst>
      <a:innerShdw blurRad="63500" dist="50800" dir="16200000">
        <a:srgbClr val="FF0000">
          <a:alpha val="50000"/>
        </a:srgbClr>
      </a:innerShdw>
    </a:effectLst>
    <a:scene3d>
      <a:camera prst="orthographicFront"/>
      <a:lightRig rig="threePt" dir="t"/>
    </a:scene3d>
    <a:sp3d prstMaterial="legacyWireframe">
      <a:bevelT w="114300" prst="hardEdge"/>
      <a:bevelB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Resultados Documental y Piso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scene3d>
              <a:camera prst="orthographicFront"/>
              <a:lightRig rig="threePt" dir="t"/>
            </a:scene3d>
            <a:sp3d prstMaterial="plastic">
              <a:bevelT/>
              <a:bevelB w="196850" prst="softRound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6600"/>
              </a:solidFill>
              <a:scene3d>
                <a:camera prst="orthographicFront"/>
                <a:lightRig rig="threePt" dir="t"/>
              </a:scene3d>
              <a:sp3d prstMaterial="plastic">
                <a:bevelT/>
                <a:bevelB w="196850" prst="softRound"/>
              </a:sp3d>
            </c:spPr>
            <c:extLst>
              <c:ext xmlns:c16="http://schemas.microsoft.com/office/drawing/2014/chart" uri="{C3380CC4-5D6E-409C-BE32-E72D297353CC}">
                <c16:uniqueId val="{00000000-C464-4900-BA21-DF944414CD07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scene3d>
                <a:camera prst="orthographicFront"/>
                <a:lightRig rig="threePt" dir="t"/>
              </a:scene3d>
              <a:sp3d prstMaterial="plastic">
                <a:bevelT/>
                <a:bevelB w="196850" prst="softRound"/>
              </a:sp3d>
            </c:spPr>
            <c:extLst>
              <c:ext xmlns:c16="http://schemas.microsoft.com/office/drawing/2014/chart" uri="{C3380CC4-5D6E-409C-BE32-E72D297353CC}">
                <c16:uniqueId val="{00000001-C464-4900-BA21-DF944414CD07}"/>
              </c:ext>
            </c:extLst>
          </c:dPt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Resultados!$B$9:$B$23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C464-4900-BA21-DF944414CD07}"/>
            </c:ext>
          </c:extLst>
        </c:ser>
        <c:ser>
          <c:idx val="1"/>
          <c:order val="1"/>
          <c:spPr>
            <a:solidFill>
              <a:srgbClr val="9BBB59">
                <a:lumMod val="50000"/>
              </a:srgbClr>
            </a:solidFill>
            <a:scene3d>
              <a:camera prst="orthographicFront"/>
              <a:lightRig rig="threePt" dir="t"/>
            </a:scene3d>
            <a:sp3d prstMaterial="powder">
              <a:bevelT w="114300" prst="artDeco"/>
              <a:bevelB w="152400" h="50800" prst="softRound"/>
            </a:sp3d>
          </c:spPr>
          <c:invertIfNegative val="0"/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Resultados!$C$9:$C$23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C464-4900-BA21-DF944414CD07}"/>
            </c:ext>
          </c:extLst>
        </c:ser>
        <c:ser>
          <c:idx val="2"/>
          <c:order val="2"/>
          <c:invertIfNegative val="0"/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Resultados!$D$9:$D$23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C464-4900-BA21-DF944414CD07}"/>
            </c:ext>
          </c:extLst>
        </c:ser>
        <c:ser>
          <c:idx val="3"/>
          <c:order val="3"/>
          <c:spPr>
            <a:solidFill>
              <a:srgbClr val="FFC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C464-4900-BA21-DF944414CD0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C464-4900-BA21-DF944414CD0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C464-4900-BA21-DF944414CD07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C464-4900-BA21-DF944414CD07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9-C464-4900-BA21-DF944414CD07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C464-4900-BA21-DF944414CD07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C464-4900-BA21-DF944414CD07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C-C464-4900-BA21-DF944414CD07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D-C464-4900-BA21-DF944414CD07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Resultados!$A$9:$A$23</c:f>
              <c:strCache>
                <c:ptCount val="15"/>
                <c:pt idx="0">
                  <c:v>1. BPM´s</c:v>
                </c:pt>
                <c:pt idx="1">
                  <c:v>2. Limpieza</c:v>
                </c:pt>
                <c:pt idx="2">
                  <c:v>3. Químicos</c:v>
                </c:pt>
                <c:pt idx="3">
                  <c:v>4. Control de Plagas</c:v>
                </c:pt>
                <c:pt idx="4">
                  <c:v>5. Microbiología</c:v>
                </c:pt>
                <c:pt idx="5">
                  <c:v>6. Mantenimiento</c:v>
                </c:pt>
                <c:pt idx="6">
                  <c:v>7. Vidrio y Plástico</c:v>
                </c:pt>
                <c:pt idx="7">
                  <c:v>8. Material Extraño</c:v>
                </c:pt>
                <c:pt idx="8">
                  <c:v>9. Alérgenos</c:v>
                </c:pt>
                <c:pt idx="9">
                  <c:v>10. Recuperación y trazabilidad</c:v>
                </c:pt>
                <c:pt idx="10">
                  <c:v>11. Calibración</c:v>
                </c:pt>
                <c:pt idx="11">
                  <c:v>12. Almacenamiento</c:v>
                </c:pt>
                <c:pt idx="12">
                  <c:v>13. Compras</c:v>
                </c:pt>
                <c:pt idx="13">
                  <c:v>14. Defensa de Alimentos</c:v>
                </c:pt>
                <c:pt idx="14">
                  <c:v>15. Gestión de Residuos</c:v>
                </c:pt>
              </c:strCache>
            </c:strRef>
          </c:cat>
          <c:val>
            <c:numRef>
              <c:f>Resultados!$G$9:$G$23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64-4900-BA21-DF944414C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9694928"/>
        <c:axId val="1"/>
        <c:axId val="0"/>
      </c:bar3DChart>
      <c:catAx>
        <c:axId val="69969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/>
        <c:numFmt formatCode="0.0%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96949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effectLst>
      <a:innerShdw blurRad="63500" dist="50800" dir="16200000">
        <a:srgbClr val="FF0000">
          <a:alpha val="50000"/>
        </a:srgbClr>
      </a:innerShdw>
    </a:effectLst>
    <a:scene3d>
      <a:camera prst="orthographicFront"/>
      <a:lightRig rig="threePt" dir="t"/>
    </a:scene3d>
    <a:sp3d prstMaterial="legacyWireframe">
      <a:bevelT w="114300" prst="hardEdge"/>
      <a:bevelB/>
    </a:sp3d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hyperlink" Target="#PRERREQUISITOS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hyperlink" Target="#PRERREQUISITO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0</xdr:row>
      <xdr:rowOff>152400</xdr:rowOff>
    </xdr:from>
    <xdr:to>
      <xdr:col>6</xdr:col>
      <xdr:colOff>1076325</xdr:colOff>
      <xdr:row>3</xdr:row>
      <xdr:rowOff>85725</xdr:rowOff>
    </xdr:to>
    <xdr:pic>
      <xdr:nvPicPr>
        <xdr:cNvPr id="49173" name="Imagen 1">
          <a:extLst>
            <a:ext uri="{FF2B5EF4-FFF2-40B4-BE49-F238E27FC236}">
              <a16:creationId xmlns:a16="http://schemas.microsoft.com/office/drawing/2014/main" id="{14DB7436-512C-0EA9-1045-BD8DDDA67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52400"/>
          <a:ext cx="18478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0</xdr:row>
      <xdr:rowOff>133350</xdr:rowOff>
    </xdr:from>
    <xdr:to>
      <xdr:col>10</xdr:col>
      <xdr:colOff>619125</xdr:colOff>
      <xdr:row>3</xdr:row>
      <xdr:rowOff>66675</xdr:rowOff>
    </xdr:to>
    <xdr:pic>
      <xdr:nvPicPr>
        <xdr:cNvPr id="68615" name="Imagen 1">
          <a:extLst>
            <a:ext uri="{FF2B5EF4-FFF2-40B4-BE49-F238E27FC236}">
              <a16:creationId xmlns:a16="http://schemas.microsoft.com/office/drawing/2014/main" id="{D27701CC-53BF-44C2-C073-4E0C49A09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33350"/>
          <a:ext cx="20574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133350</xdr:colOff>
      <xdr:row>4</xdr:row>
      <xdr:rowOff>314325</xdr:rowOff>
    </xdr:from>
    <xdr:to>
      <xdr:col>10</xdr:col>
      <xdr:colOff>609600</xdr:colOff>
      <xdr:row>23</xdr:row>
      <xdr:rowOff>19050</xdr:rowOff>
    </xdr:to>
    <xdr:graphicFrame macro="">
      <xdr:nvGraphicFramePr>
        <xdr:cNvPr id="68616" name="Gráfico 2">
          <a:extLst>
            <a:ext uri="{FF2B5EF4-FFF2-40B4-BE49-F238E27FC236}">
              <a16:creationId xmlns:a16="http://schemas.microsoft.com/office/drawing/2014/main" id="{C5908174-B283-9562-0601-97ED8BCD8C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0</xdr:row>
      <xdr:rowOff>133350</xdr:rowOff>
    </xdr:from>
    <xdr:to>
      <xdr:col>10</xdr:col>
      <xdr:colOff>619125</xdr:colOff>
      <xdr:row>3</xdr:row>
      <xdr:rowOff>66675</xdr:rowOff>
    </xdr:to>
    <xdr:pic>
      <xdr:nvPicPr>
        <xdr:cNvPr id="70661" name="Imagen 1">
          <a:extLst>
            <a:ext uri="{FF2B5EF4-FFF2-40B4-BE49-F238E27FC236}">
              <a16:creationId xmlns:a16="http://schemas.microsoft.com/office/drawing/2014/main" id="{AB8F78A6-7A45-C5E3-D111-A60C50E73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33350"/>
          <a:ext cx="20574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152400</xdr:colOff>
      <xdr:row>4</xdr:row>
      <xdr:rowOff>371475</xdr:rowOff>
    </xdr:from>
    <xdr:to>
      <xdr:col>10</xdr:col>
      <xdr:colOff>561975</xdr:colOff>
      <xdr:row>23</xdr:row>
      <xdr:rowOff>114300</xdr:rowOff>
    </xdr:to>
    <xdr:graphicFrame macro="">
      <xdr:nvGraphicFramePr>
        <xdr:cNvPr id="70662" name="Gráfico 3">
          <a:extLst>
            <a:ext uri="{FF2B5EF4-FFF2-40B4-BE49-F238E27FC236}">
              <a16:creationId xmlns:a16="http://schemas.microsoft.com/office/drawing/2014/main" id="{C7B880C5-B19E-231E-5F30-A4566044BD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0</xdr:row>
      <xdr:rowOff>133350</xdr:rowOff>
    </xdr:from>
    <xdr:to>
      <xdr:col>10</xdr:col>
      <xdr:colOff>619125</xdr:colOff>
      <xdr:row>3</xdr:row>
      <xdr:rowOff>66675</xdr:rowOff>
    </xdr:to>
    <xdr:pic>
      <xdr:nvPicPr>
        <xdr:cNvPr id="71685" name="Imagen 1">
          <a:extLst>
            <a:ext uri="{FF2B5EF4-FFF2-40B4-BE49-F238E27FC236}">
              <a16:creationId xmlns:a16="http://schemas.microsoft.com/office/drawing/2014/main" id="{B878D6BC-8BA9-6FF8-E221-697A3EFF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33350"/>
          <a:ext cx="20574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123825</xdr:colOff>
      <xdr:row>4</xdr:row>
      <xdr:rowOff>381000</xdr:rowOff>
    </xdr:from>
    <xdr:to>
      <xdr:col>10</xdr:col>
      <xdr:colOff>523875</xdr:colOff>
      <xdr:row>23</xdr:row>
      <xdr:rowOff>123825</xdr:rowOff>
    </xdr:to>
    <xdr:graphicFrame macro="">
      <xdr:nvGraphicFramePr>
        <xdr:cNvPr id="71686" name="Gráfico 3">
          <a:extLst>
            <a:ext uri="{FF2B5EF4-FFF2-40B4-BE49-F238E27FC236}">
              <a16:creationId xmlns:a16="http://schemas.microsoft.com/office/drawing/2014/main" id="{61BF9EE7-98A6-A053-D28F-BB776A4DCF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0</xdr:row>
      <xdr:rowOff>133350</xdr:rowOff>
    </xdr:from>
    <xdr:to>
      <xdr:col>10</xdr:col>
      <xdr:colOff>619125</xdr:colOff>
      <xdr:row>3</xdr:row>
      <xdr:rowOff>66675</xdr:rowOff>
    </xdr:to>
    <xdr:pic>
      <xdr:nvPicPr>
        <xdr:cNvPr id="72709" name="Imagen 1">
          <a:extLst>
            <a:ext uri="{FF2B5EF4-FFF2-40B4-BE49-F238E27FC236}">
              <a16:creationId xmlns:a16="http://schemas.microsoft.com/office/drawing/2014/main" id="{CAD862F1-8CA0-CBD8-8FAE-1CBCD6C5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33350"/>
          <a:ext cx="20574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161925</xdr:colOff>
      <xdr:row>4</xdr:row>
      <xdr:rowOff>390525</xdr:rowOff>
    </xdr:from>
    <xdr:to>
      <xdr:col>10</xdr:col>
      <xdr:colOff>561975</xdr:colOff>
      <xdr:row>23</xdr:row>
      <xdr:rowOff>19050</xdr:rowOff>
    </xdr:to>
    <xdr:graphicFrame macro="">
      <xdr:nvGraphicFramePr>
        <xdr:cNvPr id="72710" name="Gráfico 3">
          <a:extLst>
            <a:ext uri="{FF2B5EF4-FFF2-40B4-BE49-F238E27FC236}">
              <a16:creationId xmlns:a16="http://schemas.microsoft.com/office/drawing/2014/main" id="{106DF71C-C371-9A01-C8EE-22653F6E7C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419" name="Imagen 1">
          <a:extLst>
            <a:ext uri="{FF2B5EF4-FFF2-40B4-BE49-F238E27FC236}">
              <a16:creationId xmlns:a16="http://schemas.microsoft.com/office/drawing/2014/main" id="{462946ED-9484-9C91-C2AC-B7345033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54292" name="Imagen 1">
          <a:extLst>
            <a:ext uri="{FF2B5EF4-FFF2-40B4-BE49-F238E27FC236}">
              <a16:creationId xmlns:a16="http://schemas.microsoft.com/office/drawing/2014/main" id="{F1CFAFC0-7BFB-CAD1-C2D7-A26C05C8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55316" name="Imagen 1">
          <a:extLst>
            <a:ext uri="{FF2B5EF4-FFF2-40B4-BE49-F238E27FC236}">
              <a16:creationId xmlns:a16="http://schemas.microsoft.com/office/drawing/2014/main" id="{F5ADD0C7-DFD0-81AA-9F0F-6DE2C368B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161925</xdr:rowOff>
    </xdr:from>
    <xdr:to>
      <xdr:col>0</xdr:col>
      <xdr:colOff>981075</xdr:colOff>
      <xdr:row>3</xdr:row>
      <xdr:rowOff>133350</xdr:rowOff>
    </xdr:to>
    <xdr:pic>
      <xdr:nvPicPr>
        <xdr:cNvPr id="9833" name="1 Imagen" descr="logo ags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27C4AF-D686-B5FB-A24F-83771EA24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61925"/>
          <a:ext cx="9048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0</xdr:row>
      <xdr:rowOff>28575</xdr:rowOff>
    </xdr:from>
    <xdr:to>
      <xdr:col>10</xdr:col>
      <xdr:colOff>1143000</xdr:colOff>
      <xdr:row>4</xdr:row>
      <xdr:rowOff>85725</xdr:rowOff>
    </xdr:to>
    <xdr:pic>
      <xdr:nvPicPr>
        <xdr:cNvPr id="9834" name="Picture 1" descr="http://www.larepublica.org.mx/images/img_articulos/lavado-de-manos.jpg">
          <a:extLst>
            <a:ext uri="{FF2B5EF4-FFF2-40B4-BE49-F238E27FC236}">
              <a16:creationId xmlns:a16="http://schemas.microsoft.com/office/drawing/2014/main" id="{491B8F2A-016C-982B-3BB7-B431A8CA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28575"/>
          <a:ext cx="1009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161925</xdr:rowOff>
    </xdr:from>
    <xdr:to>
      <xdr:col>0</xdr:col>
      <xdr:colOff>981075</xdr:colOff>
      <xdr:row>3</xdr:row>
      <xdr:rowOff>133350</xdr:rowOff>
    </xdr:to>
    <xdr:pic>
      <xdr:nvPicPr>
        <xdr:cNvPr id="10857" name="1 Imagen" descr="logo ags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79ECC3-A6FA-DA1B-28F3-916024EFC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61925"/>
          <a:ext cx="9048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133350</xdr:colOff>
      <xdr:row>0</xdr:row>
      <xdr:rowOff>28575</xdr:rowOff>
    </xdr:from>
    <xdr:to>
      <xdr:col>10</xdr:col>
      <xdr:colOff>1143000</xdr:colOff>
      <xdr:row>4</xdr:row>
      <xdr:rowOff>85725</xdr:rowOff>
    </xdr:to>
    <xdr:pic>
      <xdr:nvPicPr>
        <xdr:cNvPr id="10858" name="Picture 1" descr="http://www.larepublica.org.mx/images/img_articulos/lavado-de-manos.jpg">
          <a:extLst>
            <a:ext uri="{FF2B5EF4-FFF2-40B4-BE49-F238E27FC236}">
              <a16:creationId xmlns:a16="http://schemas.microsoft.com/office/drawing/2014/main" id="{1614C8AF-177A-CFAC-C430-0A4C85A8D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28575"/>
          <a:ext cx="1009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56340" name="Imagen 1">
          <a:extLst>
            <a:ext uri="{FF2B5EF4-FFF2-40B4-BE49-F238E27FC236}">
              <a16:creationId xmlns:a16="http://schemas.microsoft.com/office/drawing/2014/main" id="{66F04F22-9485-A3F3-F1C7-8F36605B8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57364" name="Imagen 1">
          <a:extLst>
            <a:ext uri="{FF2B5EF4-FFF2-40B4-BE49-F238E27FC236}">
              <a16:creationId xmlns:a16="http://schemas.microsoft.com/office/drawing/2014/main" id="{041E3310-482A-2490-C44C-DE049718C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58388" name="Imagen 1">
          <a:extLst>
            <a:ext uri="{FF2B5EF4-FFF2-40B4-BE49-F238E27FC236}">
              <a16:creationId xmlns:a16="http://schemas.microsoft.com/office/drawing/2014/main" id="{884B949B-8C17-30D8-12E8-DAE4C92B1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59411" name="Imagen 1">
          <a:extLst>
            <a:ext uri="{FF2B5EF4-FFF2-40B4-BE49-F238E27FC236}">
              <a16:creationId xmlns:a16="http://schemas.microsoft.com/office/drawing/2014/main" id="{2E2C14AF-7760-4F1F-3EB0-FE8B30D3D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0435" name="Imagen 1">
          <a:extLst>
            <a:ext uri="{FF2B5EF4-FFF2-40B4-BE49-F238E27FC236}">
              <a16:creationId xmlns:a16="http://schemas.microsoft.com/office/drawing/2014/main" id="{3844174D-7F01-8024-A138-C5C78A47C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1458" name="Imagen 1">
          <a:extLst>
            <a:ext uri="{FF2B5EF4-FFF2-40B4-BE49-F238E27FC236}">
              <a16:creationId xmlns:a16="http://schemas.microsoft.com/office/drawing/2014/main" id="{D885CB24-B530-2BCC-92C1-3D0CCA68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2480" name="Imagen 1">
          <a:extLst>
            <a:ext uri="{FF2B5EF4-FFF2-40B4-BE49-F238E27FC236}">
              <a16:creationId xmlns:a16="http://schemas.microsoft.com/office/drawing/2014/main" id="{DCE1D3F3-AC2B-7632-0F14-E9D3E3009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3504" name="Imagen 1">
          <a:extLst>
            <a:ext uri="{FF2B5EF4-FFF2-40B4-BE49-F238E27FC236}">
              <a16:creationId xmlns:a16="http://schemas.microsoft.com/office/drawing/2014/main" id="{D6760006-D642-EE7B-AA33-7F12812E3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4525" name="Imagen 1">
          <a:extLst>
            <a:ext uri="{FF2B5EF4-FFF2-40B4-BE49-F238E27FC236}">
              <a16:creationId xmlns:a16="http://schemas.microsoft.com/office/drawing/2014/main" id="{98F71FC4-2D87-9799-4BE8-01E064565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5548" name="Imagen 1">
          <a:extLst>
            <a:ext uri="{FF2B5EF4-FFF2-40B4-BE49-F238E27FC236}">
              <a16:creationId xmlns:a16="http://schemas.microsoft.com/office/drawing/2014/main" id="{18E783ED-F2F0-BE59-D982-6B670546D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6570" name="Imagen 1">
          <a:extLst>
            <a:ext uri="{FF2B5EF4-FFF2-40B4-BE49-F238E27FC236}">
              <a16:creationId xmlns:a16="http://schemas.microsoft.com/office/drawing/2014/main" id="{6DAC2CDF-B7E8-9262-46AE-116EF27D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742950</xdr:colOff>
      <xdr:row>0</xdr:row>
      <xdr:rowOff>76200</xdr:rowOff>
    </xdr:from>
    <xdr:to>
      <xdr:col>11</xdr:col>
      <xdr:colOff>1114425</xdr:colOff>
      <xdr:row>3</xdr:row>
      <xdr:rowOff>19050</xdr:rowOff>
    </xdr:to>
    <xdr:pic>
      <xdr:nvPicPr>
        <xdr:cNvPr id="67590" name="Imagen 1">
          <a:extLst>
            <a:ext uri="{FF2B5EF4-FFF2-40B4-BE49-F238E27FC236}">
              <a16:creationId xmlns:a16="http://schemas.microsoft.com/office/drawing/2014/main" id="{506B2DF2-8F41-C706-8EBA-C9C87E200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76200"/>
          <a:ext cx="17526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288A-A461-4D55-9854-31955ADFF364}">
  <sheetPr>
    <tabColor theme="7" tint="-0.249977111117893"/>
  </sheetPr>
  <dimension ref="A4:J28"/>
  <sheetViews>
    <sheetView showGridLines="0" zoomScale="90" zoomScaleNormal="90" zoomScaleSheetLayoutView="40" workbookViewId="0">
      <selection activeCell="P12" sqref="P12"/>
    </sheetView>
  </sheetViews>
  <sheetFormatPr baseColWidth="10" defaultColWidth="9.140625" defaultRowHeight="15"/>
  <cols>
    <col min="1" max="4" width="10.42578125" customWidth="1"/>
    <col min="5" max="5" width="22" customWidth="1"/>
    <col min="6" max="7" width="17" bestFit="1" customWidth="1"/>
    <col min="8" max="256" width="11.42578125" customWidth="1"/>
  </cols>
  <sheetData>
    <row r="4" spans="1:7" ht="26.25">
      <c r="A4" s="67" t="s">
        <v>0</v>
      </c>
    </row>
    <row r="5" spans="1:7" ht="51" customHeight="1">
      <c r="A5" s="90" t="s">
        <v>1</v>
      </c>
      <c r="B5" s="91"/>
      <c r="C5" s="91"/>
      <c r="D5" s="91"/>
      <c r="E5" s="91"/>
      <c r="F5" s="91"/>
      <c r="G5" s="91"/>
    </row>
    <row r="6" spans="1:7" ht="21" customHeight="1">
      <c r="A6" s="95" t="s">
        <v>2</v>
      </c>
      <c r="B6" s="95"/>
      <c r="C6" s="95"/>
      <c r="D6" s="95"/>
      <c r="E6" s="95"/>
      <c r="F6" s="95"/>
      <c r="G6" s="95"/>
    </row>
    <row r="7" spans="1:7" ht="19.5" thickBot="1">
      <c r="A7" s="32"/>
      <c r="B7" s="32"/>
      <c r="C7" s="32"/>
      <c r="D7" s="32"/>
      <c r="E7" s="33"/>
      <c r="F7" s="33"/>
      <c r="G7" s="33"/>
    </row>
    <row r="8" spans="1:7" ht="24.95" customHeight="1" thickBot="1">
      <c r="A8" s="92" t="s">
        <v>3</v>
      </c>
      <c r="B8" s="92"/>
      <c r="C8" s="92"/>
      <c r="D8" s="92"/>
      <c r="E8" s="65" t="s">
        <v>4</v>
      </c>
      <c r="F8" s="65" t="s">
        <v>5</v>
      </c>
      <c r="G8" s="65" t="s">
        <v>6</v>
      </c>
    </row>
    <row r="9" spans="1:7" ht="27" customHeight="1">
      <c r="A9" s="93" t="s">
        <v>7</v>
      </c>
      <c r="B9" s="94"/>
      <c r="C9" s="94"/>
      <c r="D9" s="94"/>
      <c r="E9" s="48">
        <f>'1.BPM´s '!I13</f>
        <v>0</v>
      </c>
      <c r="F9" s="46">
        <f>'1.BPM´s '!I27</f>
        <v>0</v>
      </c>
      <c r="G9" s="34">
        <f>'1.BPM´s '!I29</f>
        <v>0</v>
      </c>
    </row>
    <row r="10" spans="1:7" ht="27" customHeight="1">
      <c r="A10" s="82" t="s">
        <v>8</v>
      </c>
      <c r="B10" s="83"/>
      <c r="C10" s="83"/>
      <c r="D10" s="83"/>
      <c r="E10" s="34">
        <f>'2.Limpieza'!I13</f>
        <v>0</v>
      </c>
      <c r="F10" s="46">
        <f>'2.Limpieza'!I22</f>
        <v>0</v>
      </c>
      <c r="G10" s="34">
        <f>'2.Limpieza'!I24</f>
        <v>0</v>
      </c>
    </row>
    <row r="11" spans="1:7" ht="27" customHeight="1">
      <c r="A11" s="82" t="s">
        <v>9</v>
      </c>
      <c r="B11" s="83"/>
      <c r="C11" s="83"/>
      <c r="D11" s="83"/>
      <c r="E11" s="34">
        <f>'3. Químicos'!I13</f>
        <v>0</v>
      </c>
      <c r="F11" s="46">
        <f>'3. Químicos'!I22</f>
        <v>0</v>
      </c>
      <c r="G11" s="34">
        <f>'3. Químicos'!I24</f>
        <v>0</v>
      </c>
    </row>
    <row r="12" spans="1:7" ht="27" customHeight="1">
      <c r="A12" s="82" t="s">
        <v>10</v>
      </c>
      <c r="B12" s="83"/>
      <c r="C12" s="83"/>
      <c r="D12" s="83"/>
      <c r="E12" s="46">
        <f>'4.Plagas'!I19</f>
        <v>0</v>
      </c>
      <c r="F12" s="46">
        <f>'4.Plagas'!I29</f>
        <v>0</v>
      </c>
      <c r="G12" s="34">
        <f>'4.Plagas'!I31</f>
        <v>0</v>
      </c>
    </row>
    <row r="13" spans="1:7" ht="27" customHeight="1">
      <c r="A13" s="82" t="s">
        <v>11</v>
      </c>
      <c r="B13" s="83"/>
      <c r="C13" s="83"/>
      <c r="D13" s="83"/>
      <c r="E13" s="46">
        <f>'5.Microbiología'!I15</f>
        <v>0</v>
      </c>
      <c r="F13" s="46">
        <f>'5.Microbiología'!I26</f>
        <v>0</v>
      </c>
      <c r="G13" s="34">
        <f>'5.Microbiología'!I28</f>
        <v>0</v>
      </c>
    </row>
    <row r="14" spans="1:7" ht="27" customHeight="1">
      <c r="A14" s="82" t="s">
        <v>12</v>
      </c>
      <c r="B14" s="83"/>
      <c r="C14" s="83"/>
      <c r="D14" s="83"/>
      <c r="E14" s="46">
        <f>'6.MTTO'!I13</f>
        <v>0</v>
      </c>
      <c r="F14" s="46">
        <f>'6.MTTO'!I21</f>
        <v>0</v>
      </c>
      <c r="G14" s="34">
        <f>'6.MTTO'!I23</f>
        <v>0</v>
      </c>
    </row>
    <row r="15" spans="1:7" s="43" customFormat="1" ht="27" customHeight="1">
      <c r="A15" s="84" t="s">
        <v>13</v>
      </c>
      <c r="B15" s="89"/>
      <c r="C15" s="89"/>
      <c r="D15" s="89"/>
      <c r="E15" s="45">
        <f>'7.Vidrio y plástico'!I13</f>
        <v>0</v>
      </c>
      <c r="F15" s="45">
        <f>'7.Vidrio y plástico'!I20</f>
        <v>0</v>
      </c>
      <c r="G15" s="34">
        <f>'7.Vidrio y plástico'!I22</f>
        <v>0</v>
      </c>
    </row>
    <row r="16" spans="1:7" s="43" customFormat="1" ht="27" customHeight="1">
      <c r="A16" s="84" t="s">
        <v>14</v>
      </c>
      <c r="B16" s="89"/>
      <c r="C16" s="89"/>
      <c r="D16" s="89"/>
      <c r="E16" s="45">
        <f>'8. Materia extraña'!I13</f>
        <v>0</v>
      </c>
      <c r="F16" s="47">
        <f>'8. Materia extraña'!I19</f>
        <v>0</v>
      </c>
      <c r="G16" s="34">
        <f>'8. Materia extraña'!I21</f>
        <v>0</v>
      </c>
    </row>
    <row r="17" spans="1:10" s="43" customFormat="1" ht="27" customHeight="1">
      <c r="A17" s="84" t="s">
        <v>15</v>
      </c>
      <c r="B17" s="88"/>
      <c r="C17" s="88"/>
      <c r="D17" s="88"/>
      <c r="E17" s="47">
        <f>'9.Alérgenos'!I16</f>
        <v>0</v>
      </c>
      <c r="F17" s="47">
        <f>'9.Alérgenos'!I26</f>
        <v>0</v>
      </c>
      <c r="G17" s="34">
        <f>'9.Alérgenos'!I28</f>
        <v>0</v>
      </c>
    </row>
    <row r="18" spans="1:10" s="43" customFormat="1" ht="27" customHeight="1">
      <c r="A18" s="84" t="s">
        <v>16</v>
      </c>
      <c r="B18" s="84"/>
      <c r="C18" s="84"/>
      <c r="D18" s="84"/>
      <c r="E18" s="45">
        <f>'10. Recuperación y trazabilidad'!I13</f>
        <v>0</v>
      </c>
      <c r="F18" s="45">
        <f>'10. Recuperación y trazabilidad'!I19</f>
        <v>0</v>
      </c>
      <c r="G18" s="34">
        <f>'10. Recuperación y trazabilidad'!I21</f>
        <v>0</v>
      </c>
    </row>
    <row r="19" spans="1:10" s="43" customFormat="1" ht="27" customHeight="1">
      <c r="A19" s="84" t="s">
        <v>17</v>
      </c>
      <c r="B19" s="84"/>
      <c r="C19" s="84"/>
      <c r="D19" s="84"/>
      <c r="E19" s="45">
        <f>'11.Calibración'!I15</f>
        <v>0</v>
      </c>
      <c r="F19" s="45">
        <f>'11.Calibración'!I22</f>
        <v>0</v>
      </c>
      <c r="G19" s="34">
        <f>'11.Calibración'!I24</f>
        <v>0</v>
      </c>
    </row>
    <row r="20" spans="1:10" s="43" customFormat="1" ht="27" customHeight="1">
      <c r="A20" s="84" t="s">
        <v>18</v>
      </c>
      <c r="B20" s="84"/>
      <c r="C20" s="84"/>
      <c r="D20" s="84"/>
      <c r="E20" s="45">
        <f>'12. Almacenamiento.'!I14</f>
        <v>0</v>
      </c>
      <c r="F20" s="45">
        <f>'12. Almacenamiento.'!I26</f>
        <v>0</v>
      </c>
      <c r="G20" s="34">
        <f>'12. Almacenamiento.'!I28</f>
        <v>0</v>
      </c>
    </row>
    <row r="21" spans="1:10" s="44" customFormat="1" ht="27" customHeight="1">
      <c r="A21" s="84" t="s">
        <v>19</v>
      </c>
      <c r="B21" s="84"/>
      <c r="C21" s="84"/>
      <c r="D21" s="84"/>
      <c r="E21" s="47">
        <f>'13. Compras'!I14</f>
        <v>0</v>
      </c>
      <c r="F21" s="47">
        <f>'13. Compras'!I20</f>
        <v>0</v>
      </c>
      <c r="G21" s="34">
        <f>'13. Compras'!I22</f>
        <v>0</v>
      </c>
      <c r="H21" s="43"/>
      <c r="I21" s="43"/>
      <c r="J21" s="43"/>
    </row>
    <row r="22" spans="1:10" s="43" customFormat="1" ht="27" customHeight="1">
      <c r="A22" s="84" t="s">
        <v>20</v>
      </c>
      <c r="B22" s="84"/>
      <c r="C22" s="84"/>
      <c r="D22" s="84"/>
      <c r="E22" s="47">
        <f>'14. Defensa'!I14</f>
        <v>0</v>
      </c>
      <c r="F22" s="47">
        <f>'14. Defensa'!I22</f>
        <v>0</v>
      </c>
      <c r="G22" s="34">
        <f>'14. Defensa'!I24</f>
        <v>0</v>
      </c>
    </row>
    <row r="23" spans="1:10" s="43" customFormat="1" ht="27" customHeight="1">
      <c r="A23" s="84" t="s">
        <v>21</v>
      </c>
      <c r="B23" s="84"/>
      <c r="C23" s="84"/>
      <c r="D23" s="84"/>
      <c r="E23" s="47">
        <f>'15. Residuos'!I12</f>
        <v>0</v>
      </c>
      <c r="F23" s="47">
        <f>'15. Residuos'!I22</f>
        <v>0</v>
      </c>
      <c r="G23" s="34">
        <f>'15. Residuos'!I24</f>
        <v>0</v>
      </c>
    </row>
    <row r="24" spans="1:10" ht="18.75">
      <c r="A24" s="32"/>
      <c r="B24" s="32"/>
      <c r="C24" s="32"/>
      <c r="D24" s="32"/>
      <c r="E24" s="33"/>
      <c r="F24" s="33"/>
      <c r="G24" s="33"/>
    </row>
    <row r="26" spans="1:10" ht="18">
      <c r="A26" s="85" t="s">
        <v>4</v>
      </c>
      <c r="B26" s="86"/>
      <c r="C26" s="86"/>
      <c r="D26" s="87"/>
      <c r="E26" s="66">
        <f>AVERAGE(E9:E23)</f>
        <v>0</v>
      </c>
    </row>
    <row r="27" spans="1:10" ht="18">
      <c r="A27" s="85" t="s">
        <v>5</v>
      </c>
      <c r="B27" s="86"/>
      <c r="C27" s="86"/>
      <c r="D27" s="87"/>
      <c r="E27" s="66">
        <f>AVERAGE(F9:F23)</f>
        <v>0</v>
      </c>
    </row>
    <row r="28" spans="1:10" ht="18">
      <c r="A28" s="85" t="s">
        <v>6</v>
      </c>
      <c r="B28" s="86"/>
      <c r="C28" s="86"/>
      <c r="D28" s="87"/>
      <c r="E28" s="66">
        <f>AVERAGE(G9:G23)</f>
        <v>0</v>
      </c>
    </row>
  </sheetData>
  <mergeCells count="21">
    <mergeCell ref="A5:G5"/>
    <mergeCell ref="A8:D8"/>
    <mergeCell ref="A9:D9"/>
    <mergeCell ref="A10:D10"/>
    <mergeCell ref="A11:D11"/>
    <mergeCell ref="A6:G6"/>
    <mergeCell ref="A28:D28"/>
    <mergeCell ref="A27:D27"/>
    <mergeCell ref="A18:D18"/>
    <mergeCell ref="A19:D19"/>
    <mergeCell ref="A21:D21"/>
    <mergeCell ref="A12:D12"/>
    <mergeCell ref="A14:D14"/>
    <mergeCell ref="A22:D22"/>
    <mergeCell ref="A26:D26"/>
    <mergeCell ref="A17:D17"/>
    <mergeCell ref="A23:D23"/>
    <mergeCell ref="A20:D20"/>
    <mergeCell ref="A15:D15"/>
    <mergeCell ref="A16:D16"/>
    <mergeCell ref="A13:D13"/>
  </mergeCells>
  <pageMargins left="0.70866141732283472" right="0.70866141732283472" top="0.10312499999999999" bottom="0.74803149606299213" header="0.31496062992125984" footer="0.31496062992125984"/>
  <pageSetup scale="90" orientation="landscape" r:id="rId1"/>
  <headerFooter>
    <oddFooter>&amp;R&amp;"Abadi Extra Light,Normal"ACF26 - Primera - 22/05/2024             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028F-2596-4338-8D94-D7C1D94727CB}">
  <sheetPr>
    <tabColor theme="7" tint="-0.249977111117893"/>
  </sheetPr>
  <dimension ref="A4:J28"/>
  <sheetViews>
    <sheetView showGridLines="0" zoomScale="90" zoomScaleNormal="90" zoomScaleSheetLayoutView="40" workbookViewId="0">
      <selection activeCell="P14" sqref="P14"/>
    </sheetView>
  </sheetViews>
  <sheetFormatPr baseColWidth="10" defaultColWidth="9.140625" defaultRowHeight="15"/>
  <cols>
    <col min="1" max="4" width="10.42578125" customWidth="1"/>
    <col min="5" max="5" width="22" customWidth="1"/>
    <col min="6" max="7" width="17" bestFit="1" customWidth="1"/>
    <col min="8" max="256" width="11.42578125" customWidth="1"/>
  </cols>
  <sheetData>
    <row r="4" spans="1:7" ht="26.25">
      <c r="A4" s="67" t="s">
        <v>0</v>
      </c>
    </row>
    <row r="5" spans="1:7" ht="51" customHeight="1">
      <c r="A5" s="90"/>
      <c r="B5" s="91"/>
      <c r="C5" s="91"/>
      <c r="D5" s="91"/>
      <c r="E5" s="91"/>
      <c r="F5" s="91"/>
      <c r="G5" s="91"/>
    </row>
    <row r="6" spans="1:7" ht="21" customHeight="1">
      <c r="A6" s="96"/>
      <c r="B6" s="96"/>
      <c r="C6" s="96"/>
      <c r="D6" s="96"/>
      <c r="E6" s="96"/>
      <c r="F6" s="96"/>
      <c r="G6" s="96"/>
    </row>
    <row r="7" spans="1:7" ht="18.75">
      <c r="A7" s="79"/>
      <c r="B7" s="79"/>
      <c r="C7" s="79"/>
      <c r="D7" s="79"/>
      <c r="E7" s="80"/>
      <c r="F7" s="80"/>
      <c r="G7" s="80"/>
    </row>
    <row r="8" spans="1:7" ht="24.95" customHeight="1">
      <c r="A8" s="97"/>
      <c r="B8" s="97"/>
      <c r="C8" s="97"/>
      <c r="D8" s="97"/>
      <c r="E8" s="81"/>
      <c r="F8" s="81"/>
      <c r="G8" s="81"/>
    </row>
    <row r="9" spans="1:7" ht="27" customHeight="1">
      <c r="A9" s="98"/>
      <c r="B9" s="99"/>
      <c r="C9" s="99"/>
      <c r="D9" s="99"/>
      <c r="E9" s="74"/>
      <c r="F9" s="75"/>
      <c r="G9" s="74"/>
    </row>
    <row r="10" spans="1:7" ht="27" customHeight="1">
      <c r="A10" s="98"/>
      <c r="B10" s="99"/>
      <c r="C10" s="99"/>
      <c r="D10" s="99"/>
      <c r="E10" s="74"/>
      <c r="F10" s="75"/>
      <c r="G10" s="74"/>
    </row>
    <row r="11" spans="1:7" ht="27" customHeight="1">
      <c r="A11" s="98"/>
      <c r="B11" s="99"/>
      <c r="C11" s="99"/>
      <c r="D11" s="99"/>
      <c r="E11" s="74"/>
      <c r="F11" s="75"/>
      <c r="G11" s="74"/>
    </row>
    <row r="12" spans="1:7" ht="27" customHeight="1">
      <c r="A12" s="98"/>
      <c r="B12" s="99"/>
      <c r="C12" s="99"/>
      <c r="D12" s="99"/>
      <c r="E12" s="75"/>
      <c r="F12" s="75"/>
      <c r="G12" s="74"/>
    </row>
    <row r="13" spans="1:7" ht="27" customHeight="1">
      <c r="A13" s="98"/>
      <c r="B13" s="99"/>
      <c r="C13" s="99"/>
      <c r="D13" s="99"/>
      <c r="E13" s="75"/>
      <c r="F13" s="75"/>
      <c r="G13" s="74"/>
    </row>
    <row r="14" spans="1:7" ht="27" customHeight="1">
      <c r="A14" s="98"/>
      <c r="B14" s="99"/>
      <c r="C14" s="99"/>
      <c r="D14" s="99"/>
      <c r="E14" s="75"/>
      <c r="F14" s="75"/>
      <c r="G14" s="74"/>
    </row>
    <row r="15" spans="1:7" s="43" customFormat="1" ht="27" customHeight="1">
      <c r="A15" s="100"/>
      <c r="B15" s="101"/>
      <c r="C15" s="101"/>
      <c r="D15" s="101"/>
      <c r="E15" s="76"/>
      <c r="F15" s="76"/>
      <c r="G15" s="74"/>
    </row>
    <row r="16" spans="1:7" s="43" customFormat="1" ht="27" customHeight="1">
      <c r="A16" s="100"/>
      <c r="B16" s="101"/>
      <c r="C16" s="101"/>
      <c r="D16" s="101"/>
      <c r="E16" s="76"/>
      <c r="F16" s="77"/>
      <c r="G16" s="74"/>
    </row>
    <row r="17" spans="1:10" s="43" customFormat="1" ht="27" customHeight="1">
      <c r="A17" s="100"/>
      <c r="B17" s="102"/>
      <c r="C17" s="102"/>
      <c r="D17" s="102"/>
      <c r="E17" s="77"/>
      <c r="F17" s="77"/>
      <c r="G17" s="74"/>
    </row>
    <row r="18" spans="1:10" s="43" customFormat="1" ht="27" customHeight="1">
      <c r="A18" s="100"/>
      <c r="B18" s="100"/>
      <c r="C18" s="100"/>
      <c r="D18" s="100"/>
      <c r="E18" s="76"/>
      <c r="F18" s="76"/>
      <c r="G18" s="74"/>
    </row>
    <row r="19" spans="1:10" s="43" customFormat="1" ht="27" customHeight="1">
      <c r="A19" s="100"/>
      <c r="B19" s="100"/>
      <c r="C19" s="100"/>
      <c r="D19" s="100"/>
      <c r="E19" s="76"/>
      <c r="F19" s="76"/>
      <c r="G19" s="74"/>
    </row>
    <row r="20" spans="1:10" s="43" customFormat="1" ht="27" customHeight="1">
      <c r="A20" s="100"/>
      <c r="B20" s="100"/>
      <c r="C20" s="100"/>
      <c r="D20" s="100"/>
      <c r="E20" s="76"/>
      <c r="F20" s="76"/>
      <c r="G20" s="74"/>
    </row>
    <row r="21" spans="1:10" s="44" customFormat="1" ht="27" customHeight="1">
      <c r="A21" s="100"/>
      <c r="B21" s="100"/>
      <c r="C21" s="100"/>
      <c r="D21" s="100"/>
      <c r="E21" s="77"/>
      <c r="F21" s="77"/>
      <c r="G21" s="74"/>
      <c r="H21" s="43"/>
      <c r="I21" s="43"/>
      <c r="J21" s="43"/>
    </row>
    <row r="22" spans="1:10" s="43" customFormat="1" ht="27" customHeight="1">
      <c r="A22" s="100"/>
      <c r="B22" s="100"/>
      <c r="C22" s="100"/>
      <c r="D22" s="100"/>
      <c r="E22" s="77"/>
      <c r="F22" s="77"/>
      <c r="G22" s="74"/>
    </row>
    <row r="23" spans="1:10" s="43" customFormat="1" ht="27" customHeight="1">
      <c r="A23" s="100"/>
      <c r="B23" s="100"/>
      <c r="C23" s="100"/>
      <c r="D23" s="100"/>
      <c r="E23" s="77"/>
      <c r="F23" s="77"/>
      <c r="G23" s="74"/>
    </row>
    <row r="24" spans="1:10" ht="18.75">
      <c r="A24" s="32"/>
      <c r="B24" s="32"/>
      <c r="C24" s="32"/>
      <c r="D24" s="32"/>
      <c r="E24" s="33"/>
      <c r="F24" s="33"/>
      <c r="G24" s="33"/>
    </row>
    <row r="26" spans="1:10" ht="18">
      <c r="A26" s="103"/>
      <c r="B26" s="103"/>
      <c r="C26" s="103"/>
      <c r="D26" s="103"/>
      <c r="E26" s="78"/>
    </row>
    <row r="27" spans="1:10" ht="18">
      <c r="A27" s="103"/>
      <c r="B27" s="103"/>
      <c r="C27" s="103"/>
      <c r="D27" s="103"/>
      <c r="E27" s="78"/>
    </row>
    <row r="28" spans="1:10" ht="18">
      <c r="A28" s="103"/>
      <c r="B28" s="103"/>
      <c r="C28" s="103"/>
      <c r="D28" s="103"/>
      <c r="E28" s="78"/>
    </row>
  </sheetData>
  <mergeCells count="21">
    <mergeCell ref="A16:D16"/>
    <mergeCell ref="A17:D17"/>
    <mergeCell ref="A26:D26"/>
    <mergeCell ref="A27:D27"/>
    <mergeCell ref="A28:D28"/>
    <mergeCell ref="A18:D18"/>
    <mergeCell ref="A19:D19"/>
    <mergeCell ref="A20:D20"/>
    <mergeCell ref="A21:D21"/>
    <mergeCell ref="A22:D22"/>
    <mergeCell ref="A23:D23"/>
    <mergeCell ref="A11:D11"/>
    <mergeCell ref="A12:D12"/>
    <mergeCell ref="A13:D13"/>
    <mergeCell ref="A14:D14"/>
    <mergeCell ref="A15:D15"/>
    <mergeCell ref="A5:G5"/>
    <mergeCell ref="A6:G6"/>
    <mergeCell ref="A8:D8"/>
    <mergeCell ref="A9:D9"/>
    <mergeCell ref="A10:D10"/>
  </mergeCells>
  <printOptions horizontalCentered="1" verticalCentered="1"/>
  <pageMargins left="0.70866141732283472" right="0.70866141732283472" top="0.11811023622047245" bottom="0.74803149606299213" header="0.31496062992125984" footer="0.31496062992125984"/>
  <pageSetup scale="90" orientation="landscape" r:id="rId1"/>
  <headerFooter>
    <oddFooter>&amp;R&amp;"Abadi Extra Light,Normal"ACF26 - Primera - 22/05/2024             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8A83-A7C9-4EFF-BA8F-E1340A0C8C05}">
  <sheetPr>
    <tabColor theme="7" tint="-0.249977111117893"/>
  </sheetPr>
  <dimension ref="A4:J28"/>
  <sheetViews>
    <sheetView showGridLines="0" zoomScale="90" zoomScaleNormal="90" zoomScaleSheetLayoutView="40" workbookViewId="0">
      <selection activeCell="S14" sqref="S14"/>
    </sheetView>
  </sheetViews>
  <sheetFormatPr baseColWidth="10" defaultColWidth="9.140625" defaultRowHeight="15"/>
  <cols>
    <col min="1" max="4" width="10.42578125" customWidth="1"/>
    <col min="5" max="5" width="22" customWidth="1"/>
    <col min="6" max="7" width="17" bestFit="1" customWidth="1"/>
    <col min="8" max="256" width="11.42578125" customWidth="1"/>
  </cols>
  <sheetData>
    <row r="4" spans="1:7" ht="26.25">
      <c r="A4" s="67" t="s">
        <v>0</v>
      </c>
    </row>
    <row r="5" spans="1:7" ht="51" customHeight="1">
      <c r="A5" s="90"/>
      <c r="B5" s="91"/>
      <c r="C5" s="91"/>
      <c r="D5" s="91"/>
      <c r="E5" s="91"/>
      <c r="F5" s="91"/>
      <c r="G5" s="91"/>
    </row>
    <row r="6" spans="1:7" ht="21" customHeight="1">
      <c r="A6" s="96"/>
      <c r="B6" s="96"/>
      <c r="C6" s="96"/>
      <c r="D6" s="96"/>
      <c r="E6" s="96"/>
      <c r="F6" s="96"/>
      <c r="G6" s="96"/>
    </row>
    <row r="7" spans="1:7" ht="18.75">
      <c r="A7" s="79"/>
      <c r="B7" s="79"/>
      <c r="C7" s="79"/>
      <c r="D7" s="79"/>
      <c r="E7" s="80"/>
      <c r="F7" s="80"/>
      <c r="G7" s="80"/>
    </row>
    <row r="8" spans="1:7" ht="24.95" customHeight="1">
      <c r="A8" s="97"/>
      <c r="B8" s="97"/>
      <c r="C8" s="97"/>
      <c r="D8" s="97"/>
      <c r="E8" s="81"/>
      <c r="F8" s="81"/>
      <c r="G8" s="81"/>
    </row>
    <row r="9" spans="1:7" ht="27" customHeight="1">
      <c r="A9" s="98"/>
      <c r="B9" s="99"/>
      <c r="C9" s="99"/>
      <c r="D9" s="99"/>
      <c r="E9" s="74"/>
      <c r="F9" s="75"/>
      <c r="G9" s="74"/>
    </row>
    <row r="10" spans="1:7" ht="27" customHeight="1">
      <c r="A10" s="98"/>
      <c r="B10" s="99"/>
      <c r="C10" s="99"/>
      <c r="D10" s="99"/>
      <c r="E10" s="74"/>
      <c r="F10" s="75"/>
      <c r="G10" s="74"/>
    </row>
    <row r="11" spans="1:7" ht="27" customHeight="1">
      <c r="A11" s="98"/>
      <c r="B11" s="99"/>
      <c r="C11" s="99"/>
      <c r="D11" s="99"/>
      <c r="E11" s="74"/>
      <c r="F11" s="75"/>
      <c r="G11" s="74"/>
    </row>
    <row r="12" spans="1:7" ht="27" customHeight="1">
      <c r="A12" s="98"/>
      <c r="B12" s="99"/>
      <c r="C12" s="99"/>
      <c r="D12" s="99"/>
      <c r="E12" s="75"/>
      <c r="F12" s="75"/>
      <c r="G12" s="74"/>
    </row>
    <row r="13" spans="1:7" ht="27" customHeight="1">
      <c r="A13" s="98"/>
      <c r="B13" s="99"/>
      <c r="C13" s="99"/>
      <c r="D13" s="99"/>
      <c r="E13" s="75"/>
      <c r="F13" s="75"/>
      <c r="G13" s="74"/>
    </row>
    <row r="14" spans="1:7" ht="27" customHeight="1">
      <c r="A14" s="98"/>
      <c r="B14" s="99"/>
      <c r="C14" s="99"/>
      <c r="D14" s="99"/>
      <c r="E14" s="75"/>
      <c r="F14" s="75"/>
      <c r="G14" s="74"/>
    </row>
    <row r="15" spans="1:7" s="43" customFormat="1" ht="27" customHeight="1">
      <c r="A15" s="100"/>
      <c r="B15" s="101"/>
      <c r="C15" s="101"/>
      <c r="D15" s="101"/>
      <c r="E15" s="76"/>
      <c r="F15" s="76"/>
      <c r="G15" s="74"/>
    </row>
    <row r="16" spans="1:7" s="43" customFormat="1" ht="27" customHeight="1">
      <c r="A16" s="100"/>
      <c r="B16" s="101"/>
      <c r="C16" s="101"/>
      <c r="D16" s="101"/>
      <c r="E16" s="76"/>
      <c r="F16" s="77"/>
      <c r="G16" s="74"/>
    </row>
    <row r="17" spans="1:10" s="43" customFormat="1" ht="27" customHeight="1">
      <c r="A17" s="100"/>
      <c r="B17" s="102"/>
      <c r="C17" s="102"/>
      <c r="D17" s="102"/>
      <c r="E17" s="77"/>
      <c r="F17" s="77"/>
      <c r="G17" s="74"/>
    </row>
    <row r="18" spans="1:10" s="43" customFormat="1" ht="27" customHeight="1">
      <c r="A18" s="100"/>
      <c r="B18" s="100"/>
      <c r="C18" s="100"/>
      <c r="D18" s="100"/>
      <c r="E18" s="76"/>
      <c r="F18" s="76"/>
      <c r="G18" s="74"/>
    </row>
    <row r="19" spans="1:10" s="43" customFormat="1" ht="27" customHeight="1">
      <c r="A19" s="100"/>
      <c r="B19" s="100"/>
      <c r="C19" s="100"/>
      <c r="D19" s="100"/>
      <c r="E19" s="76"/>
      <c r="F19" s="76"/>
      <c r="G19" s="74"/>
    </row>
    <row r="20" spans="1:10" s="43" customFormat="1" ht="27" customHeight="1">
      <c r="A20" s="100"/>
      <c r="B20" s="100"/>
      <c r="C20" s="100"/>
      <c r="D20" s="100"/>
      <c r="E20" s="76"/>
      <c r="F20" s="76"/>
      <c r="G20" s="74"/>
    </row>
    <row r="21" spans="1:10" s="44" customFormat="1" ht="27" customHeight="1">
      <c r="A21" s="100"/>
      <c r="B21" s="100"/>
      <c r="C21" s="100"/>
      <c r="D21" s="100"/>
      <c r="E21" s="77"/>
      <c r="F21" s="77"/>
      <c r="G21" s="74"/>
      <c r="H21" s="43"/>
      <c r="I21" s="43"/>
      <c r="J21" s="43"/>
    </row>
    <row r="22" spans="1:10" s="43" customFormat="1" ht="27" customHeight="1">
      <c r="A22" s="100"/>
      <c r="B22" s="100"/>
      <c r="C22" s="100"/>
      <c r="D22" s="100"/>
      <c r="E22" s="77"/>
      <c r="F22" s="77"/>
      <c r="G22" s="74"/>
    </row>
    <row r="23" spans="1:10" s="43" customFormat="1" ht="27" customHeight="1">
      <c r="A23" s="100"/>
      <c r="B23" s="100"/>
      <c r="C23" s="100"/>
      <c r="D23" s="100"/>
      <c r="E23" s="77"/>
      <c r="F23" s="77"/>
      <c r="G23" s="74"/>
    </row>
    <row r="24" spans="1:10" ht="18.75">
      <c r="A24" s="32"/>
      <c r="B24" s="32"/>
      <c r="C24" s="32"/>
      <c r="D24" s="32"/>
      <c r="E24" s="33"/>
      <c r="F24" s="33"/>
      <c r="G24" s="33"/>
    </row>
    <row r="26" spans="1:10" ht="18">
      <c r="A26" s="103"/>
      <c r="B26" s="103"/>
      <c r="C26" s="103"/>
      <c r="D26" s="103"/>
      <c r="E26" s="78"/>
    </row>
    <row r="27" spans="1:10" ht="18">
      <c r="A27" s="103"/>
      <c r="B27" s="103"/>
      <c r="C27" s="103"/>
      <c r="D27" s="103"/>
      <c r="E27" s="78"/>
    </row>
    <row r="28" spans="1:10" ht="18">
      <c r="A28" s="103"/>
      <c r="B28" s="103"/>
      <c r="C28" s="103"/>
      <c r="D28" s="103"/>
      <c r="E28" s="78"/>
    </row>
  </sheetData>
  <mergeCells count="21">
    <mergeCell ref="A16:D16"/>
    <mergeCell ref="A17:D17"/>
    <mergeCell ref="A26:D26"/>
    <mergeCell ref="A27:D27"/>
    <mergeCell ref="A28:D28"/>
    <mergeCell ref="A18:D18"/>
    <mergeCell ref="A19:D19"/>
    <mergeCell ref="A20:D20"/>
    <mergeCell ref="A21:D21"/>
    <mergeCell ref="A22:D22"/>
    <mergeCell ref="A23:D23"/>
    <mergeCell ref="A11:D11"/>
    <mergeCell ref="A12:D12"/>
    <mergeCell ref="A13:D13"/>
    <mergeCell ref="A14:D14"/>
    <mergeCell ref="A15:D15"/>
    <mergeCell ref="A5:G5"/>
    <mergeCell ref="A6:G6"/>
    <mergeCell ref="A8:D8"/>
    <mergeCell ref="A9:D9"/>
    <mergeCell ref="A10:D10"/>
  </mergeCells>
  <printOptions horizontalCentered="1" verticalCentered="1"/>
  <pageMargins left="0.70866141732283472" right="0.70866141732283472" top="0.11811023622047245" bottom="0.74803149606299213" header="0.31496062992125984" footer="0.31496062992125984"/>
  <pageSetup scale="90" orientation="landscape" r:id="rId1"/>
  <headerFooter>
    <oddFooter>&amp;R&amp;"Abadi Extra Light,Normal"ACF26 - Primera - 22/05/2024             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DF65-DD4D-4645-9CDD-DDDD3ECEF0FB}">
  <sheetPr>
    <tabColor theme="7" tint="-0.249977111117893"/>
  </sheetPr>
  <dimension ref="A4:J28"/>
  <sheetViews>
    <sheetView showGridLines="0" zoomScale="90" zoomScaleNormal="90" zoomScaleSheetLayoutView="40" workbookViewId="0">
      <selection activeCell="R13" sqref="R13"/>
    </sheetView>
  </sheetViews>
  <sheetFormatPr baseColWidth="10" defaultColWidth="9.140625" defaultRowHeight="15"/>
  <cols>
    <col min="1" max="4" width="10.42578125" customWidth="1"/>
    <col min="5" max="5" width="22" customWidth="1"/>
    <col min="6" max="7" width="17" bestFit="1" customWidth="1"/>
    <col min="8" max="256" width="11.42578125" customWidth="1"/>
  </cols>
  <sheetData>
    <row r="4" spans="1:7" ht="26.25">
      <c r="A4" s="67" t="s">
        <v>0</v>
      </c>
    </row>
    <row r="5" spans="1:7" ht="51" customHeight="1">
      <c r="A5" s="90"/>
      <c r="B5" s="91"/>
      <c r="C5" s="91"/>
      <c r="D5" s="91"/>
      <c r="E5" s="91"/>
      <c r="F5" s="91"/>
      <c r="G5" s="91"/>
    </row>
    <row r="6" spans="1:7" ht="21" customHeight="1">
      <c r="A6" s="96"/>
      <c r="B6" s="96"/>
      <c r="C6" s="96"/>
      <c r="D6" s="96"/>
      <c r="E6" s="96"/>
      <c r="F6" s="96"/>
      <c r="G6" s="96"/>
    </row>
    <row r="7" spans="1:7" ht="18.75">
      <c r="A7" s="79"/>
      <c r="B7" s="79"/>
      <c r="C7" s="79"/>
      <c r="D7" s="79"/>
      <c r="E7" s="80"/>
      <c r="F7" s="80"/>
      <c r="G7" s="80"/>
    </row>
    <row r="8" spans="1:7" ht="24.95" customHeight="1">
      <c r="A8" s="97"/>
      <c r="B8" s="97"/>
      <c r="C8" s="97"/>
      <c r="D8" s="97"/>
      <c r="E8" s="81"/>
      <c r="F8" s="81"/>
      <c r="G8" s="81"/>
    </row>
    <row r="9" spans="1:7" ht="27" customHeight="1">
      <c r="A9" s="98"/>
      <c r="B9" s="99"/>
      <c r="C9" s="99"/>
      <c r="D9" s="99"/>
      <c r="E9" s="74"/>
      <c r="F9" s="75"/>
      <c r="G9" s="74"/>
    </row>
    <row r="10" spans="1:7" ht="27" customHeight="1">
      <c r="A10" s="98"/>
      <c r="B10" s="99"/>
      <c r="C10" s="99"/>
      <c r="D10" s="99"/>
      <c r="E10" s="74"/>
      <c r="F10" s="75"/>
      <c r="G10" s="74"/>
    </row>
    <row r="11" spans="1:7" ht="27" customHeight="1">
      <c r="A11" s="98"/>
      <c r="B11" s="99"/>
      <c r="C11" s="99"/>
      <c r="D11" s="99"/>
      <c r="E11" s="74"/>
      <c r="F11" s="75"/>
      <c r="G11" s="74"/>
    </row>
    <row r="12" spans="1:7" ht="27" customHeight="1">
      <c r="A12" s="98"/>
      <c r="B12" s="99"/>
      <c r="C12" s="99"/>
      <c r="D12" s="99"/>
      <c r="E12" s="75"/>
      <c r="F12" s="75"/>
      <c r="G12" s="74"/>
    </row>
    <row r="13" spans="1:7" ht="27" customHeight="1">
      <c r="A13" s="98"/>
      <c r="B13" s="99"/>
      <c r="C13" s="99"/>
      <c r="D13" s="99"/>
      <c r="E13" s="75"/>
      <c r="F13" s="75"/>
      <c r="G13" s="74"/>
    </row>
    <row r="14" spans="1:7" ht="27" customHeight="1">
      <c r="A14" s="98"/>
      <c r="B14" s="99"/>
      <c r="C14" s="99"/>
      <c r="D14" s="99"/>
      <c r="E14" s="75"/>
      <c r="F14" s="75"/>
      <c r="G14" s="74"/>
    </row>
    <row r="15" spans="1:7" s="43" customFormat="1" ht="27" customHeight="1">
      <c r="A15" s="100"/>
      <c r="B15" s="101"/>
      <c r="C15" s="101"/>
      <c r="D15" s="101"/>
      <c r="E15" s="76"/>
      <c r="F15" s="76"/>
      <c r="G15" s="74"/>
    </row>
    <row r="16" spans="1:7" s="43" customFormat="1" ht="27" customHeight="1">
      <c r="A16" s="100"/>
      <c r="B16" s="101"/>
      <c r="C16" s="101"/>
      <c r="D16" s="101"/>
      <c r="E16" s="76"/>
      <c r="F16" s="77"/>
      <c r="G16" s="74"/>
    </row>
    <row r="17" spans="1:10" s="43" customFormat="1" ht="27" customHeight="1">
      <c r="A17" s="100"/>
      <c r="B17" s="102"/>
      <c r="C17" s="102"/>
      <c r="D17" s="102"/>
      <c r="E17" s="77"/>
      <c r="F17" s="77"/>
      <c r="G17" s="74"/>
    </row>
    <row r="18" spans="1:10" s="43" customFormat="1" ht="27" customHeight="1">
      <c r="A18" s="100"/>
      <c r="B18" s="100"/>
      <c r="C18" s="100"/>
      <c r="D18" s="100"/>
      <c r="E18" s="76"/>
      <c r="F18" s="76"/>
      <c r="G18" s="74"/>
    </row>
    <row r="19" spans="1:10" s="43" customFormat="1" ht="27" customHeight="1">
      <c r="A19" s="100"/>
      <c r="B19" s="100"/>
      <c r="C19" s="100"/>
      <c r="D19" s="100"/>
      <c r="E19" s="76"/>
      <c r="F19" s="76"/>
      <c r="G19" s="74"/>
    </row>
    <row r="20" spans="1:10" s="43" customFormat="1" ht="27" customHeight="1">
      <c r="A20" s="100"/>
      <c r="B20" s="100"/>
      <c r="C20" s="100"/>
      <c r="D20" s="100"/>
      <c r="E20" s="76"/>
      <c r="F20" s="76"/>
      <c r="G20" s="74"/>
    </row>
    <row r="21" spans="1:10" s="44" customFormat="1" ht="27" customHeight="1">
      <c r="A21" s="100"/>
      <c r="B21" s="100"/>
      <c r="C21" s="100"/>
      <c r="D21" s="100"/>
      <c r="E21" s="77"/>
      <c r="F21" s="77"/>
      <c r="G21" s="74"/>
      <c r="H21" s="43"/>
      <c r="I21" s="43"/>
      <c r="J21" s="43"/>
    </row>
    <row r="22" spans="1:10" s="43" customFormat="1" ht="27" customHeight="1">
      <c r="A22" s="100"/>
      <c r="B22" s="100"/>
      <c r="C22" s="100"/>
      <c r="D22" s="100"/>
      <c r="E22" s="77"/>
      <c r="F22" s="77"/>
      <c r="G22" s="74"/>
    </row>
    <row r="23" spans="1:10" s="43" customFormat="1" ht="27" customHeight="1">
      <c r="A23" s="100"/>
      <c r="B23" s="100"/>
      <c r="C23" s="100"/>
      <c r="D23" s="100"/>
      <c r="E23" s="77"/>
      <c r="F23" s="77"/>
      <c r="G23" s="74"/>
    </row>
    <row r="24" spans="1:10" ht="18.75">
      <c r="A24" s="32"/>
      <c r="B24" s="32"/>
      <c r="C24" s="32"/>
      <c r="D24" s="32"/>
      <c r="E24" s="33"/>
      <c r="F24" s="33"/>
      <c r="G24" s="33"/>
    </row>
    <row r="26" spans="1:10" ht="18">
      <c r="A26" s="103"/>
      <c r="B26" s="103"/>
      <c r="C26" s="103"/>
      <c r="D26" s="103"/>
      <c r="E26" s="78"/>
    </row>
    <row r="27" spans="1:10" ht="18">
      <c r="A27" s="103"/>
      <c r="B27" s="103"/>
      <c r="C27" s="103"/>
      <c r="D27" s="103"/>
      <c r="E27" s="78"/>
    </row>
    <row r="28" spans="1:10" ht="18">
      <c r="A28" s="103"/>
      <c r="B28" s="103"/>
      <c r="C28" s="103"/>
      <c r="D28" s="103"/>
      <c r="E28" s="78"/>
    </row>
  </sheetData>
  <mergeCells count="21">
    <mergeCell ref="A16:D16"/>
    <mergeCell ref="A17:D17"/>
    <mergeCell ref="A26:D26"/>
    <mergeCell ref="A27:D27"/>
    <mergeCell ref="A28:D28"/>
    <mergeCell ref="A18:D18"/>
    <mergeCell ref="A19:D19"/>
    <mergeCell ref="A20:D20"/>
    <mergeCell ref="A21:D21"/>
    <mergeCell ref="A22:D22"/>
    <mergeCell ref="A23:D23"/>
    <mergeCell ref="A11:D11"/>
    <mergeCell ref="A12:D12"/>
    <mergeCell ref="A13:D13"/>
    <mergeCell ref="A14:D14"/>
    <mergeCell ref="A15:D15"/>
    <mergeCell ref="A5:G5"/>
    <mergeCell ref="A6:G6"/>
    <mergeCell ref="A8:D8"/>
    <mergeCell ref="A9:D9"/>
    <mergeCell ref="A10:D10"/>
  </mergeCells>
  <printOptions horizontalCentered="1" verticalCentered="1"/>
  <pageMargins left="0.70866141732283472" right="0.70866141732283472" top="0.11811023622047245" bottom="0.74803149606299213" header="0.31496062992125984" footer="0.31496062992125984"/>
  <pageSetup scale="90" orientation="landscape" r:id="rId1"/>
  <headerFooter>
    <oddFooter>&amp;R&amp;"Abadi Extra Light,Normal"ACF26 - Primera - 22/05/2024             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E3A6-EAB2-401F-BA14-3212DF576408}">
  <sheetPr>
    <tabColor theme="7" tint="-0.249977111117893"/>
  </sheetPr>
  <dimension ref="A4:J28"/>
  <sheetViews>
    <sheetView showGridLines="0" zoomScale="90" zoomScaleNormal="90" zoomScaleSheetLayoutView="40" workbookViewId="0">
      <selection activeCell="N8" sqref="N8"/>
    </sheetView>
  </sheetViews>
  <sheetFormatPr baseColWidth="10" defaultColWidth="9.140625" defaultRowHeight="15"/>
  <cols>
    <col min="1" max="4" width="10.42578125" customWidth="1"/>
    <col min="5" max="5" width="22" customWidth="1"/>
    <col min="6" max="7" width="17" bestFit="1" customWidth="1"/>
    <col min="8" max="256" width="11.42578125" customWidth="1"/>
  </cols>
  <sheetData>
    <row r="4" spans="1:7" ht="26.25">
      <c r="A4" s="67" t="s">
        <v>0</v>
      </c>
    </row>
    <row r="5" spans="1:7" ht="51" customHeight="1">
      <c r="A5" s="90"/>
      <c r="B5" s="91"/>
      <c r="C5" s="91"/>
      <c r="D5" s="91"/>
      <c r="E5" s="91"/>
      <c r="F5" s="91"/>
      <c r="G5" s="91"/>
    </row>
    <row r="6" spans="1:7" ht="21" customHeight="1">
      <c r="A6" s="96"/>
      <c r="B6" s="96"/>
      <c r="C6" s="96"/>
      <c r="D6" s="96"/>
      <c r="E6" s="96"/>
      <c r="F6" s="96"/>
      <c r="G6" s="96"/>
    </row>
    <row r="7" spans="1:7" ht="18.75">
      <c r="A7" s="79"/>
      <c r="B7" s="79"/>
      <c r="C7" s="79"/>
      <c r="D7" s="79"/>
      <c r="E7" s="80"/>
      <c r="F7" s="80"/>
      <c r="G7" s="80"/>
    </row>
    <row r="8" spans="1:7" ht="24.95" customHeight="1">
      <c r="A8" s="97"/>
      <c r="B8" s="97"/>
      <c r="C8" s="97"/>
      <c r="D8" s="97"/>
      <c r="E8" s="81"/>
      <c r="F8" s="81"/>
      <c r="G8" s="81"/>
    </row>
    <row r="9" spans="1:7" ht="27" customHeight="1">
      <c r="A9" s="98"/>
      <c r="B9" s="99"/>
      <c r="C9" s="99"/>
      <c r="D9" s="99"/>
      <c r="E9" s="74"/>
      <c r="F9" s="75"/>
      <c r="G9" s="74"/>
    </row>
    <row r="10" spans="1:7" ht="27" customHeight="1">
      <c r="A10" s="98"/>
      <c r="B10" s="99"/>
      <c r="C10" s="99"/>
      <c r="D10" s="99"/>
      <c r="E10" s="74"/>
      <c r="F10" s="75"/>
      <c r="G10" s="74"/>
    </row>
    <row r="11" spans="1:7" ht="27" customHeight="1">
      <c r="A11" s="98"/>
      <c r="B11" s="99"/>
      <c r="C11" s="99"/>
      <c r="D11" s="99"/>
      <c r="E11" s="74"/>
      <c r="F11" s="75"/>
      <c r="G11" s="74"/>
    </row>
    <row r="12" spans="1:7" ht="27" customHeight="1">
      <c r="A12" s="98"/>
      <c r="B12" s="99"/>
      <c r="C12" s="99"/>
      <c r="D12" s="99"/>
      <c r="E12" s="75"/>
      <c r="F12" s="75"/>
      <c r="G12" s="74"/>
    </row>
    <row r="13" spans="1:7" ht="27" customHeight="1">
      <c r="A13" s="98"/>
      <c r="B13" s="99"/>
      <c r="C13" s="99"/>
      <c r="D13" s="99"/>
      <c r="E13" s="75"/>
      <c r="F13" s="75"/>
      <c r="G13" s="74"/>
    </row>
    <row r="14" spans="1:7" ht="27" customHeight="1">
      <c r="A14" s="98"/>
      <c r="B14" s="99"/>
      <c r="C14" s="99"/>
      <c r="D14" s="99"/>
      <c r="E14" s="75"/>
      <c r="F14" s="75"/>
      <c r="G14" s="74"/>
    </row>
    <row r="15" spans="1:7" s="43" customFormat="1" ht="27" customHeight="1">
      <c r="A15" s="100"/>
      <c r="B15" s="101"/>
      <c r="C15" s="101"/>
      <c r="D15" s="101"/>
      <c r="E15" s="76"/>
      <c r="F15" s="76"/>
      <c r="G15" s="74"/>
    </row>
    <row r="16" spans="1:7" s="43" customFormat="1" ht="27" customHeight="1">
      <c r="A16" s="100"/>
      <c r="B16" s="101"/>
      <c r="C16" s="101"/>
      <c r="D16" s="101"/>
      <c r="E16" s="76"/>
      <c r="F16" s="77"/>
      <c r="G16" s="74"/>
    </row>
    <row r="17" spans="1:10" s="43" customFormat="1" ht="27" customHeight="1">
      <c r="A17" s="100"/>
      <c r="B17" s="102"/>
      <c r="C17" s="102"/>
      <c r="D17" s="102"/>
      <c r="E17" s="77"/>
      <c r="F17" s="77"/>
      <c r="G17" s="74"/>
    </row>
    <row r="18" spans="1:10" s="43" customFormat="1" ht="27" customHeight="1">
      <c r="A18" s="100"/>
      <c r="B18" s="100"/>
      <c r="C18" s="100"/>
      <c r="D18" s="100"/>
      <c r="E18" s="76"/>
      <c r="F18" s="76"/>
      <c r="G18" s="74"/>
    </row>
    <row r="19" spans="1:10" s="43" customFormat="1" ht="27" customHeight="1">
      <c r="A19" s="100"/>
      <c r="B19" s="100"/>
      <c r="C19" s="100"/>
      <c r="D19" s="100"/>
      <c r="E19" s="76"/>
      <c r="F19" s="76"/>
      <c r="G19" s="74"/>
    </row>
    <row r="20" spans="1:10" s="43" customFormat="1" ht="27" customHeight="1">
      <c r="A20" s="100"/>
      <c r="B20" s="100"/>
      <c r="C20" s="100"/>
      <c r="D20" s="100"/>
      <c r="E20" s="76"/>
      <c r="F20" s="76"/>
      <c r="G20" s="74"/>
    </row>
    <row r="21" spans="1:10" s="44" customFormat="1" ht="27" customHeight="1">
      <c r="A21" s="100"/>
      <c r="B21" s="100"/>
      <c r="C21" s="100"/>
      <c r="D21" s="100"/>
      <c r="E21" s="77"/>
      <c r="F21" s="77"/>
      <c r="G21" s="74"/>
      <c r="H21" s="43"/>
      <c r="I21" s="43"/>
      <c r="J21" s="43"/>
    </row>
    <row r="22" spans="1:10" s="43" customFormat="1" ht="27" customHeight="1">
      <c r="A22" s="100"/>
      <c r="B22" s="100"/>
      <c r="C22" s="100"/>
      <c r="D22" s="100"/>
      <c r="E22" s="77"/>
      <c r="F22" s="77"/>
      <c r="G22" s="74"/>
    </row>
    <row r="23" spans="1:10" s="43" customFormat="1" ht="27" customHeight="1">
      <c r="A23" s="100"/>
      <c r="B23" s="100"/>
      <c r="C23" s="100"/>
      <c r="D23" s="100"/>
      <c r="E23" s="77"/>
      <c r="F23" s="77"/>
      <c r="G23" s="74"/>
    </row>
    <row r="24" spans="1:10" ht="18.75">
      <c r="A24" s="32"/>
      <c r="B24" s="32"/>
      <c r="C24" s="32"/>
      <c r="D24" s="32"/>
      <c r="E24" s="33"/>
      <c r="F24" s="33"/>
      <c r="G24" s="33"/>
    </row>
    <row r="26" spans="1:10" ht="18">
      <c r="A26" s="103"/>
      <c r="B26" s="103"/>
      <c r="C26" s="103"/>
      <c r="D26" s="103"/>
      <c r="E26" s="78"/>
    </row>
    <row r="27" spans="1:10" ht="18">
      <c r="A27" s="103"/>
      <c r="B27" s="103"/>
      <c r="C27" s="103"/>
      <c r="D27" s="103"/>
      <c r="E27" s="78"/>
    </row>
    <row r="28" spans="1:10" ht="18">
      <c r="A28" s="103"/>
      <c r="B28" s="103"/>
      <c r="C28" s="103"/>
      <c r="D28" s="103"/>
      <c r="E28" s="78"/>
    </row>
  </sheetData>
  <mergeCells count="21">
    <mergeCell ref="A16:D16"/>
    <mergeCell ref="A17:D17"/>
    <mergeCell ref="A26:D26"/>
    <mergeCell ref="A27:D27"/>
    <mergeCell ref="A28:D28"/>
    <mergeCell ref="A18:D18"/>
    <mergeCell ref="A19:D19"/>
    <mergeCell ref="A20:D20"/>
    <mergeCell ref="A21:D21"/>
    <mergeCell ref="A22:D22"/>
    <mergeCell ref="A23:D23"/>
    <mergeCell ref="A11:D11"/>
    <mergeCell ref="A12:D12"/>
    <mergeCell ref="A13:D13"/>
    <mergeCell ref="A14:D14"/>
    <mergeCell ref="A15:D15"/>
    <mergeCell ref="A5:G5"/>
    <mergeCell ref="A6:G6"/>
    <mergeCell ref="A8:D8"/>
    <mergeCell ref="A9:D9"/>
    <mergeCell ref="A10:D10"/>
  </mergeCells>
  <printOptions horizontalCentered="1" verticalCentered="1"/>
  <pageMargins left="0.70866141732283472" right="0.70866141732283472" top="0.11811023622047245" bottom="0.74803149606299213" header="0.31496062992125984" footer="0.31496062992125984"/>
  <pageSetup scale="90" orientation="landscape" r:id="rId1"/>
  <headerFooter>
    <oddFooter>&amp;R&amp;"Abadi Extra Light,Normal"ACF26 - Primera - 22/05/2024             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A3FF9-1143-4685-9503-2145550A590A}">
  <sheetPr>
    <tabColor rgb="FF00FF00"/>
  </sheetPr>
  <dimension ref="A1:L41"/>
  <sheetViews>
    <sheetView tabSelected="1" zoomScale="106" zoomScaleNormal="106" zoomScaleSheetLayoutView="90" zoomScalePageLayoutView="90" workbookViewId="0">
      <selection activeCell="O12" sqref="O12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22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39" customHeight="1">
      <c r="A9" s="122" t="s">
        <v>29</v>
      </c>
      <c r="B9" s="122"/>
      <c r="C9" s="122"/>
      <c r="D9" s="122"/>
      <c r="E9" s="122"/>
      <c r="F9" s="6"/>
      <c r="G9" s="36"/>
      <c r="H9" s="73">
        <v>0.25</v>
      </c>
      <c r="I9" s="73">
        <f>IF(F9&gt;0,H9,0%)</f>
        <v>0</v>
      </c>
      <c r="J9" s="119"/>
      <c r="K9" s="119"/>
      <c r="L9" s="119"/>
    </row>
    <row r="10" spans="1:12" ht="51.75" customHeight="1">
      <c r="A10" s="122" t="s">
        <v>30</v>
      </c>
      <c r="B10" s="123"/>
      <c r="C10" s="123"/>
      <c r="D10" s="123"/>
      <c r="E10" s="123"/>
      <c r="F10" s="6"/>
      <c r="G10" s="36"/>
      <c r="H10" s="73">
        <v>0.25</v>
      </c>
      <c r="I10" s="73">
        <f>IF(F10&gt;0,H10,0%)</f>
        <v>0</v>
      </c>
      <c r="J10" s="124"/>
      <c r="K10" s="125"/>
      <c r="L10" s="125"/>
    </row>
    <row r="11" spans="1:12" ht="51.75" customHeight="1">
      <c r="A11" s="110" t="s">
        <v>31</v>
      </c>
      <c r="B11" s="111"/>
      <c r="C11" s="111"/>
      <c r="D11" s="111"/>
      <c r="E11" s="111"/>
      <c r="F11" s="6"/>
      <c r="G11" s="36"/>
      <c r="H11" s="73">
        <v>0.25</v>
      </c>
      <c r="I11" s="73">
        <f>IF(F11&gt;0,H11,0%)</f>
        <v>0</v>
      </c>
      <c r="J11" s="120"/>
      <c r="K11" s="120"/>
      <c r="L11" s="120"/>
    </row>
    <row r="12" spans="1:12" ht="60.75" customHeight="1">
      <c r="A12" s="110" t="s">
        <v>32</v>
      </c>
      <c r="B12" s="111"/>
      <c r="C12" s="111"/>
      <c r="D12" s="111"/>
      <c r="E12" s="111"/>
      <c r="F12" s="6"/>
      <c r="G12" s="36"/>
      <c r="H12" s="73">
        <v>0.25</v>
      </c>
      <c r="I12" s="73">
        <f>IF(F12&gt;0,H12,0%)</f>
        <v>0</v>
      </c>
      <c r="J12" s="120"/>
      <c r="K12" s="120"/>
      <c r="L12" s="120"/>
    </row>
    <row r="13" spans="1:12">
      <c r="A13" s="43"/>
      <c r="B13" s="43"/>
      <c r="C13" s="43"/>
      <c r="D13" s="43"/>
      <c r="E13" s="43"/>
      <c r="F13" s="43"/>
      <c r="G13" s="72" t="s">
        <v>33</v>
      </c>
      <c r="H13" s="70">
        <v>1</v>
      </c>
      <c r="I13" s="71">
        <f>SUM(I9:I12)</f>
        <v>0</v>
      </c>
      <c r="J13" s="116"/>
      <c r="K13" s="116"/>
      <c r="L13" s="116"/>
    </row>
    <row r="14" spans="1:12">
      <c r="A14" s="43"/>
      <c r="B14" s="43"/>
      <c r="C14" s="43"/>
      <c r="D14" s="43"/>
      <c r="E14" s="43"/>
      <c r="F14" s="43"/>
      <c r="H14" s="43"/>
      <c r="I14" s="51"/>
      <c r="J14" s="54"/>
      <c r="K14" s="54"/>
      <c r="L14" s="54"/>
    </row>
    <row r="15" spans="1:12">
      <c r="A15" s="121" t="s">
        <v>34</v>
      </c>
      <c r="B15" s="121"/>
      <c r="C15" s="121"/>
      <c r="D15" s="121"/>
      <c r="E15" s="121"/>
      <c r="F15" s="64" t="s">
        <v>24</v>
      </c>
      <c r="G15" s="64" t="s">
        <v>25</v>
      </c>
      <c r="H15" s="64" t="s">
        <v>26</v>
      </c>
      <c r="I15" s="64" t="s">
        <v>27</v>
      </c>
      <c r="J15" s="121" t="s">
        <v>28</v>
      </c>
      <c r="K15" s="121"/>
      <c r="L15" s="121"/>
    </row>
    <row r="16" spans="1:12" ht="44.25" customHeight="1">
      <c r="A16" s="110" t="s">
        <v>35</v>
      </c>
      <c r="B16" s="111"/>
      <c r="C16" s="111"/>
      <c r="D16" s="111"/>
      <c r="E16" s="111"/>
      <c r="F16" s="14"/>
      <c r="G16" s="49"/>
      <c r="H16" s="40">
        <f>$H$27/11</f>
        <v>9.0909090909090912E-2</v>
      </c>
      <c r="I16" s="40">
        <v>0</v>
      </c>
      <c r="J16" s="117" t="s">
        <v>36</v>
      </c>
      <c r="K16" s="117"/>
      <c r="L16" s="117"/>
    </row>
    <row r="17" spans="1:12" ht="49.5" customHeight="1">
      <c r="A17" s="110" t="s">
        <v>37</v>
      </c>
      <c r="B17" s="111"/>
      <c r="C17" s="111"/>
      <c r="D17" s="111"/>
      <c r="E17" s="111"/>
      <c r="F17" s="14"/>
      <c r="G17" s="14"/>
      <c r="H17" s="40">
        <f t="shared" ref="H17:H26" si="0">$H$27/11</f>
        <v>9.0909090909090912E-2</v>
      </c>
      <c r="I17" s="40">
        <f t="shared" ref="I17:I26" si="1">IF(F17&gt;0,H17,0%)</f>
        <v>0</v>
      </c>
      <c r="J17" s="118" t="s">
        <v>36</v>
      </c>
      <c r="K17" s="118"/>
      <c r="L17" s="118"/>
    </row>
    <row r="18" spans="1:12" ht="77.25" customHeight="1">
      <c r="A18" s="110" t="s">
        <v>38</v>
      </c>
      <c r="B18" s="111"/>
      <c r="C18" s="111"/>
      <c r="D18" s="111"/>
      <c r="E18" s="111"/>
      <c r="F18" s="14"/>
      <c r="G18" s="14"/>
      <c r="H18" s="40">
        <f t="shared" si="0"/>
        <v>9.0909090909090912E-2</v>
      </c>
      <c r="I18" s="40">
        <v>0</v>
      </c>
      <c r="J18" s="118" t="s">
        <v>36</v>
      </c>
      <c r="K18" s="118"/>
      <c r="L18" s="118"/>
    </row>
    <row r="19" spans="1:12" ht="70.5" customHeight="1">
      <c r="A19" s="110" t="s">
        <v>39</v>
      </c>
      <c r="B19" s="111"/>
      <c r="C19" s="111"/>
      <c r="D19" s="111"/>
      <c r="E19" s="111"/>
      <c r="F19" s="14"/>
      <c r="G19" s="14"/>
      <c r="H19" s="40">
        <f t="shared" si="0"/>
        <v>9.0909090909090912E-2</v>
      </c>
      <c r="I19" s="40">
        <f t="shared" si="1"/>
        <v>0</v>
      </c>
      <c r="J19" s="118" t="s">
        <v>36</v>
      </c>
      <c r="K19" s="118"/>
      <c r="L19" s="118"/>
    </row>
    <row r="20" spans="1:12" ht="85.5" customHeight="1">
      <c r="A20" s="110" t="s">
        <v>40</v>
      </c>
      <c r="B20" s="111"/>
      <c r="C20" s="111"/>
      <c r="D20" s="111"/>
      <c r="E20" s="111"/>
      <c r="F20" s="14"/>
      <c r="G20" s="14"/>
      <c r="H20" s="40">
        <f t="shared" si="0"/>
        <v>9.0909090909090912E-2</v>
      </c>
      <c r="I20" s="40">
        <f t="shared" si="1"/>
        <v>0</v>
      </c>
      <c r="J20" s="112"/>
      <c r="K20" s="112"/>
      <c r="L20" s="112"/>
    </row>
    <row r="21" spans="1:12" ht="33.75" customHeight="1">
      <c r="A21" s="110" t="s">
        <v>41</v>
      </c>
      <c r="B21" s="111"/>
      <c r="C21" s="111"/>
      <c r="D21" s="111"/>
      <c r="E21" s="111"/>
      <c r="F21" s="14"/>
      <c r="G21" s="14"/>
      <c r="H21" s="40">
        <f t="shared" si="0"/>
        <v>9.0909090909090912E-2</v>
      </c>
      <c r="I21" s="40">
        <f t="shared" si="1"/>
        <v>0</v>
      </c>
      <c r="J21" s="112"/>
      <c r="K21" s="112"/>
      <c r="L21" s="112"/>
    </row>
    <row r="22" spans="1:12" ht="51.75" customHeight="1">
      <c r="A22" s="114" t="s">
        <v>42</v>
      </c>
      <c r="B22" s="115"/>
      <c r="C22" s="115"/>
      <c r="D22" s="115"/>
      <c r="E22" s="115"/>
      <c r="F22" s="14"/>
      <c r="G22" s="14"/>
      <c r="H22" s="40">
        <f t="shared" si="0"/>
        <v>9.0909090909090912E-2</v>
      </c>
      <c r="I22" s="40">
        <f t="shared" si="1"/>
        <v>0</v>
      </c>
      <c r="J22" s="112"/>
      <c r="K22" s="112"/>
      <c r="L22" s="112"/>
    </row>
    <row r="23" spans="1:12" ht="49.5" customHeight="1">
      <c r="A23" s="110" t="s">
        <v>43</v>
      </c>
      <c r="B23" s="111"/>
      <c r="C23" s="111"/>
      <c r="D23" s="111"/>
      <c r="E23" s="111"/>
      <c r="F23" s="14"/>
      <c r="G23" s="14"/>
      <c r="H23" s="40">
        <f t="shared" si="0"/>
        <v>9.0909090909090912E-2</v>
      </c>
      <c r="I23" s="40">
        <f t="shared" si="1"/>
        <v>0</v>
      </c>
      <c r="J23" s="112"/>
      <c r="K23" s="112"/>
      <c r="L23" s="112"/>
    </row>
    <row r="24" spans="1:12" ht="28.5" customHeight="1">
      <c r="A24" s="110" t="s">
        <v>44</v>
      </c>
      <c r="B24" s="111"/>
      <c r="C24" s="111"/>
      <c r="D24" s="111"/>
      <c r="E24" s="111"/>
      <c r="F24" s="14"/>
      <c r="G24" s="14"/>
      <c r="H24" s="40">
        <f t="shared" si="0"/>
        <v>9.0909090909090912E-2</v>
      </c>
      <c r="I24" s="40">
        <f t="shared" si="1"/>
        <v>0</v>
      </c>
      <c r="J24" s="112" t="s">
        <v>36</v>
      </c>
      <c r="K24" s="112"/>
      <c r="L24" s="112"/>
    </row>
    <row r="25" spans="1:12" ht="51.75" customHeight="1">
      <c r="A25" s="110" t="s">
        <v>45</v>
      </c>
      <c r="B25" s="111"/>
      <c r="C25" s="111"/>
      <c r="D25" s="111"/>
      <c r="E25" s="111"/>
      <c r="F25" s="14"/>
      <c r="G25" s="14"/>
      <c r="H25" s="40">
        <f t="shared" si="0"/>
        <v>9.0909090909090912E-2</v>
      </c>
      <c r="I25" s="40">
        <f t="shared" si="1"/>
        <v>0</v>
      </c>
      <c r="J25" s="112" t="s">
        <v>36</v>
      </c>
      <c r="K25" s="112"/>
      <c r="L25" s="112"/>
    </row>
    <row r="26" spans="1:12" ht="43.5" customHeight="1">
      <c r="A26" s="110" t="s">
        <v>46</v>
      </c>
      <c r="B26" s="111"/>
      <c r="C26" s="111"/>
      <c r="D26" s="111"/>
      <c r="E26" s="111"/>
      <c r="F26" s="14"/>
      <c r="G26" s="50"/>
      <c r="H26" s="68">
        <f t="shared" si="0"/>
        <v>9.0909090909090912E-2</v>
      </c>
      <c r="I26" s="68">
        <f t="shared" si="1"/>
        <v>0</v>
      </c>
      <c r="J26" s="112"/>
      <c r="K26" s="112"/>
      <c r="L26" s="112"/>
    </row>
    <row r="27" spans="1:12">
      <c r="A27" s="43"/>
      <c r="B27" s="43"/>
      <c r="C27" s="43"/>
      <c r="D27" s="43"/>
      <c r="E27" s="43"/>
      <c r="F27" s="43"/>
      <c r="G27" s="69" t="s">
        <v>33</v>
      </c>
      <c r="H27" s="70">
        <v>1</v>
      </c>
      <c r="I27" s="71">
        <f>SUM(I16:I26)</f>
        <v>0</v>
      </c>
      <c r="J27" s="43"/>
      <c r="K27" s="116"/>
      <c r="L27" s="116"/>
    </row>
    <row r="28" spans="1:12" ht="15.75" thickBo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</row>
    <row r="29" spans="1:12" ht="15.75" thickBot="1">
      <c r="A29" s="43"/>
      <c r="B29" s="43"/>
      <c r="C29" s="43"/>
      <c r="D29" s="43"/>
      <c r="E29" s="43"/>
      <c r="F29" s="113" t="s">
        <v>47</v>
      </c>
      <c r="G29" s="113"/>
      <c r="H29" s="113"/>
      <c r="I29" s="60">
        <f>AVERAGE(I13,I27)</f>
        <v>0</v>
      </c>
      <c r="J29" s="43"/>
      <c r="K29" s="43"/>
      <c r="L29" s="43"/>
    </row>
    <row r="30" spans="1:12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</row>
    <row r="31" spans="1:12" ht="20.100000000000001" customHeight="1">
      <c r="A31" s="107" t="s">
        <v>48</v>
      </c>
      <c r="B31" s="108"/>
      <c r="C31" s="108"/>
      <c r="D31" s="108"/>
      <c r="E31" s="55"/>
      <c r="F31" s="43"/>
      <c r="G31" s="43"/>
      <c r="H31" s="43"/>
      <c r="I31" s="43"/>
      <c r="J31" s="43"/>
      <c r="K31" s="43"/>
      <c r="L31" s="43"/>
    </row>
    <row r="32" spans="1:12" ht="20.100000000000001" customHeight="1" thickBot="1">
      <c r="A32" s="57">
        <v>1</v>
      </c>
      <c r="B32" s="106" t="s">
        <v>49</v>
      </c>
      <c r="C32" s="106"/>
      <c r="D32" s="58"/>
      <c r="E32" s="56"/>
      <c r="F32" s="43"/>
      <c r="G32" s="105" t="s">
        <v>50</v>
      </c>
      <c r="H32" s="105"/>
      <c r="I32" s="105"/>
      <c r="J32" s="105"/>
      <c r="K32" s="53"/>
      <c r="L32" s="53"/>
    </row>
    <row r="33" spans="1:12" ht="20.100000000000001" customHeight="1">
      <c r="A33" s="57">
        <v>2</v>
      </c>
      <c r="B33" s="106" t="s">
        <v>51</v>
      </c>
      <c r="C33" s="106"/>
      <c r="D33" s="57"/>
      <c r="E33" s="56"/>
      <c r="F33" s="43"/>
      <c r="G33" s="62"/>
      <c r="H33" s="62"/>
      <c r="I33" s="62"/>
      <c r="J33" s="62"/>
      <c r="K33" s="43"/>
      <c r="L33" s="43"/>
    </row>
    <row r="34" spans="1:12" ht="20.100000000000001" customHeight="1" thickBot="1">
      <c r="A34" s="57">
        <v>3</v>
      </c>
      <c r="B34" s="106" t="s">
        <v>52</v>
      </c>
      <c r="C34" s="106"/>
      <c r="D34" s="57"/>
      <c r="E34" s="56"/>
      <c r="F34" s="43"/>
      <c r="G34" s="104" t="s">
        <v>53</v>
      </c>
      <c r="H34" s="104"/>
      <c r="I34" s="104"/>
      <c r="J34" s="104"/>
      <c r="K34" s="52"/>
      <c r="L34" s="53"/>
    </row>
    <row r="35" spans="1:12" ht="20.100000000000001" customHeight="1">
      <c r="A35" s="57">
        <v>4</v>
      </c>
      <c r="B35" s="106" t="s">
        <v>54</v>
      </c>
      <c r="C35" s="106"/>
      <c r="D35" s="57"/>
      <c r="E35" s="56"/>
      <c r="F35" s="43"/>
      <c r="G35" s="62"/>
      <c r="H35" s="62"/>
      <c r="I35" s="62"/>
      <c r="J35" s="62"/>
      <c r="K35" s="43"/>
      <c r="L35" s="43"/>
    </row>
    <row r="36" spans="1:12" ht="20.100000000000001" customHeight="1" thickBot="1">
      <c r="A36" s="57">
        <v>5</v>
      </c>
      <c r="B36" s="106" t="s">
        <v>55</v>
      </c>
      <c r="C36" s="106"/>
      <c r="D36" s="57"/>
      <c r="E36" s="43"/>
      <c r="F36" s="43"/>
      <c r="G36" s="104" t="s">
        <v>56</v>
      </c>
      <c r="H36" s="104"/>
      <c r="I36" s="104"/>
      <c r="J36" s="104"/>
      <c r="K36" s="53"/>
      <c r="L36" s="53"/>
    </row>
    <row r="37" spans="1:12" ht="20.100000000000001" customHeight="1">
      <c r="A37" s="59">
        <v>6</v>
      </c>
      <c r="B37" s="106" t="s">
        <v>57</v>
      </c>
      <c r="C37" s="106"/>
      <c r="D37" s="57"/>
      <c r="E37" s="43"/>
      <c r="F37" s="43"/>
      <c r="G37" s="61" t="s">
        <v>36</v>
      </c>
      <c r="H37" s="61"/>
      <c r="J37" s="61"/>
      <c r="K37" s="61"/>
      <c r="L37" s="61"/>
    </row>
    <row r="38" spans="1:12">
      <c r="A38" s="43"/>
      <c r="B38" s="43"/>
      <c r="C38" s="43"/>
      <c r="D38" s="43"/>
      <c r="E38" s="43"/>
      <c r="F38" s="43"/>
      <c r="G38" s="61"/>
      <c r="H38" s="61"/>
      <c r="I38" s="61"/>
      <c r="J38" s="61"/>
      <c r="K38" s="61"/>
      <c r="L38" s="61"/>
    </row>
    <row r="39" spans="1:12">
      <c r="A39" s="43"/>
      <c r="B39" s="43"/>
      <c r="C39" s="43"/>
      <c r="D39" s="43"/>
      <c r="E39" s="43"/>
      <c r="F39" s="43"/>
      <c r="G39" s="61"/>
      <c r="H39" s="61"/>
      <c r="I39" s="61"/>
      <c r="J39" s="61"/>
      <c r="K39" s="61"/>
      <c r="L39" s="61"/>
    </row>
    <row r="40" spans="1:12">
      <c r="A40" s="43"/>
      <c r="B40" s="43"/>
      <c r="C40" s="43"/>
      <c r="D40" s="43"/>
      <c r="E40" s="43"/>
      <c r="F40" s="43"/>
      <c r="G40" s="61"/>
      <c r="H40" s="61"/>
      <c r="I40" s="61"/>
      <c r="J40" s="61"/>
      <c r="K40" s="61"/>
      <c r="L40" s="61"/>
    </row>
    <row r="41" spans="1:1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</sheetData>
  <mergeCells count="48">
    <mergeCell ref="J9:L9"/>
    <mergeCell ref="J12:L12"/>
    <mergeCell ref="A15:E15"/>
    <mergeCell ref="J15:L15"/>
    <mergeCell ref="A8:E8"/>
    <mergeCell ref="J8:L8"/>
    <mergeCell ref="A12:E12"/>
    <mergeCell ref="A11:E11"/>
    <mergeCell ref="J11:L11"/>
    <mergeCell ref="A10:E10"/>
    <mergeCell ref="J10:L10"/>
    <mergeCell ref="A9:E9"/>
    <mergeCell ref="A25:E25"/>
    <mergeCell ref="J13:L13"/>
    <mergeCell ref="J16:L16"/>
    <mergeCell ref="A17:E17"/>
    <mergeCell ref="J17:L17"/>
    <mergeCell ref="A16:E16"/>
    <mergeCell ref="A23:E23"/>
    <mergeCell ref="J23:L23"/>
    <mergeCell ref="A18:E18"/>
    <mergeCell ref="J18:L18"/>
    <mergeCell ref="A19:E19"/>
    <mergeCell ref="J19:L19"/>
    <mergeCell ref="B37:C37"/>
    <mergeCell ref="A31:D31"/>
    <mergeCell ref="A5:L7"/>
    <mergeCell ref="A24:E24"/>
    <mergeCell ref="J24:L24"/>
    <mergeCell ref="J25:L25"/>
    <mergeCell ref="F29:H29"/>
    <mergeCell ref="A26:E26"/>
    <mergeCell ref="A22:E22"/>
    <mergeCell ref="J22:L22"/>
    <mergeCell ref="J26:L26"/>
    <mergeCell ref="K27:L27"/>
    <mergeCell ref="A20:E20"/>
    <mergeCell ref="J20:L20"/>
    <mergeCell ref="A21:E21"/>
    <mergeCell ref="J21:L21"/>
    <mergeCell ref="G36:J36"/>
    <mergeCell ref="G32:J32"/>
    <mergeCell ref="G34:J34"/>
    <mergeCell ref="B32:C32"/>
    <mergeCell ref="B33:C33"/>
    <mergeCell ref="B34:C34"/>
    <mergeCell ref="B35:C35"/>
    <mergeCell ref="B36:C36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19" max="1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BD3F-8269-44AC-974D-1556347E36DA}">
  <sheetPr>
    <tabColor rgb="FF00FF00"/>
  </sheetPr>
  <dimension ref="A1:L36"/>
  <sheetViews>
    <sheetView zoomScale="106" zoomScaleNormal="106" zoomScaleSheetLayoutView="90" zoomScalePageLayoutView="90" workbookViewId="0">
      <selection activeCell="J18" sqref="J18:L18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58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63.75" customHeight="1">
      <c r="A9" s="122" t="s">
        <v>59</v>
      </c>
      <c r="B9" s="122"/>
      <c r="C9" s="122"/>
      <c r="D9" s="122"/>
      <c r="E9" s="122"/>
      <c r="F9" s="6"/>
      <c r="G9" s="36"/>
      <c r="H9" s="73">
        <v>0.25</v>
      </c>
      <c r="I9" s="73">
        <f>IF(F9&gt;0,H9,0%)</f>
        <v>0</v>
      </c>
      <c r="J9" s="119"/>
      <c r="K9" s="119"/>
      <c r="L9" s="119"/>
    </row>
    <row r="10" spans="1:12" ht="51.75" customHeight="1">
      <c r="A10" s="122" t="s">
        <v>60</v>
      </c>
      <c r="B10" s="123"/>
      <c r="C10" s="123"/>
      <c r="D10" s="123"/>
      <c r="E10" s="123"/>
      <c r="F10" s="6"/>
      <c r="G10" s="36"/>
      <c r="H10" s="73">
        <v>0.25</v>
      </c>
      <c r="I10" s="73">
        <f>IF(F10&gt;0,H10,0%)</f>
        <v>0</v>
      </c>
      <c r="J10" s="124"/>
      <c r="K10" s="125"/>
      <c r="L10" s="125"/>
    </row>
    <row r="11" spans="1:12" ht="51.75" customHeight="1">
      <c r="A11" s="110" t="s">
        <v>61</v>
      </c>
      <c r="B11" s="111"/>
      <c r="C11" s="111"/>
      <c r="D11" s="111"/>
      <c r="E11" s="111"/>
      <c r="F11" s="6"/>
      <c r="G11" s="36"/>
      <c r="H11" s="73">
        <v>0.25</v>
      </c>
      <c r="I11" s="73">
        <f>IF(F11&gt;0,H11,0%)</f>
        <v>0</v>
      </c>
      <c r="J11" s="120"/>
      <c r="K11" s="120"/>
      <c r="L11" s="120"/>
    </row>
    <row r="12" spans="1:12" ht="60.75" customHeight="1">
      <c r="A12" s="110" t="s">
        <v>62</v>
      </c>
      <c r="B12" s="111"/>
      <c r="C12" s="111"/>
      <c r="D12" s="111"/>
      <c r="E12" s="111"/>
      <c r="F12" s="6"/>
      <c r="G12" s="36"/>
      <c r="H12" s="73">
        <v>0.25</v>
      </c>
      <c r="I12" s="73">
        <f>IF(F12&gt;0,H12,0%)</f>
        <v>0</v>
      </c>
      <c r="J12" s="120"/>
      <c r="K12" s="120"/>
      <c r="L12" s="120"/>
    </row>
    <row r="13" spans="1:12">
      <c r="A13" s="43"/>
      <c r="B13" s="43"/>
      <c r="C13" s="43"/>
      <c r="D13" s="43"/>
      <c r="E13" s="43"/>
      <c r="F13" s="43"/>
      <c r="G13" s="72" t="s">
        <v>33</v>
      </c>
      <c r="H13" s="70">
        <v>1</v>
      </c>
      <c r="I13" s="71">
        <f>SUM(I9:I12)</f>
        <v>0</v>
      </c>
      <c r="J13" s="116"/>
      <c r="K13" s="116"/>
      <c r="L13" s="116"/>
    </row>
    <row r="14" spans="1:12">
      <c r="A14" s="43"/>
      <c r="B14" s="43"/>
      <c r="C14" s="43"/>
      <c r="D14" s="43"/>
      <c r="E14" s="43"/>
      <c r="F14" s="43"/>
      <c r="H14" s="43"/>
      <c r="I14" s="51"/>
      <c r="J14" s="54"/>
      <c r="K14" s="54"/>
      <c r="L14" s="54"/>
    </row>
    <row r="15" spans="1:12">
      <c r="A15" s="121" t="s">
        <v>34</v>
      </c>
      <c r="B15" s="121"/>
      <c r="C15" s="121"/>
      <c r="D15" s="121"/>
      <c r="E15" s="121"/>
      <c r="F15" s="64" t="s">
        <v>24</v>
      </c>
      <c r="G15" s="64" t="s">
        <v>25</v>
      </c>
      <c r="H15" s="64" t="s">
        <v>26</v>
      </c>
      <c r="I15" s="64" t="s">
        <v>27</v>
      </c>
      <c r="J15" s="121" t="s">
        <v>28</v>
      </c>
      <c r="K15" s="121"/>
      <c r="L15" s="121"/>
    </row>
    <row r="16" spans="1:12" ht="44.25" customHeight="1">
      <c r="A16" s="110" t="s">
        <v>63</v>
      </c>
      <c r="B16" s="111"/>
      <c r="C16" s="111"/>
      <c r="D16" s="111"/>
      <c r="E16" s="111"/>
      <c r="F16" s="14"/>
      <c r="G16" s="49"/>
      <c r="H16" s="40">
        <v>0.16669999999999999</v>
      </c>
      <c r="I16" s="40">
        <v>0</v>
      </c>
      <c r="J16" s="117" t="s">
        <v>36</v>
      </c>
      <c r="K16" s="117"/>
      <c r="L16" s="117"/>
    </row>
    <row r="17" spans="1:12" ht="40.5" customHeight="1">
      <c r="A17" s="110" t="s">
        <v>64</v>
      </c>
      <c r="B17" s="111"/>
      <c r="C17" s="111"/>
      <c r="D17" s="111"/>
      <c r="E17" s="111"/>
      <c r="F17" s="14"/>
      <c r="G17" s="14"/>
      <c r="H17" s="40">
        <v>0.16669999999999999</v>
      </c>
      <c r="I17" s="40">
        <f>IF(F17&gt;0,H17,0%)</f>
        <v>0</v>
      </c>
      <c r="J17" s="118" t="s">
        <v>36</v>
      </c>
      <c r="K17" s="118"/>
      <c r="L17" s="118"/>
    </row>
    <row r="18" spans="1:12" ht="51" customHeight="1">
      <c r="A18" s="110" t="s">
        <v>65</v>
      </c>
      <c r="B18" s="111"/>
      <c r="C18" s="111"/>
      <c r="D18" s="111"/>
      <c r="E18" s="111"/>
      <c r="F18" s="14"/>
      <c r="G18" s="14"/>
      <c r="H18" s="40">
        <v>0.16669999999999999</v>
      </c>
      <c r="I18" s="40">
        <v>0</v>
      </c>
      <c r="J18" s="118" t="s">
        <v>36</v>
      </c>
      <c r="K18" s="118"/>
      <c r="L18" s="118"/>
    </row>
    <row r="19" spans="1:12" ht="51" customHeight="1">
      <c r="A19" s="110" t="s">
        <v>66</v>
      </c>
      <c r="B19" s="111"/>
      <c r="C19" s="111"/>
      <c r="D19" s="111"/>
      <c r="E19" s="111"/>
      <c r="F19" s="14"/>
      <c r="G19" s="14"/>
      <c r="H19" s="40">
        <v>0.16669999999999999</v>
      </c>
      <c r="I19" s="40">
        <f>IF(F19&gt;0,H19,0%)</f>
        <v>0</v>
      </c>
      <c r="J19" s="118" t="s">
        <v>36</v>
      </c>
      <c r="K19" s="118"/>
      <c r="L19" s="118"/>
    </row>
    <row r="20" spans="1:12" ht="49.5" customHeight="1">
      <c r="A20" s="110" t="s">
        <v>67</v>
      </c>
      <c r="B20" s="111"/>
      <c r="C20" s="111"/>
      <c r="D20" s="111"/>
      <c r="E20" s="111"/>
      <c r="F20" s="14"/>
      <c r="G20" s="14"/>
      <c r="H20" s="40">
        <v>0.16669999999999999</v>
      </c>
      <c r="I20" s="40">
        <f>IF(F20&gt;0,H20,0%)</f>
        <v>0</v>
      </c>
      <c r="J20" s="112"/>
      <c r="K20" s="112"/>
      <c r="L20" s="112"/>
    </row>
    <row r="21" spans="1:12" ht="55.5" customHeight="1">
      <c r="A21" s="129" t="s">
        <v>68</v>
      </c>
      <c r="B21" s="130"/>
      <c r="C21" s="130"/>
      <c r="D21" s="130"/>
      <c r="E21" s="131"/>
      <c r="F21" s="14"/>
      <c r="G21" s="14"/>
      <c r="H21" s="40">
        <v>0.16669999999999999</v>
      </c>
      <c r="I21" s="40">
        <f>IF(F21&gt;0,H21,0%)</f>
        <v>0</v>
      </c>
      <c r="J21" s="126"/>
      <c r="K21" s="127"/>
      <c r="L21" s="128"/>
    </row>
    <row r="22" spans="1:12">
      <c r="A22" s="43"/>
      <c r="B22" s="43"/>
      <c r="C22" s="43"/>
      <c r="D22" s="43"/>
      <c r="E22" s="43"/>
      <c r="F22" s="43"/>
      <c r="G22" s="69" t="s">
        <v>33</v>
      </c>
      <c r="H22" s="70">
        <v>1</v>
      </c>
      <c r="I22" s="71">
        <f>SUM(I16:I21)</f>
        <v>0</v>
      </c>
      <c r="J22" s="43"/>
      <c r="K22" s="116"/>
      <c r="L22" s="116"/>
    </row>
    <row r="23" spans="1:12" ht="15.75" thickBo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15.75" thickBot="1">
      <c r="A24" s="43"/>
      <c r="B24" s="43"/>
      <c r="C24" s="43"/>
      <c r="D24" s="43"/>
      <c r="E24" s="43"/>
      <c r="F24" s="113" t="s">
        <v>47</v>
      </c>
      <c r="G24" s="113"/>
      <c r="H24" s="113"/>
      <c r="I24" s="60">
        <f>AVERAGE(I13,I22)</f>
        <v>0</v>
      </c>
      <c r="J24" s="43"/>
      <c r="K24" s="43"/>
      <c r="L24" s="43"/>
    </row>
    <row r="25" spans="1:1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2" ht="20.100000000000001" customHeight="1">
      <c r="A26" s="107" t="s">
        <v>48</v>
      </c>
      <c r="B26" s="108"/>
      <c r="C26" s="108"/>
      <c r="D26" s="108"/>
      <c r="E26" s="55"/>
      <c r="F26" s="43"/>
      <c r="G26" s="43"/>
      <c r="H26" s="43"/>
      <c r="I26" s="43"/>
      <c r="J26" s="43"/>
      <c r="K26" s="43"/>
      <c r="L26" s="43"/>
    </row>
    <row r="27" spans="1:12" ht="20.100000000000001" customHeight="1" thickBot="1">
      <c r="A27" s="57">
        <v>1</v>
      </c>
      <c r="B27" s="106" t="s">
        <v>49</v>
      </c>
      <c r="C27" s="106"/>
      <c r="D27" s="58"/>
      <c r="E27" s="56"/>
      <c r="F27" s="43"/>
      <c r="G27" s="105" t="s">
        <v>50</v>
      </c>
      <c r="H27" s="105"/>
      <c r="I27" s="105"/>
      <c r="J27" s="105"/>
      <c r="K27" s="53"/>
      <c r="L27" s="53"/>
    </row>
    <row r="28" spans="1:12" ht="20.100000000000001" customHeight="1">
      <c r="A28" s="57">
        <v>2</v>
      </c>
      <c r="B28" s="106" t="s">
        <v>51</v>
      </c>
      <c r="C28" s="106"/>
      <c r="D28" s="57"/>
      <c r="E28" s="56"/>
      <c r="F28" s="43"/>
      <c r="G28" s="62"/>
      <c r="H28" s="62"/>
      <c r="I28" s="62"/>
      <c r="J28" s="62"/>
      <c r="K28" s="43"/>
      <c r="L28" s="43"/>
    </row>
    <row r="29" spans="1:12" ht="20.100000000000001" customHeight="1" thickBot="1">
      <c r="A29" s="57">
        <v>3</v>
      </c>
      <c r="B29" s="106" t="s">
        <v>52</v>
      </c>
      <c r="C29" s="106"/>
      <c r="D29" s="57"/>
      <c r="E29" s="56"/>
      <c r="F29" s="43"/>
      <c r="G29" s="104" t="s">
        <v>53</v>
      </c>
      <c r="H29" s="104"/>
      <c r="I29" s="104"/>
      <c r="J29" s="104"/>
      <c r="K29" s="52"/>
      <c r="L29" s="53"/>
    </row>
    <row r="30" spans="1:12" ht="20.100000000000001" customHeight="1">
      <c r="A30" s="57">
        <v>4</v>
      </c>
      <c r="B30" s="106" t="s">
        <v>54</v>
      </c>
      <c r="C30" s="106"/>
      <c r="D30" s="57"/>
      <c r="E30" s="56"/>
      <c r="F30" s="43"/>
      <c r="G30" s="62"/>
      <c r="H30" s="62"/>
      <c r="I30" s="62"/>
      <c r="J30" s="62"/>
      <c r="K30" s="43"/>
      <c r="L30" s="43"/>
    </row>
    <row r="31" spans="1:12" ht="20.100000000000001" customHeight="1" thickBot="1">
      <c r="A31" s="57">
        <v>5</v>
      </c>
      <c r="B31" s="106" t="s">
        <v>55</v>
      </c>
      <c r="C31" s="106"/>
      <c r="D31" s="57"/>
      <c r="E31" s="43"/>
      <c r="F31" s="43"/>
      <c r="G31" s="104" t="s">
        <v>56</v>
      </c>
      <c r="H31" s="104"/>
      <c r="I31" s="104"/>
      <c r="J31" s="104"/>
      <c r="K31" s="53"/>
      <c r="L31" s="53"/>
    </row>
    <row r="32" spans="1:12" ht="20.100000000000001" customHeight="1">
      <c r="A32" s="59">
        <v>6</v>
      </c>
      <c r="B32" s="106" t="s">
        <v>57</v>
      </c>
      <c r="C32" s="106"/>
      <c r="D32" s="57"/>
      <c r="E32" s="43"/>
      <c r="F32" s="43"/>
      <c r="G32" s="61" t="s">
        <v>36</v>
      </c>
      <c r="H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61"/>
      <c r="H33" s="61"/>
      <c r="I33" s="61"/>
      <c r="J33" s="61"/>
      <c r="K33" s="61"/>
      <c r="L33" s="61"/>
    </row>
    <row r="34" spans="1:12">
      <c r="A34" s="43"/>
      <c r="B34" s="43"/>
      <c r="C34" s="43"/>
      <c r="D34" s="43"/>
      <c r="E34" s="43"/>
      <c r="F34" s="43"/>
      <c r="G34" s="61"/>
      <c r="H34" s="61"/>
      <c r="I34" s="61"/>
      <c r="J34" s="61"/>
      <c r="K34" s="61"/>
      <c r="L34" s="61"/>
    </row>
    <row r="35" spans="1:12">
      <c r="A35" s="43"/>
      <c r="B35" s="43"/>
      <c r="C35" s="43"/>
      <c r="D35" s="43"/>
      <c r="E35" s="43"/>
      <c r="F35" s="43"/>
      <c r="G35" s="61"/>
      <c r="H35" s="61"/>
      <c r="I35" s="61"/>
      <c r="J35" s="61"/>
      <c r="K35" s="61"/>
      <c r="L35" s="61"/>
    </row>
    <row r="36" spans="1:1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</sheetData>
  <mergeCells count="38">
    <mergeCell ref="A15:E15"/>
    <mergeCell ref="J15:L15"/>
    <mergeCell ref="A5:L7"/>
    <mergeCell ref="A8:E8"/>
    <mergeCell ref="J8:L8"/>
    <mergeCell ref="A9:E9"/>
    <mergeCell ref="J9:L9"/>
    <mergeCell ref="A10:E10"/>
    <mergeCell ref="J10:L10"/>
    <mergeCell ref="A11:E11"/>
    <mergeCell ref="J11:L11"/>
    <mergeCell ref="A12:E12"/>
    <mergeCell ref="J12:L12"/>
    <mergeCell ref="J13:L13"/>
    <mergeCell ref="A19:E19"/>
    <mergeCell ref="J19:L19"/>
    <mergeCell ref="A20:E20"/>
    <mergeCell ref="J20:L20"/>
    <mergeCell ref="A16:E16"/>
    <mergeCell ref="J16:L16"/>
    <mergeCell ref="A17:E17"/>
    <mergeCell ref="J17:L17"/>
    <mergeCell ref="A18:E18"/>
    <mergeCell ref="J18:L18"/>
    <mergeCell ref="B30:C30"/>
    <mergeCell ref="B31:C31"/>
    <mergeCell ref="G31:J31"/>
    <mergeCell ref="B32:C32"/>
    <mergeCell ref="J21:L21"/>
    <mergeCell ref="A21:E21"/>
    <mergeCell ref="A26:D26"/>
    <mergeCell ref="B27:C27"/>
    <mergeCell ref="G27:J27"/>
    <mergeCell ref="B28:C28"/>
    <mergeCell ref="B29:C29"/>
    <mergeCell ref="G29:J29"/>
    <mergeCell ref="K22:L22"/>
    <mergeCell ref="F24:H24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19" max="1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185B-4720-4169-AC17-B40B7C134739}">
  <sheetPr>
    <tabColor rgb="FF00FF00"/>
  </sheetPr>
  <dimension ref="A1:L36"/>
  <sheetViews>
    <sheetView zoomScale="106" zoomScaleNormal="106" zoomScaleSheetLayoutView="90" zoomScalePageLayoutView="90" workbookViewId="0">
      <selection activeCell="J12" sqref="J12:L12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69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63.75" customHeight="1">
      <c r="A9" s="110" t="s">
        <v>70</v>
      </c>
      <c r="B9" s="110"/>
      <c r="C9" s="110"/>
      <c r="D9" s="110"/>
      <c r="E9" s="110"/>
      <c r="F9" s="6"/>
      <c r="G9" s="36"/>
      <c r="H9" s="73">
        <v>0.25</v>
      </c>
      <c r="I9" s="73">
        <f>IF(F9&gt;0,H9,0%)</f>
        <v>0</v>
      </c>
      <c r="J9" s="119"/>
      <c r="K9" s="119"/>
      <c r="L9" s="119"/>
    </row>
    <row r="10" spans="1:12" ht="51.75" customHeight="1">
      <c r="A10" s="110" t="s">
        <v>71</v>
      </c>
      <c r="B10" s="110"/>
      <c r="C10" s="110"/>
      <c r="D10" s="110"/>
      <c r="E10" s="110"/>
      <c r="F10" s="6"/>
      <c r="G10" s="36"/>
      <c r="H10" s="73">
        <v>0.25</v>
      </c>
      <c r="I10" s="73">
        <f>IF(F10&gt;0,H10,0%)</f>
        <v>0</v>
      </c>
      <c r="J10" s="124"/>
      <c r="K10" s="125"/>
      <c r="L10" s="125"/>
    </row>
    <row r="11" spans="1:12" ht="51.75" customHeight="1">
      <c r="A11" s="110" t="s">
        <v>72</v>
      </c>
      <c r="B11" s="110"/>
      <c r="C11" s="110"/>
      <c r="D11" s="110"/>
      <c r="E11" s="110"/>
      <c r="F11" s="6"/>
      <c r="G11" s="36"/>
      <c r="H11" s="73">
        <v>0.25</v>
      </c>
      <c r="I11" s="73">
        <f>IF(F11&gt;0,H11,0%)</f>
        <v>0</v>
      </c>
      <c r="J11" s="120"/>
      <c r="K11" s="120"/>
      <c r="L11" s="120"/>
    </row>
    <row r="12" spans="1:12" ht="60.75" customHeight="1">
      <c r="A12" s="110" t="s">
        <v>73</v>
      </c>
      <c r="B12" s="110"/>
      <c r="C12" s="110"/>
      <c r="D12" s="110"/>
      <c r="E12" s="110"/>
      <c r="F12" s="6"/>
      <c r="G12" s="36"/>
      <c r="H12" s="73">
        <v>0.25</v>
      </c>
      <c r="I12" s="73">
        <f>IF(F12&gt;0,H12,0%)</f>
        <v>0</v>
      </c>
      <c r="J12" s="120"/>
      <c r="K12" s="120"/>
      <c r="L12" s="120"/>
    </row>
    <row r="13" spans="1:12">
      <c r="A13" s="43"/>
      <c r="B13" s="43"/>
      <c r="C13" s="43"/>
      <c r="D13" s="43"/>
      <c r="E13" s="43"/>
      <c r="F13" s="43"/>
      <c r="G13" s="72" t="s">
        <v>33</v>
      </c>
      <c r="H13" s="70">
        <v>1</v>
      </c>
      <c r="I13" s="71">
        <f>SUM(I9:I12)</f>
        <v>0</v>
      </c>
      <c r="J13" s="116"/>
      <c r="K13" s="116"/>
      <c r="L13" s="116"/>
    </row>
    <row r="14" spans="1:12">
      <c r="A14" s="43"/>
      <c r="B14" s="43"/>
      <c r="C14" s="43"/>
      <c r="D14" s="43"/>
      <c r="E14" s="43"/>
      <c r="F14" s="43"/>
      <c r="H14" s="43"/>
      <c r="I14" s="51"/>
      <c r="J14" s="54"/>
      <c r="K14" s="54"/>
      <c r="L14" s="54"/>
    </row>
    <row r="15" spans="1:12">
      <c r="A15" s="121" t="s">
        <v>34</v>
      </c>
      <c r="B15" s="121"/>
      <c r="C15" s="121"/>
      <c r="D15" s="121"/>
      <c r="E15" s="121"/>
      <c r="F15" s="64" t="s">
        <v>24</v>
      </c>
      <c r="G15" s="64" t="s">
        <v>25</v>
      </c>
      <c r="H15" s="64" t="s">
        <v>26</v>
      </c>
      <c r="I15" s="64" t="s">
        <v>27</v>
      </c>
      <c r="J15" s="121" t="s">
        <v>28</v>
      </c>
      <c r="K15" s="121"/>
      <c r="L15" s="121"/>
    </row>
    <row r="16" spans="1:12" ht="44.25" customHeight="1">
      <c r="A16" s="110" t="s">
        <v>74</v>
      </c>
      <c r="B16" s="110"/>
      <c r="C16" s="110"/>
      <c r="D16" s="110"/>
      <c r="E16" s="110"/>
      <c r="F16" s="14"/>
      <c r="G16" s="49"/>
      <c r="H16" s="40">
        <v>0.16669999999999999</v>
      </c>
      <c r="I16" s="40">
        <v>0</v>
      </c>
      <c r="J16" s="117" t="s">
        <v>36</v>
      </c>
      <c r="K16" s="117"/>
      <c r="L16" s="117"/>
    </row>
    <row r="17" spans="1:12" ht="63" customHeight="1">
      <c r="A17" s="110" t="s">
        <v>75</v>
      </c>
      <c r="B17" s="110"/>
      <c r="C17" s="110"/>
      <c r="D17" s="110"/>
      <c r="E17" s="110"/>
      <c r="F17" s="14"/>
      <c r="G17" s="14"/>
      <c r="H17" s="40">
        <v>0.16669999999999999</v>
      </c>
      <c r="I17" s="40">
        <f>IF(F17&gt;0,H17,0%)</f>
        <v>0</v>
      </c>
      <c r="J17" s="118" t="s">
        <v>36</v>
      </c>
      <c r="K17" s="118"/>
      <c r="L17" s="118"/>
    </row>
    <row r="18" spans="1:12" ht="51" customHeight="1">
      <c r="A18" s="110" t="s">
        <v>76</v>
      </c>
      <c r="B18" s="110"/>
      <c r="C18" s="110"/>
      <c r="D18" s="110"/>
      <c r="E18" s="110"/>
      <c r="F18" s="14"/>
      <c r="G18" s="14"/>
      <c r="H18" s="40">
        <v>0.16669999999999999</v>
      </c>
      <c r="I18" s="40">
        <v>0</v>
      </c>
      <c r="J18" s="118" t="s">
        <v>36</v>
      </c>
      <c r="K18" s="118"/>
      <c r="L18" s="118"/>
    </row>
    <row r="19" spans="1:12" ht="51" customHeight="1">
      <c r="A19" s="110" t="s">
        <v>77</v>
      </c>
      <c r="B19" s="110"/>
      <c r="C19" s="110"/>
      <c r="D19" s="110"/>
      <c r="E19" s="110"/>
      <c r="F19" s="14"/>
      <c r="G19" s="14"/>
      <c r="H19" s="40">
        <v>0.16669999999999999</v>
      </c>
      <c r="I19" s="40">
        <f>IF(F19&gt;0,H19,0%)</f>
        <v>0</v>
      </c>
      <c r="J19" s="118" t="s">
        <v>36</v>
      </c>
      <c r="K19" s="118"/>
      <c r="L19" s="118"/>
    </row>
    <row r="20" spans="1:12" ht="86.25" customHeight="1">
      <c r="A20" s="110" t="s">
        <v>78</v>
      </c>
      <c r="B20" s="110"/>
      <c r="C20" s="110"/>
      <c r="D20" s="110"/>
      <c r="E20" s="110"/>
      <c r="F20" s="14"/>
      <c r="G20" s="14"/>
      <c r="H20" s="40">
        <v>0.16669999999999999</v>
      </c>
      <c r="I20" s="40">
        <f>IF(F20&gt;0,H20,0%)</f>
        <v>0</v>
      </c>
      <c r="J20" s="112"/>
      <c r="K20" s="112"/>
      <c r="L20" s="112"/>
    </row>
    <row r="21" spans="1:12" ht="55.5" customHeight="1">
      <c r="A21" s="110" t="s">
        <v>79</v>
      </c>
      <c r="B21" s="110"/>
      <c r="C21" s="110"/>
      <c r="D21" s="110"/>
      <c r="E21" s="110"/>
      <c r="F21" s="14"/>
      <c r="G21" s="14"/>
      <c r="H21" s="40">
        <v>0.16669999999999999</v>
      </c>
      <c r="I21" s="40">
        <f>IF(F21&gt;0,H21,0%)</f>
        <v>0</v>
      </c>
      <c r="J21" s="126"/>
      <c r="K21" s="127"/>
      <c r="L21" s="128"/>
    </row>
    <row r="22" spans="1:12">
      <c r="A22" s="43"/>
      <c r="B22" s="43"/>
      <c r="C22" s="43"/>
      <c r="D22" s="43"/>
      <c r="E22" s="43"/>
      <c r="F22" s="43"/>
      <c r="G22" s="69" t="s">
        <v>33</v>
      </c>
      <c r="H22" s="70">
        <v>1</v>
      </c>
      <c r="I22" s="71">
        <f>SUM(I16:I21)</f>
        <v>0</v>
      </c>
      <c r="J22" s="43"/>
      <c r="K22" s="116"/>
      <c r="L22" s="116"/>
    </row>
    <row r="23" spans="1:12" ht="15.75" thickBo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15.75" thickBot="1">
      <c r="A24" s="43"/>
      <c r="B24" s="43"/>
      <c r="C24" s="43"/>
      <c r="D24" s="43"/>
      <c r="E24" s="43"/>
      <c r="F24" s="113" t="s">
        <v>47</v>
      </c>
      <c r="G24" s="113"/>
      <c r="H24" s="113"/>
      <c r="I24" s="60">
        <f>AVERAGE(I13,I22)</f>
        <v>0</v>
      </c>
      <c r="J24" s="43"/>
      <c r="K24" s="43"/>
      <c r="L24" s="43"/>
    </row>
    <row r="25" spans="1:1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2" ht="20.100000000000001" customHeight="1">
      <c r="A26" s="107" t="s">
        <v>48</v>
      </c>
      <c r="B26" s="108"/>
      <c r="C26" s="108"/>
      <c r="D26" s="108"/>
      <c r="E26" s="55"/>
      <c r="F26" s="43"/>
      <c r="G26" s="43"/>
      <c r="H26" s="43"/>
      <c r="I26" s="43"/>
      <c r="J26" s="43"/>
      <c r="K26" s="43"/>
      <c r="L26" s="43"/>
    </row>
    <row r="27" spans="1:12" ht="20.100000000000001" customHeight="1" thickBot="1">
      <c r="A27" s="57">
        <v>1</v>
      </c>
      <c r="B27" s="106" t="s">
        <v>49</v>
      </c>
      <c r="C27" s="106"/>
      <c r="D27" s="58"/>
      <c r="E27" s="56"/>
      <c r="F27" s="43"/>
      <c r="G27" s="105" t="s">
        <v>50</v>
      </c>
      <c r="H27" s="105"/>
      <c r="I27" s="105"/>
      <c r="J27" s="105"/>
      <c r="K27" s="53"/>
      <c r="L27" s="53"/>
    </row>
    <row r="28" spans="1:12" ht="20.100000000000001" customHeight="1">
      <c r="A28" s="57">
        <v>2</v>
      </c>
      <c r="B28" s="106" t="s">
        <v>51</v>
      </c>
      <c r="C28" s="106"/>
      <c r="D28" s="57"/>
      <c r="E28" s="56"/>
      <c r="F28" s="43"/>
      <c r="G28" s="62"/>
      <c r="H28" s="62"/>
      <c r="I28" s="62"/>
      <c r="J28" s="62"/>
      <c r="K28" s="43"/>
      <c r="L28" s="43"/>
    </row>
    <row r="29" spans="1:12" ht="20.100000000000001" customHeight="1" thickBot="1">
      <c r="A29" s="57">
        <v>3</v>
      </c>
      <c r="B29" s="106" t="s">
        <v>52</v>
      </c>
      <c r="C29" s="106"/>
      <c r="D29" s="57"/>
      <c r="E29" s="56"/>
      <c r="F29" s="43"/>
      <c r="G29" s="104" t="s">
        <v>53</v>
      </c>
      <c r="H29" s="104"/>
      <c r="I29" s="104"/>
      <c r="J29" s="104"/>
      <c r="K29" s="52"/>
      <c r="L29" s="53"/>
    </row>
    <row r="30" spans="1:12" ht="20.100000000000001" customHeight="1">
      <c r="A30" s="57">
        <v>4</v>
      </c>
      <c r="B30" s="106" t="s">
        <v>54</v>
      </c>
      <c r="C30" s="106"/>
      <c r="D30" s="57"/>
      <c r="E30" s="56"/>
      <c r="F30" s="43"/>
      <c r="G30" s="62"/>
      <c r="H30" s="62"/>
      <c r="I30" s="62"/>
      <c r="J30" s="62"/>
      <c r="K30" s="43"/>
      <c r="L30" s="43"/>
    </row>
    <row r="31" spans="1:12" ht="20.100000000000001" customHeight="1" thickBot="1">
      <c r="A31" s="57">
        <v>5</v>
      </c>
      <c r="B31" s="106" t="s">
        <v>55</v>
      </c>
      <c r="C31" s="106"/>
      <c r="D31" s="57"/>
      <c r="E31" s="43"/>
      <c r="F31" s="43"/>
      <c r="G31" s="104" t="s">
        <v>56</v>
      </c>
      <c r="H31" s="104"/>
      <c r="I31" s="104"/>
      <c r="J31" s="104"/>
      <c r="K31" s="53"/>
      <c r="L31" s="53"/>
    </row>
    <row r="32" spans="1:12" ht="20.100000000000001" customHeight="1">
      <c r="A32" s="59">
        <v>6</v>
      </c>
      <c r="B32" s="106" t="s">
        <v>57</v>
      </c>
      <c r="C32" s="106"/>
      <c r="D32" s="57"/>
      <c r="E32" s="43"/>
      <c r="F32" s="43"/>
      <c r="G32" s="61" t="s">
        <v>36</v>
      </c>
      <c r="H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61"/>
      <c r="H33" s="61"/>
      <c r="I33" s="61"/>
      <c r="J33" s="61"/>
      <c r="K33" s="61"/>
      <c r="L33" s="61"/>
    </row>
    <row r="34" spans="1:12">
      <c r="A34" s="43"/>
      <c r="B34" s="43"/>
      <c r="C34" s="43"/>
      <c r="D34" s="43"/>
      <c r="E34" s="43"/>
      <c r="F34" s="43"/>
      <c r="G34" s="61"/>
      <c r="H34" s="61"/>
      <c r="I34" s="61"/>
      <c r="J34" s="61"/>
      <c r="K34" s="61"/>
      <c r="L34" s="61"/>
    </row>
    <row r="35" spans="1:12">
      <c r="A35" s="43"/>
      <c r="B35" s="43"/>
      <c r="C35" s="43"/>
      <c r="D35" s="43"/>
      <c r="E35" s="43"/>
      <c r="F35" s="43"/>
      <c r="G35" s="61"/>
      <c r="H35" s="61"/>
      <c r="I35" s="61"/>
      <c r="J35" s="61"/>
      <c r="K35" s="61"/>
      <c r="L35" s="61"/>
    </row>
    <row r="36" spans="1:1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</sheetData>
  <mergeCells count="38">
    <mergeCell ref="A15:E15"/>
    <mergeCell ref="J15:L15"/>
    <mergeCell ref="A5:L7"/>
    <mergeCell ref="A8:E8"/>
    <mergeCell ref="J8:L8"/>
    <mergeCell ref="A9:E9"/>
    <mergeCell ref="J9:L9"/>
    <mergeCell ref="A10:E10"/>
    <mergeCell ref="J10:L10"/>
    <mergeCell ref="A11:E11"/>
    <mergeCell ref="J11:L11"/>
    <mergeCell ref="A12:E12"/>
    <mergeCell ref="J12:L12"/>
    <mergeCell ref="J13:L13"/>
    <mergeCell ref="A16:E16"/>
    <mergeCell ref="J16:L16"/>
    <mergeCell ref="A17:E17"/>
    <mergeCell ref="J17:L17"/>
    <mergeCell ref="A18:E18"/>
    <mergeCell ref="J18:L18"/>
    <mergeCell ref="A19:E19"/>
    <mergeCell ref="J19:L19"/>
    <mergeCell ref="A20:E20"/>
    <mergeCell ref="J20:L20"/>
    <mergeCell ref="A21:E21"/>
    <mergeCell ref="J21:L21"/>
    <mergeCell ref="B32:C32"/>
    <mergeCell ref="K22:L22"/>
    <mergeCell ref="F24:H24"/>
    <mergeCell ref="A26:D26"/>
    <mergeCell ref="B27:C27"/>
    <mergeCell ref="G27:J27"/>
    <mergeCell ref="B28:C28"/>
    <mergeCell ref="B29:C29"/>
    <mergeCell ref="G29:J29"/>
    <mergeCell ref="B30:C30"/>
    <mergeCell ref="B31:C31"/>
    <mergeCell ref="G31:J31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19" max="12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48D8-B141-4A59-818F-18028C7C5AA1}">
  <sheetPr>
    <tabColor rgb="FF00FF00"/>
  </sheetPr>
  <dimension ref="A1:K46"/>
  <sheetViews>
    <sheetView workbookViewId="0">
      <pane xSplit="4" ySplit="7" topLeftCell="E26" activePane="bottomRight" state="frozen"/>
      <selection pane="topRight" sqref="A1:A5"/>
      <selection pane="bottomLeft" sqref="A1:A5"/>
      <selection pane="bottomRight" activeCell="A27" sqref="A27:D27"/>
    </sheetView>
  </sheetViews>
  <sheetFormatPr baseColWidth="10" defaultColWidth="9.140625" defaultRowHeight="15"/>
  <cols>
    <col min="1" max="1" width="15.5703125" customWidth="1"/>
    <col min="2" max="8" width="11.42578125" customWidth="1"/>
    <col min="9" max="9" width="6.5703125" customWidth="1"/>
    <col min="10" max="10" width="26.42578125" customWidth="1"/>
    <col min="11" max="11" width="18.5703125" customWidth="1"/>
    <col min="12" max="256" width="11.42578125" customWidth="1"/>
  </cols>
  <sheetData>
    <row r="1" spans="1:11" ht="21.75" customHeight="1">
      <c r="A1" s="132"/>
      <c r="B1" s="133"/>
      <c r="C1" s="134"/>
      <c r="D1" s="134"/>
      <c r="E1" s="134"/>
      <c r="F1" s="134"/>
      <c r="G1" s="134"/>
      <c r="H1" s="134"/>
      <c r="I1" s="134"/>
      <c r="J1" s="135"/>
      <c r="K1" s="136"/>
    </row>
    <row r="2" spans="1:11" ht="21.75" customHeight="1">
      <c r="A2" s="132"/>
      <c r="B2" s="139" t="s">
        <v>80</v>
      </c>
      <c r="C2" s="140"/>
      <c r="D2" s="140"/>
      <c r="E2" s="140"/>
      <c r="F2" s="140"/>
      <c r="G2" s="140"/>
      <c r="H2" s="140"/>
      <c r="I2" s="140"/>
      <c r="J2" s="141"/>
      <c r="K2" s="137"/>
    </row>
    <row r="3" spans="1:11" ht="17.25" customHeight="1">
      <c r="A3" s="132"/>
      <c r="B3" s="142" t="s">
        <v>81</v>
      </c>
      <c r="C3" s="143"/>
      <c r="D3" s="143"/>
      <c r="E3" s="143"/>
      <c r="F3" s="143"/>
      <c r="G3" s="143"/>
      <c r="H3" s="143"/>
      <c r="I3" s="143"/>
      <c r="J3" s="144"/>
      <c r="K3" s="137"/>
    </row>
    <row r="4" spans="1:11" ht="13.5" customHeight="1">
      <c r="A4" s="132"/>
      <c r="B4" s="142" t="s">
        <v>82</v>
      </c>
      <c r="C4" s="143"/>
      <c r="D4" s="143"/>
      <c r="E4" s="143"/>
      <c r="F4" s="143"/>
      <c r="G4" s="143"/>
      <c r="H4" s="143"/>
      <c r="I4" s="143"/>
      <c r="J4" s="144"/>
      <c r="K4" s="137"/>
    </row>
    <row r="5" spans="1:11" ht="21.75" customHeight="1">
      <c r="A5" s="132"/>
      <c r="B5" s="145" t="s">
        <v>83</v>
      </c>
      <c r="C5" s="146"/>
      <c r="D5" s="146"/>
      <c r="E5" s="146"/>
      <c r="F5" s="146"/>
      <c r="G5" s="146"/>
      <c r="H5" s="146"/>
      <c r="I5" s="146"/>
      <c r="J5" s="147"/>
      <c r="K5" s="138"/>
    </row>
    <row r="6" spans="1:11" ht="15.75" thickBot="1"/>
    <row r="7" spans="1:11">
      <c r="A7" s="148" t="s">
        <v>84</v>
      </c>
      <c r="B7" s="149"/>
      <c r="C7" s="149"/>
      <c r="D7" s="149"/>
      <c r="E7" s="35" t="s">
        <v>24</v>
      </c>
      <c r="F7" s="35" t="s">
        <v>25</v>
      </c>
      <c r="G7" s="35" t="s">
        <v>26</v>
      </c>
      <c r="H7" s="35" t="s">
        <v>27</v>
      </c>
      <c r="I7" s="149" t="s">
        <v>85</v>
      </c>
      <c r="J7" s="149"/>
      <c r="K7" s="150"/>
    </row>
    <row r="8" spans="1:11" ht="48.75" customHeight="1" thickBot="1">
      <c r="A8" s="151" t="s">
        <v>86</v>
      </c>
      <c r="B8" s="152"/>
      <c r="C8" s="152"/>
      <c r="D8" s="152"/>
      <c r="E8" s="6"/>
      <c r="F8" s="36"/>
      <c r="G8" s="31">
        <f t="shared" ref="G8:G16" si="0">$G$18/10</f>
        <v>0.04</v>
      </c>
      <c r="H8" s="30">
        <f>IF(E8&gt;0,G8,0%)</f>
        <v>0</v>
      </c>
      <c r="I8" s="153"/>
      <c r="J8" s="154"/>
      <c r="K8" s="155"/>
    </row>
    <row r="9" spans="1:11" ht="62.25" customHeight="1" thickBot="1">
      <c r="A9" s="151" t="s">
        <v>87</v>
      </c>
      <c r="B9" s="152"/>
      <c r="C9" s="152"/>
      <c r="D9" s="152"/>
      <c r="E9" s="6"/>
      <c r="F9" s="36"/>
      <c r="G9" s="31">
        <f t="shared" si="0"/>
        <v>0.04</v>
      </c>
      <c r="H9" s="30">
        <f t="shared" ref="H9:H17" si="1">IF(E9&gt;0,G9,0%)</f>
        <v>0</v>
      </c>
      <c r="I9" s="156"/>
      <c r="J9" s="157"/>
      <c r="K9" s="158"/>
    </row>
    <row r="10" spans="1:11" ht="36" customHeight="1" thickBot="1">
      <c r="A10" s="151" t="s">
        <v>88</v>
      </c>
      <c r="B10" s="159"/>
      <c r="C10" s="159"/>
      <c r="D10" s="159"/>
      <c r="E10" s="6"/>
      <c r="F10" s="36"/>
      <c r="G10" s="31">
        <f t="shared" si="0"/>
        <v>0.04</v>
      </c>
      <c r="H10" s="30">
        <f t="shared" si="1"/>
        <v>0</v>
      </c>
      <c r="I10" s="153"/>
      <c r="J10" s="154"/>
      <c r="K10" s="155"/>
    </row>
    <row r="11" spans="1:11" ht="42" customHeight="1" thickBot="1">
      <c r="A11" s="151" t="s">
        <v>89</v>
      </c>
      <c r="B11" s="159"/>
      <c r="C11" s="159"/>
      <c r="D11" s="159"/>
      <c r="E11" s="6"/>
      <c r="F11" s="36"/>
      <c r="G11" s="31">
        <f t="shared" si="0"/>
        <v>0.04</v>
      </c>
      <c r="H11" s="30">
        <f t="shared" si="1"/>
        <v>0</v>
      </c>
      <c r="I11" s="156"/>
      <c r="J11" s="157"/>
      <c r="K11" s="158"/>
    </row>
    <row r="12" spans="1:11" ht="62.25" customHeight="1" thickBot="1">
      <c r="A12" s="151" t="s">
        <v>90</v>
      </c>
      <c r="B12" s="159"/>
      <c r="C12" s="159"/>
      <c r="D12" s="159"/>
      <c r="E12" s="6"/>
      <c r="F12" s="36"/>
      <c r="G12" s="31">
        <f t="shared" si="0"/>
        <v>0.04</v>
      </c>
      <c r="H12" s="30">
        <f t="shared" si="1"/>
        <v>0</v>
      </c>
      <c r="I12" s="124"/>
      <c r="J12" s="125"/>
      <c r="K12" s="160"/>
    </row>
    <row r="13" spans="1:11" ht="62.25" customHeight="1" thickBot="1">
      <c r="A13" s="164" t="s">
        <v>91</v>
      </c>
      <c r="B13" s="111"/>
      <c r="C13" s="111"/>
      <c r="D13" s="111"/>
      <c r="E13" s="6"/>
      <c r="F13" s="36"/>
      <c r="G13" s="31">
        <f t="shared" si="0"/>
        <v>0.04</v>
      </c>
      <c r="H13" s="30">
        <f t="shared" si="1"/>
        <v>0</v>
      </c>
      <c r="I13" s="124"/>
      <c r="J13" s="125"/>
      <c r="K13" s="160"/>
    </row>
    <row r="14" spans="1:11" ht="52.5" customHeight="1" thickBot="1">
      <c r="A14" s="164" t="s">
        <v>92</v>
      </c>
      <c r="B14" s="111"/>
      <c r="C14" s="111"/>
      <c r="D14" s="111"/>
      <c r="E14" s="6"/>
      <c r="F14" s="36"/>
      <c r="G14" s="31">
        <f t="shared" si="0"/>
        <v>0.04</v>
      </c>
      <c r="H14" s="30">
        <f t="shared" si="1"/>
        <v>0</v>
      </c>
      <c r="I14" s="124"/>
      <c r="J14" s="125"/>
      <c r="K14" s="160"/>
    </row>
    <row r="15" spans="1:11" ht="54" customHeight="1" thickBot="1">
      <c r="A15" s="164" t="s">
        <v>93</v>
      </c>
      <c r="B15" s="111"/>
      <c r="C15" s="111"/>
      <c r="D15" s="111"/>
      <c r="E15" s="6"/>
      <c r="F15" s="36"/>
      <c r="G15" s="31">
        <f t="shared" si="0"/>
        <v>0.04</v>
      </c>
      <c r="H15" s="30">
        <f t="shared" si="1"/>
        <v>0</v>
      </c>
      <c r="I15" s="120"/>
      <c r="J15" s="120"/>
      <c r="K15" s="165"/>
    </row>
    <row r="16" spans="1:11" ht="53.25" customHeight="1" thickBot="1">
      <c r="A16" s="164" t="s">
        <v>94</v>
      </c>
      <c r="B16" s="111"/>
      <c r="C16" s="111"/>
      <c r="D16" s="111"/>
      <c r="E16" s="6"/>
      <c r="F16" s="36"/>
      <c r="G16" s="31">
        <f t="shared" si="0"/>
        <v>0.04</v>
      </c>
      <c r="H16" s="30">
        <f t="shared" si="1"/>
        <v>0</v>
      </c>
      <c r="I16" s="120"/>
      <c r="J16" s="120"/>
      <c r="K16" s="165"/>
    </row>
    <row r="17" spans="1:11" ht="66" customHeight="1" thickBot="1">
      <c r="A17" s="166" t="s">
        <v>95</v>
      </c>
      <c r="B17" s="167"/>
      <c r="C17" s="167"/>
      <c r="D17" s="167"/>
      <c r="E17" s="8"/>
      <c r="F17" s="37"/>
      <c r="G17" s="31">
        <f>$G$18/10</f>
        <v>0.04</v>
      </c>
      <c r="H17" s="30">
        <f t="shared" si="1"/>
        <v>0</v>
      </c>
      <c r="I17" s="168"/>
      <c r="J17" s="169"/>
      <c r="K17" s="170"/>
    </row>
    <row r="18" spans="1:11" ht="15.75" thickBot="1">
      <c r="F18" s="9" t="s">
        <v>33</v>
      </c>
      <c r="G18" s="41">
        <v>0.4</v>
      </c>
      <c r="H18" s="11">
        <f>SUM(H8:H17)</f>
        <v>0</v>
      </c>
      <c r="I18" s="171"/>
      <c r="J18" s="172"/>
      <c r="K18" s="173"/>
    </row>
    <row r="19" spans="1:11" ht="15.75" thickBot="1">
      <c r="F19" s="12"/>
      <c r="G19" s="13"/>
      <c r="H19" s="13"/>
      <c r="I19" s="23"/>
      <c r="J19" s="23"/>
      <c r="K19" s="23"/>
    </row>
    <row r="20" spans="1:11">
      <c r="A20" s="161" t="s">
        <v>34</v>
      </c>
      <c r="B20" s="162"/>
      <c r="C20" s="162"/>
      <c r="D20" s="162"/>
      <c r="E20" s="39" t="s">
        <v>24</v>
      </c>
      <c r="F20" s="39" t="s">
        <v>25</v>
      </c>
      <c r="G20" s="39" t="s">
        <v>26</v>
      </c>
      <c r="H20" s="39" t="s">
        <v>27</v>
      </c>
      <c r="I20" s="162" t="s">
        <v>85</v>
      </c>
      <c r="J20" s="162"/>
      <c r="K20" s="163"/>
    </row>
    <row r="21" spans="1:11" ht="81" customHeight="1">
      <c r="A21" s="164" t="s">
        <v>35</v>
      </c>
      <c r="B21" s="111"/>
      <c r="C21" s="111"/>
      <c r="D21" s="111"/>
      <c r="E21" s="14"/>
      <c r="F21" s="7"/>
      <c r="G21" s="40">
        <f>$G$33/12</f>
        <v>4.9999999999999996E-2</v>
      </c>
      <c r="H21" s="40">
        <f>IF(E21&gt;0,G21,0%)</f>
        <v>0</v>
      </c>
      <c r="I21" s="175"/>
      <c r="J21" s="176"/>
      <c r="K21" s="177"/>
    </row>
    <row r="22" spans="1:11" ht="41.25" customHeight="1">
      <c r="A22" s="164" t="s">
        <v>96</v>
      </c>
      <c r="B22" s="111"/>
      <c r="C22" s="111"/>
      <c r="D22" s="111"/>
      <c r="E22" s="14"/>
      <c r="F22" s="14"/>
      <c r="G22" s="40">
        <f t="shared" ref="G22:G32" si="2">$G$33/12</f>
        <v>4.9999999999999996E-2</v>
      </c>
      <c r="H22" s="40">
        <f t="shared" ref="H22:H32" si="3">IF(E22&gt;0,G22,0%)</f>
        <v>0</v>
      </c>
      <c r="I22" s="118"/>
      <c r="J22" s="118"/>
      <c r="K22" s="174"/>
    </row>
    <row r="23" spans="1:11" ht="40.5" customHeight="1">
      <c r="A23" s="164" t="s">
        <v>97</v>
      </c>
      <c r="B23" s="111"/>
      <c r="C23" s="111"/>
      <c r="D23" s="111"/>
      <c r="E23" s="14"/>
      <c r="F23" s="14"/>
      <c r="G23" s="40">
        <f t="shared" si="2"/>
        <v>4.9999999999999996E-2</v>
      </c>
      <c r="H23" s="40">
        <f t="shared" si="3"/>
        <v>0</v>
      </c>
      <c r="I23" s="118"/>
      <c r="J23" s="118"/>
      <c r="K23" s="174"/>
    </row>
    <row r="24" spans="1:11" ht="29.25" customHeight="1">
      <c r="A24" s="164" t="s">
        <v>98</v>
      </c>
      <c r="B24" s="111"/>
      <c r="C24" s="111"/>
      <c r="D24" s="111"/>
      <c r="E24" s="14"/>
      <c r="F24" s="14"/>
      <c r="G24" s="40">
        <f t="shared" si="2"/>
        <v>4.9999999999999996E-2</v>
      </c>
      <c r="H24" s="40">
        <f t="shared" si="3"/>
        <v>0</v>
      </c>
      <c r="I24" s="118"/>
      <c r="J24" s="118"/>
      <c r="K24" s="174"/>
    </row>
    <row r="25" spans="1:11" ht="29.25" customHeight="1">
      <c r="A25" s="164" t="s">
        <v>99</v>
      </c>
      <c r="B25" s="111"/>
      <c r="C25" s="111"/>
      <c r="D25" s="111"/>
      <c r="E25" s="14"/>
      <c r="F25" s="14"/>
      <c r="G25" s="40">
        <f t="shared" si="2"/>
        <v>4.9999999999999996E-2</v>
      </c>
      <c r="H25" s="40">
        <f t="shared" si="3"/>
        <v>0</v>
      </c>
      <c r="I25" s="118"/>
      <c r="J25" s="118"/>
      <c r="K25" s="174"/>
    </row>
    <row r="26" spans="1:11" ht="39.75" customHeight="1">
      <c r="A26" s="164" t="s">
        <v>100</v>
      </c>
      <c r="B26" s="111"/>
      <c r="C26" s="111"/>
      <c r="D26" s="111"/>
      <c r="E26" s="14"/>
      <c r="F26" s="14"/>
      <c r="G26" s="40">
        <f t="shared" si="2"/>
        <v>4.9999999999999996E-2</v>
      </c>
      <c r="H26" s="40">
        <f t="shared" si="3"/>
        <v>0</v>
      </c>
      <c r="I26" s="118"/>
      <c r="J26" s="118"/>
      <c r="K26" s="174"/>
    </row>
    <row r="27" spans="1:11" ht="99.75" customHeight="1">
      <c r="A27" s="184" t="s">
        <v>101</v>
      </c>
      <c r="B27" s="115"/>
      <c r="C27" s="115"/>
      <c r="D27" s="115"/>
      <c r="E27" s="14"/>
      <c r="F27" s="14"/>
      <c r="G27" s="40">
        <f t="shared" si="2"/>
        <v>4.9999999999999996E-2</v>
      </c>
      <c r="H27" s="40">
        <f t="shared" si="3"/>
        <v>0</v>
      </c>
      <c r="I27" s="118"/>
      <c r="J27" s="118"/>
      <c r="K27" s="174"/>
    </row>
    <row r="28" spans="1:11" ht="51.75" customHeight="1">
      <c r="A28" s="164" t="s">
        <v>102</v>
      </c>
      <c r="B28" s="111"/>
      <c r="C28" s="111"/>
      <c r="D28" s="111"/>
      <c r="E28" s="14"/>
      <c r="F28" s="14"/>
      <c r="G28" s="40">
        <f t="shared" si="2"/>
        <v>4.9999999999999996E-2</v>
      </c>
      <c r="H28" s="40">
        <f t="shared" si="3"/>
        <v>0</v>
      </c>
      <c r="I28" s="118"/>
      <c r="J28" s="118"/>
      <c r="K28" s="174"/>
    </row>
    <row r="29" spans="1:11" ht="54" customHeight="1">
      <c r="A29" s="164" t="s">
        <v>103</v>
      </c>
      <c r="B29" s="111"/>
      <c r="C29" s="111"/>
      <c r="D29" s="111"/>
      <c r="E29" s="14"/>
      <c r="F29" s="14"/>
      <c r="G29" s="40">
        <f t="shared" si="2"/>
        <v>4.9999999999999996E-2</v>
      </c>
      <c r="H29" s="40">
        <f t="shared" si="3"/>
        <v>0</v>
      </c>
      <c r="I29" s="112"/>
      <c r="J29" s="112"/>
      <c r="K29" s="183"/>
    </row>
    <row r="30" spans="1:11" ht="64.5" customHeight="1">
      <c r="A30" s="164" t="s">
        <v>104</v>
      </c>
      <c r="B30" s="111"/>
      <c r="C30" s="111"/>
      <c r="D30" s="111"/>
      <c r="E30" s="14"/>
      <c r="F30" s="14"/>
      <c r="G30" s="40">
        <f t="shared" si="2"/>
        <v>4.9999999999999996E-2</v>
      </c>
      <c r="H30" s="40">
        <f t="shared" si="3"/>
        <v>0</v>
      </c>
      <c r="I30" s="112"/>
      <c r="J30" s="112"/>
      <c r="K30" s="183"/>
    </row>
    <row r="31" spans="1:11" ht="38.25" customHeight="1">
      <c r="A31" s="164" t="s">
        <v>105</v>
      </c>
      <c r="B31" s="111"/>
      <c r="C31" s="111"/>
      <c r="D31" s="111"/>
      <c r="E31" s="14"/>
      <c r="F31" s="14"/>
      <c r="G31" s="40">
        <f t="shared" si="2"/>
        <v>4.9999999999999996E-2</v>
      </c>
      <c r="H31" s="40">
        <f t="shared" si="3"/>
        <v>0</v>
      </c>
      <c r="I31" s="112"/>
      <c r="J31" s="112"/>
      <c r="K31" s="183"/>
    </row>
    <row r="32" spans="1:11" ht="38.25" customHeight="1" thickBot="1">
      <c r="A32" s="164" t="s">
        <v>106</v>
      </c>
      <c r="B32" s="111"/>
      <c r="C32" s="111"/>
      <c r="D32" s="111"/>
      <c r="E32" s="14"/>
      <c r="F32" s="14"/>
      <c r="G32" s="40">
        <f t="shared" si="2"/>
        <v>4.9999999999999996E-2</v>
      </c>
      <c r="H32" s="40">
        <f t="shared" si="3"/>
        <v>0</v>
      </c>
      <c r="I32" s="112"/>
      <c r="J32" s="112"/>
      <c r="K32" s="183"/>
    </row>
    <row r="33" spans="1:11" ht="15.75" thickBot="1">
      <c r="F33" s="15" t="s">
        <v>33</v>
      </c>
      <c r="G33" s="42">
        <v>0.6</v>
      </c>
      <c r="H33" s="16">
        <f>SUM(H21:H32)</f>
        <v>0</v>
      </c>
      <c r="J33" s="185"/>
      <c r="K33" s="185"/>
    </row>
    <row r="34" spans="1:11" ht="15.75" thickBot="1"/>
    <row r="35" spans="1:11" ht="15.75" thickBot="1">
      <c r="F35" s="178" t="s">
        <v>107</v>
      </c>
      <c r="G35" s="179"/>
      <c r="H35" s="16">
        <f>SUM(H33+H18)</f>
        <v>0</v>
      </c>
    </row>
    <row r="37" spans="1:11" ht="15.75" thickBot="1">
      <c r="A37" s="17" t="s">
        <v>108</v>
      </c>
      <c r="B37" s="38"/>
      <c r="C37" s="38"/>
      <c r="I37" s="180" t="s">
        <v>48</v>
      </c>
      <c r="J37" s="181"/>
      <c r="K37" s="182"/>
    </row>
    <row r="38" spans="1:11">
      <c r="I38" s="24">
        <v>1</v>
      </c>
      <c r="J38" s="3" t="s">
        <v>109</v>
      </c>
      <c r="K38" s="3"/>
    </row>
    <row r="39" spans="1:11" ht="15.75" thickBot="1">
      <c r="A39" s="17" t="s">
        <v>53</v>
      </c>
      <c r="D39" s="38"/>
      <c r="E39" s="38"/>
      <c r="I39" s="24">
        <v>2</v>
      </c>
      <c r="J39" s="3" t="s">
        <v>110</v>
      </c>
      <c r="K39" s="3"/>
    </row>
    <row r="40" spans="1:11">
      <c r="I40" s="24">
        <v>3</v>
      </c>
      <c r="J40" s="3" t="s">
        <v>111</v>
      </c>
      <c r="K40" s="3"/>
    </row>
    <row r="41" spans="1:11">
      <c r="I41" s="24">
        <v>4</v>
      </c>
      <c r="J41" s="3" t="s">
        <v>57</v>
      </c>
      <c r="K41" s="3" t="s">
        <v>112</v>
      </c>
    </row>
    <row r="42" spans="1:11" ht="15.75" thickBot="1">
      <c r="A42" s="17" t="s">
        <v>113</v>
      </c>
      <c r="D42" s="38"/>
      <c r="E42" s="38"/>
      <c r="I42" s="24">
        <v>5</v>
      </c>
      <c r="J42" s="3" t="s">
        <v>114</v>
      </c>
      <c r="K42" s="3"/>
    </row>
    <row r="43" spans="1:11">
      <c r="I43" s="24">
        <v>6</v>
      </c>
      <c r="J43" s="3" t="s">
        <v>115</v>
      </c>
      <c r="K43" s="3"/>
    </row>
    <row r="44" spans="1:11">
      <c r="I44" s="24">
        <v>7</v>
      </c>
      <c r="J44" s="3" t="s">
        <v>116</v>
      </c>
      <c r="K44" s="3"/>
    </row>
    <row r="46" spans="1:11">
      <c r="J46" t="s">
        <v>117</v>
      </c>
    </row>
  </sheetData>
  <mergeCells count="59">
    <mergeCell ref="F35:G35"/>
    <mergeCell ref="I37:K37"/>
    <mergeCell ref="A30:D30"/>
    <mergeCell ref="I30:K30"/>
    <mergeCell ref="A27:D27"/>
    <mergeCell ref="I27:K27"/>
    <mergeCell ref="A28:D28"/>
    <mergeCell ref="I28:K28"/>
    <mergeCell ref="A29:D29"/>
    <mergeCell ref="I29:K29"/>
    <mergeCell ref="A31:D31"/>
    <mergeCell ref="I31:K31"/>
    <mergeCell ref="A32:D32"/>
    <mergeCell ref="I32:K32"/>
    <mergeCell ref="J33:K33"/>
    <mergeCell ref="I26:K26"/>
    <mergeCell ref="A21:D21"/>
    <mergeCell ref="I21:K21"/>
    <mergeCell ref="A22:D22"/>
    <mergeCell ref="I22:K22"/>
    <mergeCell ref="A23:D23"/>
    <mergeCell ref="I23:K23"/>
    <mergeCell ref="A24:D24"/>
    <mergeCell ref="I24:K24"/>
    <mergeCell ref="A25:D25"/>
    <mergeCell ref="I25:K25"/>
    <mergeCell ref="A26:D26"/>
    <mergeCell ref="A20:D20"/>
    <mergeCell ref="I20:K20"/>
    <mergeCell ref="A13:D13"/>
    <mergeCell ref="I13:K13"/>
    <mergeCell ref="A14:D14"/>
    <mergeCell ref="I14:K14"/>
    <mergeCell ref="A15:D15"/>
    <mergeCell ref="I15:K15"/>
    <mergeCell ref="A16:D16"/>
    <mergeCell ref="I16:K16"/>
    <mergeCell ref="A17:D17"/>
    <mergeCell ref="I17:K17"/>
    <mergeCell ref="I18:K18"/>
    <mergeCell ref="A10:D10"/>
    <mergeCell ref="I10:K10"/>
    <mergeCell ref="A11:D11"/>
    <mergeCell ref="I11:K11"/>
    <mergeCell ref="A12:D12"/>
    <mergeCell ref="I12:K12"/>
    <mergeCell ref="A7:D7"/>
    <mergeCell ref="I7:K7"/>
    <mergeCell ref="A8:D8"/>
    <mergeCell ref="I8:K8"/>
    <mergeCell ref="A9:D9"/>
    <mergeCell ref="I9:K9"/>
    <mergeCell ref="A1:A5"/>
    <mergeCell ref="B1:J1"/>
    <mergeCell ref="K1:K5"/>
    <mergeCell ref="B2:J2"/>
    <mergeCell ref="B3:J3"/>
    <mergeCell ref="B4:J4"/>
    <mergeCell ref="B5:J5"/>
  </mergeCells>
  <pageMargins left="0.7" right="0.7" top="0.75" bottom="0.75" header="0.3" footer="0.3"/>
  <pageSetup scale="61" orientation="portrait" r:id="rId1"/>
  <rowBreaks count="1" manualBreakCount="1">
    <brk id="19" max="1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04FC-B968-498F-B11B-EE259534E31E}">
  <sheetPr>
    <tabColor rgb="FF00FF00"/>
  </sheetPr>
  <dimension ref="A1:K56"/>
  <sheetViews>
    <sheetView workbookViewId="0">
      <pane xSplit="4" ySplit="7" topLeftCell="E8" activePane="bottomRight" state="frozen"/>
      <selection pane="topRight" sqref="A1:A5"/>
      <selection pane="bottomLeft" sqref="A1:A5"/>
      <selection pane="bottomRight" activeCell="A27" sqref="A27:D27"/>
    </sheetView>
  </sheetViews>
  <sheetFormatPr baseColWidth="10" defaultColWidth="9.140625" defaultRowHeight="15"/>
  <cols>
    <col min="1" max="1" width="15.5703125" customWidth="1"/>
    <col min="2" max="8" width="11.42578125" customWidth="1"/>
    <col min="9" max="9" width="6.5703125" customWidth="1"/>
    <col min="10" max="10" width="26.42578125" customWidth="1"/>
    <col min="11" max="11" width="18.5703125" customWidth="1"/>
    <col min="12" max="256" width="11.42578125" customWidth="1"/>
  </cols>
  <sheetData>
    <row r="1" spans="1:11" ht="21.75" customHeight="1">
      <c r="A1" s="132"/>
      <c r="B1" s="133"/>
      <c r="C1" s="134"/>
      <c r="D1" s="134"/>
      <c r="E1" s="134"/>
      <c r="F1" s="134"/>
      <c r="G1" s="134"/>
      <c r="H1" s="134"/>
      <c r="I1" s="134"/>
      <c r="J1" s="135"/>
      <c r="K1" s="136"/>
    </row>
    <row r="2" spans="1:11" ht="21.75" customHeight="1">
      <c r="A2" s="132"/>
      <c r="B2" s="139" t="s">
        <v>80</v>
      </c>
      <c r="C2" s="140"/>
      <c r="D2" s="140"/>
      <c r="E2" s="140"/>
      <c r="F2" s="140"/>
      <c r="G2" s="140"/>
      <c r="H2" s="140"/>
      <c r="I2" s="140"/>
      <c r="J2" s="141"/>
      <c r="K2" s="137"/>
    </row>
    <row r="3" spans="1:11" ht="17.25" customHeight="1">
      <c r="A3" s="132"/>
      <c r="B3" s="142" t="s">
        <v>81</v>
      </c>
      <c r="C3" s="143"/>
      <c r="D3" s="143"/>
      <c r="E3" s="143"/>
      <c r="F3" s="143"/>
      <c r="G3" s="143"/>
      <c r="H3" s="143"/>
      <c r="I3" s="143"/>
      <c r="J3" s="144"/>
      <c r="K3" s="137"/>
    </row>
    <row r="4" spans="1:11" ht="13.5" customHeight="1">
      <c r="A4" s="132"/>
      <c r="B4" s="142" t="s">
        <v>82</v>
      </c>
      <c r="C4" s="143"/>
      <c r="D4" s="143"/>
      <c r="E4" s="143"/>
      <c r="F4" s="143"/>
      <c r="G4" s="143"/>
      <c r="H4" s="143"/>
      <c r="I4" s="143"/>
      <c r="J4" s="144"/>
      <c r="K4" s="137"/>
    </row>
    <row r="5" spans="1:11" ht="21.75" customHeight="1">
      <c r="A5" s="132"/>
      <c r="B5" s="145" t="s">
        <v>118</v>
      </c>
      <c r="C5" s="146"/>
      <c r="D5" s="146"/>
      <c r="E5" s="146"/>
      <c r="F5" s="146"/>
      <c r="G5" s="146"/>
      <c r="H5" s="146"/>
      <c r="I5" s="146"/>
      <c r="J5" s="147"/>
      <c r="K5" s="138"/>
    </row>
    <row r="6" spans="1:11" ht="15.75" thickBot="1"/>
    <row r="7" spans="1:11">
      <c r="A7" s="148" t="s">
        <v>84</v>
      </c>
      <c r="B7" s="149"/>
      <c r="C7" s="149"/>
      <c r="D7" s="149"/>
      <c r="E7" s="35" t="s">
        <v>24</v>
      </c>
      <c r="F7" s="35" t="s">
        <v>25</v>
      </c>
      <c r="G7" s="35" t="s">
        <v>26</v>
      </c>
      <c r="H7" s="35" t="s">
        <v>27</v>
      </c>
      <c r="I7" s="149" t="s">
        <v>85</v>
      </c>
      <c r="J7" s="149"/>
      <c r="K7" s="150"/>
    </row>
    <row r="8" spans="1:11" ht="48.75" customHeight="1" thickBot="1">
      <c r="A8" s="151" t="s">
        <v>86</v>
      </c>
      <c r="B8" s="152"/>
      <c r="C8" s="152"/>
      <c r="D8" s="152"/>
      <c r="E8" s="6"/>
      <c r="F8" s="36"/>
      <c r="G8" s="31">
        <f t="shared" ref="G8:G16" si="0">$G$18/10</f>
        <v>0.04</v>
      </c>
      <c r="H8" s="30">
        <f>IF(E8&gt;0,G8,0%)</f>
        <v>0</v>
      </c>
      <c r="I8" s="153"/>
      <c r="J8" s="154"/>
      <c r="K8" s="155"/>
    </row>
    <row r="9" spans="1:11" ht="62.25" customHeight="1" thickBot="1">
      <c r="A9" s="151" t="s">
        <v>87</v>
      </c>
      <c r="B9" s="152"/>
      <c r="C9" s="152"/>
      <c r="D9" s="152"/>
      <c r="E9" s="6"/>
      <c r="F9" s="36"/>
      <c r="G9" s="31">
        <f t="shared" si="0"/>
        <v>0.04</v>
      </c>
      <c r="H9" s="30">
        <f t="shared" ref="H9:H17" si="1">IF(E9&gt;0,G9,0%)</f>
        <v>0</v>
      </c>
      <c r="I9" s="156"/>
      <c r="J9" s="157"/>
      <c r="K9" s="158"/>
    </row>
    <row r="10" spans="1:11" ht="36" customHeight="1" thickBot="1">
      <c r="A10" s="151" t="s">
        <v>88</v>
      </c>
      <c r="B10" s="159"/>
      <c r="C10" s="159"/>
      <c r="D10" s="159"/>
      <c r="E10" s="6"/>
      <c r="F10" s="36"/>
      <c r="G10" s="31">
        <f t="shared" si="0"/>
        <v>0.04</v>
      </c>
      <c r="H10" s="30">
        <f t="shared" si="1"/>
        <v>0</v>
      </c>
      <c r="I10" s="153"/>
      <c r="J10" s="154"/>
      <c r="K10" s="155"/>
    </row>
    <row r="11" spans="1:11" ht="42" customHeight="1" thickBot="1">
      <c r="A11" s="151" t="s">
        <v>89</v>
      </c>
      <c r="B11" s="159"/>
      <c r="C11" s="159"/>
      <c r="D11" s="159"/>
      <c r="E11" s="6"/>
      <c r="F11" s="36"/>
      <c r="G11" s="31">
        <f t="shared" si="0"/>
        <v>0.04</v>
      </c>
      <c r="H11" s="30">
        <f t="shared" si="1"/>
        <v>0</v>
      </c>
      <c r="I11" s="156"/>
      <c r="J11" s="157"/>
      <c r="K11" s="158"/>
    </row>
    <row r="12" spans="1:11" ht="62.25" customHeight="1" thickBot="1">
      <c r="A12" s="151" t="s">
        <v>90</v>
      </c>
      <c r="B12" s="159"/>
      <c r="C12" s="159"/>
      <c r="D12" s="159"/>
      <c r="E12" s="6"/>
      <c r="F12" s="36"/>
      <c r="G12" s="31">
        <f t="shared" si="0"/>
        <v>0.04</v>
      </c>
      <c r="H12" s="30">
        <f t="shared" si="1"/>
        <v>0</v>
      </c>
      <c r="I12" s="124"/>
      <c r="J12" s="125"/>
      <c r="K12" s="160"/>
    </row>
    <row r="13" spans="1:11" ht="62.25" customHeight="1" thickBot="1">
      <c r="A13" s="164" t="s">
        <v>91</v>
      </c>
      <c r="B13" s="111"/>
      <c r="C13" s="111"/>
      <c r="D13" s="111"/>
      <c r="E13" s="6"/>
      <c r="F13" s="36"/>
      <c r="G13" s="31">
        <f t="shared" si="0"/>
        <v>0.04</v>
      </c>
      <c r="H13" s="30">
        <f t="shared" si="1"/>
        <v>0</v>
      </c>
      <c r="I13" s="124"/>
      <c r="J13" s="125"/>
      <c r="K13" s="160"/>
    </row>
    <row r="14" spans="1:11" ht="52.5" customHeight="1" thickBot="1">
      <c r="A14" s="164" t="s">
        <v>92</v>
      </c>
      <c r="B14" s="111"/>
      <c r="C14" s="111"/>
      <c r="D14" s="111"/>
      <c r="E14" s="6"/>
      <c r="F14" s="36"/>
      <c r="G14" s="31">
        <f t="shared" si="0"/>
        <v>0.04</v>
      </c>
      <c r="H14" s="30">
        <f t="shared" si="1"/>
        <v>0</v>
      </c>
      <c r="I14" s="124"/>
      <c r="J14" s="125"/>
      <c r="K14" s="160"/>
    </row>
    <row r="15" spans="1:11" ht="54" customHeight="1" thickBot="1">
      <c r="A15" s="164" t="s">
        <v>93</v>
      </c>
      <c r="B15" s="111"/>
      <c r="C15" s="111"/>
      <c r="D15" s="111"/>
      <c r="E15" s="6"/>
      <c r="F15" s="36"/>
      <c r="G15" s="31">
        <f t="shared" si="0"/>
        <v>0.04</v>
      </c>
      <c r="H15" s="30">
        <f t="shared" si="1"/>
        <v>0</v>
      </c>
      <c r="I15" s="120"/>
      <c r="J15" s="120"/>
      <c r="K15" s="165"/>
    </row>
    <row r="16" spans="1:11" ht="53.25" customHeight="1" thickBot="1">
      <c r="A16" s="164" t="s">
        <v>94</v>
      </c>
      <c r="B16" s="111"/>
      <c r="C16" s="111"/>
      <c r="D16" s="111"/>
      <c r="E16" s="6"/>
      <c r="F16" s="36"/>
      <c r="G16" s="31">
        <f t="shared" si="0"/>
        <v>0.04</v>
      </c>
      <c r="H16" s="30">
        <f t="shared" si="1"/>
        <v>0</v>
      </c>
      <c r="I16" s="120"/>
      <c r="J16" s="120"/>
      <c r="K16" s="165"/>
    </row>
    <row r="17" spans="1:11" ht="66" customHeight="1" thickBot="1">
      <c r="A17" s="166" t="s">
        <v>95</v>
      </c>
      <c r="B17" s="167"/>
      <c r="C17" s="167"/>
      <c r="D17" s="167"/>
      <c r="E17" s="8"/>
      <c r="F17" s="37"/>
      <c r="G17" s="31">
        <f>$G$18/10</f>
        <v>0.04</v>
      </c>
      <c r="H17" s="30">
        <f t="shared" si="1"/>
        <v>0</v>
      </c>
      <c r="I17" s="168"/>
      <c r="J17" s="169"/>
      <c r="K17" s="170"/>
    </row>
    <row r="18" spans="1:11" ht="15.75" thickBot="1">
      <c r="F18" s="9" t="s">
        <v>33</v>
      </c>
      <c r="G18" s="41">
        <v>0.4</v>
      </c>
      <c r="H18" s="11">
        <f>SUM(H8:H17)</f>
        <v>0</v>
      </c>
      <c r="I18" s="171"/>
      <c r="J18" s="172"/>
      <c r="K18" s="173"/>
    </row>
    <row r="19" spans="1:11" ht="15.75" thickBot="1">
      <c r="F19" s="12"/>
      <c r="G19" s="13"/>
      <c r="H19" s="13"/>
      <c r="I19" s="23"/>
      <c r="J19" s="23"/>
      <c r="K19" s="23"/>
    </row>
    <row r="20" spans="1:11">
      <c r="A20" s="161" t="s">
        <v>34</v>
      </c>
      <c r="B20" s="162"/>
      <c r="C20" s="162"/>
      <c r="D20" s="162"/>
      <c r="E20" s="39" t="s">
        <v>24</v>
      </c>
      <c r="F20" s="39" t="s">
        <v>25</v>
      </c>
      <c r="G20" s="39" t="s">
        <v>26</v>
      </c>
      <c r="H20" s="39" t="s">
        <v>27</v>
      </c>
      <c r="I20" s="162" t="s">
        <v>85</v>
      </c>
      <c r="J20" s="162"/>
      <c r="K20" s="163"/>
    </row>
    <row r="21" spans="1:11" ht="81" customHeight="1">
      <c r="A21" s="164" t="s">
        <v>35</v>
      </c>
      <c r="B21" s="111"/>
      <c r="C21" s="111"/>
      <c r="D21" s="111"/>
      <c r="E21" s="14"/>
      <c r="F21" s="7"/>
      <c r="G21" s="40">
        <f>$G$43/22</f>
        <v>2.7272727272727271E-2</v>
      </c>
      <c r="H21" s="40">
        <f>IF(E21&gt;0,G21,0%)</f>
        <v>0</v>
      </c>
      <c r="I21" s="175"/>
      <c r="J21" s="176"/>
      <c r="K21" s="177"/>
    </row>
    <row r="22" spans="1:11" ht="41.25" customHeight="1">
      <c r="A22" s="164" t="s">
        <v>96</v>
      </c>
      <c r="B22" s="111"/>
      <c r="C22" s="111"/>
      <c r="D22" s="111"/>
      <c r="E22" s="14"/>
      <c r="F22" s="14"/>
      <c r="G22" s="40">
        <f t="shared" ref="G22:G42" si="2">$G$43/22</f>
        <v>2.7272727272727271E-2</v>
      </c>
      <c r="H22" s="40">
        <f t="shared" ref="H22:H42" si="3">IF(E22&gt;0,G22,0%)</f>
        <v>0</v>
      </c>
      <c r="I22" s="118"/>
      <c r="J22" s="118"/>
      <c r="K22" s="174"/>
    </row>
    <row r="23" spans="1:11" ht="40.5" customHeight="1">
      <c r="A23" s="164" t="s">
        <v>97</v>
      </c>
      <c r="B23" s="111"/>
      <c r="C23" s="111"/>
      <c r="D23" s="111"/>
      <c r="E23" s="14"/>
      <c r="F23" s="14"/>
      <c r="G23" s="40">
        <f t="shared" si="2"/>
        <v>2.7272727272727271E-2</v>
      </c>
      <c r="H23" s="40">
        <f t="shared" si="3"/>
        <v>0</v>
      </c>
      <c r="I23" s="118"/>
      <c r="J23" s="118"/>
      <c r="K23" s="174"/>
    </row>
    <row r="24" spans="1:11" ht="29.25" customHeight="1">
      <c r="A24" s="164" t="s">
        <v>98</v>
      </c>
      <c r="B24" s="111"/>
      <c r="C24" s="111"/>
      <c r="D24" s="111"/>
      <c r="E24" s="14"/>
      <c r="F24" s="14"/>
      <c r="G24" s="40">
        <f t="shared" si="2"/>
        <v>2.7272727272727271E-2</v>
      </c>
      <c r="H24" s="40">
        <f t="shared" si="3"/>
        <v>0</v>
      </c>
      <c r="I24" s="118"/>
      <c r="J24" s="118"/>
      <c r="K24" s="174"/>
    </row>
    <row r="25" spans="1:11" ht="69.75" customHeight="1">
      <c r="A25" s="164" t="s">
        <v>119</v>
      </c>
      <c r="B25" s="111"/>
      <c r="C25" s="111"/>
      <c r="D25" s="111"/>
      <c r="E25" s="14"/>
      <c r="F25" s="14"/>
      <c r="G25" s="40">
        <f t="shared" si="2"/>
        <v>2.7272727272727271E-2</v>
      </c>
      <c r="H25" s="40">
        <f t="shared" si="3"/>
        <v>0</v>
      </c>
      <c r="I25" s="118"/>
      <c r="J25" s="118"/>
      <c r="K25" s="174"/>
    </row>
    <row r="26" spans="1:11" ht="60" customHeight="1">
      <c r="A26" s="164" t="s">
        <v>120</v>
      </c>
      <c r="B26" s="111"/>
      <c r="C26" s="111"/>
      <c r="D26" s="111"/>
      <c r="E26" s="14"/>
      <c r="F26" s="14"/>
      <c r="G26" s="40">
        <f t="shared" si="2"/>
        <v>2.7272727272727271E-2</v>
      </c>
      <c r="H26" s="40">
        <f t="shared" si="3"/>
        <v>0</v>
      </c>
      <c r="I26" s="118"/>
      <c r="J26" s="118"/>
      <c r="K26" s="174"/>
    </row>
    <row r="27" spans="1:11" ht="99.75" customHeight="1">
      <c r="A27" s="184" t="s">
        <v>101</v>
      </c>
      <c r="B27" s="115"/>
      <c r="C27" s="115"/>
      <c r="D27" s="115"/>
      <c r="E27" s="14"/>
      <c r="F27" s="14"/>
      <c r="G27" s="40">
        <f t="shared" si="2"/>
        <v>2.7272727272727271E-2</v>
      </c>
      <c r="H27" s="40">
        <f t="shared" si="3"/>
        <v>0</v>
      </c>
      <c r="I27" s="118"/>
      <c r="J27" s="118"/>
      <c r="K27" s="174"/>
    </row>
    <row r="28" spans="1:11" ht="51.75" customHeight="1">
      <c r="A28" s="164" t="s">
        <v>102</v>
      </c>
      <c r="B28" s="111"/>
      <c r="C28" s="111"/>
      <c r="D28" s="111"/>
      <c r="E28" s="14"/>
      <c r="F28" s="14"/>
      <c r="G28" s="40">
        <f t="shared" si="2"/>
        <v>2.7272727272727271E-2</v>
      </c>
      <c r="H28" s="40">
        <f t="shared" si="3"/>
        <v>0</v>
      </c>
      <c r="I28" s="118"/>
      <c r="J28" s="118"/>
      <c r="K28" s="174"/>
    </row>
    <row r="29" spans="1:11" ht="54" customHeight="1">
      <c r="A29" s="164" t="s">
        <v>103</v>
      </c>
      <c r="B29" s="111"/>
      <c r="C29" s="111"/>
      <c r="D29" s="111"/>
      <c r="E29" s="14"/>
      <c r="F29" s="14"/>
      <c r="G29" s="40">
        <f t="shared" si="2"/>
        <v>2.7272727272727271E-2</v>
      </c>
      <c r="H29" s="40">
        <f t="shared" si="3"/>
        <v>0</v>
      </c>
      <c r="I29" s="112"/>
      <c r="J29" s="112"/>
      <c r="K29" s="183"/>
    </row>
    <row r="30" spans="1:11" ht="64.5" customHeight="1">
      <c r="A30" s="164" t="s">
        <v>104</v>
      </c>
      <c r="B30" s="111"/>
      <c r="C30" s="111"/>
      <c r="D30" s="111"/>
      <c r="E30" s="14"/>
      <c r="F30" s="14"/>
      <c r="G30" s="40">
        <f t="shared" si="2"/>
        <v>2.7272727272727271E-2</v>
      </c>
      <c r="H30" s="40">
        <f t="shared" si="3"/>
        <v>0</v>
      </c>
      <c r="I30" s="112"/>
      <c r="J30" s="112"/>
      <c r="K30" s="183"/>
    </row>
    <row r="31" spans="1:11" ht="87.75" customHeight="1">
      <c r="A31" s="184" t="s">
        <v>121</v>
      </c>
      <c r="B31" s="115"/>
      <c r="C31" s="115"/>
      <c r="D31" s="115"/>
      <c r="E31" s="14"/>
      <c r="F31" s="14"/>
      <c r="G31" s="40">
        <f t="shared" si="2"/>
        <v>2.7272727272727271E-2</v>
      </c>
      <c r="H31" s="40">
        <f t="shared" si="3"/>
        <v>0</v>
      </c>
      <c r="I31" s="112"/>
      <c r="J31" s="112"/>
      <c r="K31" s="183"/>
    </row>
    <row r="32" spans="1:11" ht="84" customHeight="1">
      <c r="A32" s="164" t="s">
        <v>122</v>
      </c>
      <c r="B32" s="111"/>
      <c r="C32" s="111"/>
      <c r="D32" s="111"/>
      <c r="E32" s="14"/>
      <c r="F32" s="14"/>
      <c r="G32" s="40">
        <f t="shared" si="2"/>
        <v>2.7272727272727271E-2</v>
      </c>
      <c r="H32" s="40">
        <f t="shared" si="3"/>
        <v>0</v>
      </c>
      <c r="I32" s="112"/>
      <c r="J32" s="112"/>
      <c r="K32" s="183"/>
    </row>
    <row r="33" spans="1:11" ht="64.5" customHeight="1">
      <c r="A33" s="164" t="s">
        <v>123</v>
      </c>
      <c r="B33" s="111"/>
      <c r="C33" s="111"/>
      <c r="D33" s="111"/>
      <c r="E33" s="14"/>
      <c r="F33" s="14"/>
      <c r="G33" s="40">
        <f t="shared" si="2"/>
        <v>2.7272727272727271E-2</v>
      </c>
      <c r="H33" s="40">
        <f t="shared" si="3"/>
        <v>0</v>
      </c>
      <c r="I33" s="112"/>
      <c r="J33" s="112"/>
      <c r="K33" s="183"/>
    </row>
    <row r="34" spans="1:11" ht="64.5" customHeight="1">
      <c r="A34" s="164" t="s">
        <v>124</v>
      </c>
      <c r="B34" s="111"/>
      <c r="C34" s="111"/>
      <c r="D34" s="111"/>
      <c r="E34" s="14"/>
      <c r="F34" s="14"/>
      <c r="G34" s="40">
        <f t="shared" si="2"/>
        <v>2.7272727272727271E-2</v>
      </c>
      <c r="H34" s="40">
        <f t="shared" si="3"/>
        <v>0</v>
      </c>
      <c r="I34" s="112"/>
      <c r="J34" s="112"/>
      <c r="K34" s="183"/>
    </row>
    <row r="35" spans="1:11" ht="35.25" customHeight="1">
      <c r="A35" s="164" t="s">
        <v>125</v>
      </c>
      <c r="B35" s="111"/>
      <c r="C35" s="111"/>
      <c r="D35" s="111"/>
      <c r="E35" s="14"/>
      <c r="F35" s="14"/>
      <c r="G35" s="40">
        <f t="shared" si="2"/>
        <v>2.7272727272727271E-2</v>
      </c>
      <c r="H35" s="40">
        <f t="shared" si="3"/>
        <v>0</v>
      </c>
      <c r="I35" s="112"/>
      <c r="J35" s="112"/>
      <c r="K35" s="183"/>
    </row>
    <row r="36" spans="1:11" ht="54" customHeight="1">
      <c r="A36" s="184" t="s">
        <v>126</v>
      </c>
      <c r="B36" s="115"/>
      <c r="C36" s="115"/>
      <c r="D36" s="115"/>
      <c r="E36" s="14"/>
      <c r="F36" s="14"/>
      <c r="G36" s="40">
        <f t="shared" si="2"/>
        <v>2.7272727272727271E-2</v>
      </c>
      <c r="H36" s="40">
        <f t="shared" si="3"/>
        <v>0</v>
      </c>
      <c r="I36" s="112"/>
      <c r="J36" s="112"/>
      <c r="K36" s="183"/>
    </row>
    <row r="37" spans="1:11" ht="49.5" customHeight="1">
      <c r="A37" s="164" t="s">
        <v>127</v>
      </c>
      <c r="B37" s="111"/>
      <c r="C37" s="111"/>
      <c r="D37" s="111"/>
      <c r="E37" s="14"/>
      <c r="F37" s="14"/>
      <c r="G37" s="40">
        <f t="shared" si="2"/>
        <v>2.7272727272727271E-2</v>
      </c>
      <c r="H37" s="40">
        <f t="shared" si="3"/>
        <v>0</v>
      </c>
      <c r="I37" s="112"/>
      <c r="J37" s="112"/>
      <c r="K37" s="183"/>
    </row>
    <row r="38" spans="1:11" ht="49.5" customHeight="1">
      <c r="A38" s="164" t="s">
        <v>128</v>
      </c>
      <c r="B38" s="111"/>
      <c r="C38" s="111"/>
      <c r="D38" s="111"/>
      <c r="E38" s="14"/>
      <c r="F38" s="14"/>
      <c r="G38" s="40">
        <f t="shared" si="2"/>
        <v>2.7272727272727271E-2</v>
      </c>
      <c r="H38" s="40">
        <f t="shared" si="3"/>
        <v>0</v>
      </c>
      <c r="I38" s="112"/>
      <c r="J38" s="112"/>
      <c r="K38" s="183"/>
    </row>
    <row r="39" spans="1:11" ht="49.5" customHeight="1">
      <c r="A39" s="164" t="s">
        <v>129</v>
      </c>
      <c r="B39" s="111"/>
      <c r="C39" s="111"/>
      <c r="D39" s="111"/>
      <c r="E39" s="14"/>
      <c r="F39" s="14"/>
      <c r="G39" s="40">
        <f t="shared" si="2"/>
        <v>2.7272727272727271E-2</v>
      </c>
      <c r="H39" s="40">
        <f t="shared" si="3"/>
        <v>0</v>
      </c>
      <c r="I39" s="112"/>
      <c r="J39" s="112"/>
      <c r="K39" s="183"/>
    </row>
    <row r="40" spans="1:11" ht="28.5" customHeight="1">
      <c r="A40" s="164" t="s">
        <v>130</v>
      </c>
      <c r="B40" s="111"/>
      <c r="C40" s="111"/>
      <c r="D40" s="111"/>
      <c r="E40" s="14"/>
      <c r="F40" s="14"/>
      <c r="G40" s="40">
        <f t="shared" si="2"/>
        <v>2.7272727272727271E-2</v>
      </c>
      <c r="H40" s="40">
        <f t="shared" si="3"/>
        <v>0</v>
      </c>
      <c r="I40" s="112"/>
      <c r="J40" s="112"/>
      <c r="K40" s="183"/>
    </row>
    <row r="41" spans="1:11" ht="42" customHeight="1">
      <c r="A41" s="164" t="s">
        <v>131</v>
      </c>
      <c r="B41" s="111"/>
      <c r="C41" s="111"/>
      <c r="D41" s="111"/>
      <c r="E41" s="14"/>
      <c r="F41" s="14"/>
      <c r="G41" s="40">
        <f t="shared" si="2"/>
        <v>2.7272727272727271E-2</v>
      </c>
      <c r="H41" s="40">
        <f t="shared" si="3"/>
        <v>0</v>
      </c>
      <c r="I41" s="112"/>
      <c r="J41" s="112"/>
      <c r="K41" s="183"/>
    </row>
    <row r="42" spans="1:11" ht="43.5" customHeight="1" thickBot="1">
      <c r="A42" s="164" t="s">
        <v>132</v>
      </c>
      <c r="B42" s="111"/>
      <c r="C42" s="111"/>
      <c r="D42" s="111"/>
      <c r="E42" s="14"/>
      <c r="F42" s="14"/>
      <c r="G42" s="40">
        <f t="shared" si="2"/>
        <v>2.7272727272727271E-2</v>
      </c>
      <c r="H42" s="40">
        <f t="shared" si="3"/>
        <v>0</v>
      </c>
      <c r="I42" s="112"/>
      <c r="J42" s="112"/>
      <c r="K42" s="183"/>
    </row>
    <row r="43" spans="1:11" ht="15.75" thickBot="1">
      <c r="F43" s="15" t="s">
        <v>33</v>
      </c>
      <c r="G43" s="42">
        <v>0.6</v>
      </c>
      <c r="H43" s="16">
        <f>SUM(H21:H42)</f>
        <v>0</v>
      </c>
      <c r="J43" s="185"/>
      <c r="K43" s="185"/>
    </row>
    <row r="44" spans="1:11" ht="15.75" thickBot="1"/>
    <row r="45" spans="1:11" ht="15.75" thickBot="1">
      <c r="F45" s="178" t="s">
        <v>107</v>
      </c>
      <c r="G45" s="179"/>
      <c r="H45" s="16">
        <f>SUM(H43+H18)</f>
        <v>0</v>
      </c>
    </row>
    <row r="47" spans="1:11" ht="15.75" thickBot="1">
      <c r="A47" s="17" t="s">
        <v>108</v>
      </c>
      <c r="B47" s="38"/>
      <c r="C47" s="38"/>
      <c r="I47" s="180" t="s">
        <v>48</v>
      </c>
      <c r="J47" s="181"/>
      <c r="K47" s="182"/>
    </row>
    <row r="48" spans="1:11">
      <c r="I48" s="24">
        <v>1</v>
      </c>
      <c r="J48" s="3" t="s">
        <v>109</v>
      </c>
      <c r="K48" s="3"/>
    </row>
    <row r="49" spans="1:11" ht="15.75" thickBot="1">
      <c r="A49" s="17" t="s">
        <v>53</v>
      </c>
      <c r="D49" s="38"/>
      <c r="E49" s="38"/>
      <c r="I49" s="24">
        <v>2</v>
      </c>
      <c r="J49" s="3" t="s">
        <v>110</v>
      </c>
      <c r="K49" s="3"/>
    </row>
    <row r="50" spans="1:11">
      <c r="I50" s="24">
        <v>3</v>
      </c>
      <c r="J50" s="3" t="s">
        <v>111</v>
      </c>
      <c r="K50" s="3"/>
    </row>
    <row r="51" spans="1:11">
      <c r="I51" s="24">
        <v>4</v>
      </c>
      <c r="J51" s="3" t="s">
        <v>57</v>
      </c>
      <c r="K51" s="3" t="s">
        <v>112</v>
      </c>
    </row>
    <row r="52" spans="1:11" ht="15.75" thickBot="1">
      <c r="A52" s="17" t="s">
        <v>113</v>
      </c>
      <c r="D52" s="38"/>
      <c r="E52" s="38"/>
      <c r="I52" s="24">
        <v>5</v>
      </c>
      <c r="J52" s="3" t="s">
        <v>114</v>
      </c>
      <c r="K52" s="3"/>
    </row>
    <row r="53" spans="1:11">
      <c r="I53" s="24">
        <v>6</v>
      </c>
      <c r="J53" s="3" t="s">
        <v>115</v>
      </c>
      <c r="K53" s="3"/>
    </row>
    <row r="54" spans="1:11">
      <c r="I54" s="24">
        <v>7</v>
      </c>
      <c r="J54" s="3" t="s">
        <v>116</v>
      </c>
      <c r="K54" s="3"/>
    </row>
    <row r="56" spans="1:11">
      <c r="J56" t="s">
        <v>117</v>
      </c>
    </row>
  </sheetData>
  <mergeCells count="79">
    <mergeCell ref="F45:G45"/>
    <mergeCell ref="I47:K47"/>
    <mergeCell ref="A31:D31"/>
    <mergeCell ref="I31:K31"/>
    <mergeCell ref="A32:D32"/>
    <mergeCell ref="A39:D39"/>
    <mergeCell ref="I35:K35"/>
    <mergeCell ref="A36:D36"/>
    <mergeCell ref="I36:K36"/>
    <mergeCell ref="A37:D37"/>
    <mergeCell ref="I33:K33"/>
    <mergeCell ref="A34:D34"/>
    <mergeCell ref="I34:K34"/>
    <mergeCell ref="A35:D35"/>
    <mergeCell ref="I32:K32"/>
    <mergeCell ref="A33:D33"/>
    <mergeCell ref="J43:K43"/>
    <mergeCell ref="I37:K37"/>
    <mergeCell ref="I28:K28"/>
    <mergeCell ref="A29:D29"/>
    <mergeCell ref="I29:K29"/>
    <mergeCell ref="A30:D30"/>
    <mergeCell ref="I30:K30"/>
    <mergeCell ref="A42:D42"/>
    <mergeCell ref="I42:K42"/>
    <mergeCell ref="A38:D38"/>
    <mergeCell ref="I38:K38"/>
    <mergeCell ref="A40:D40"/>
    <mergeCell ref="I40:K40"/>
    <mergeCell ref="A41:D41"/>
    <mergeCell ref="I41:K41"/>
    <mergeCell ref="I39:K39"/>
    <mergeCell ref="A27:D27"/>
    <mergeCell ref="I27:K27"/>
    <mergeCell ref="A28:D28"/>
    <mergeCell ref="A21:D21"/>
    <mergeCell ref="I21:K21"/>
    <mergeCell ref="A22:D22"/>
    <mergeCell ref="I22:K22"/>
    <mergeCell ref="A23:D23"/>
    <mergeCell ref="I23:K23"/>
    <mergeCell ref="A24:D24"/>
    <mergeCell ref="I24:K24"/>
    <mergeCell ref="A25:D25"/>
    <mergeCell ref="I25:K25"/>
    <mergeCell ref="A26:D26"/>
    <mergeCell ref="I26:K26"/>
    <mergeCell ref="A20:D20"/>
    <mergeCell ref="I20:K20"/>
    <mergeCell ref="A13:D13"/>
    <mergeCell ref="I13:K13"/>
    <mergeCell ref="A14:D14"/>
    <mergeCell ref="I14:K14"/>
    <mergeCell ref="A15:D15"/>
    <mergeCell ref="I15:K15"/>
    <mergeCell ref="A16:D16"/>
    <mergeCell ref="I16:K16"/>
    <mergeCell ref="A17:D17"/>
    <mergeCell ref="I17:K17"/>
    <mergeCell ref="I18:K18"/>
    <mergeCell ref="A10:D10"/>
    <mergeCell ref="I10:K10"/>
    <mergeCell ref="A11:D11"/>
    <mergeCell ref="I11:K11"/>
    <mergeCell ref="A12:D12"/>
    <mergeCell ref="I12:K12"/>
    <mergeCell ref="A7:D7"/>
    <mergeCell ref="I7:K7"/>
    <mergeCell ref="A8:D8"/>
    <mergeCell ref="I8:K8"/>
    <mergeCell ref="A9:D9"/>
    <mergeCell ref="I9:K9"/>
    <mergeCell ref="A1:A5"/>
    <mergeCell ref="B1:J1"/>
    <mergeCell ref="K1:K5"/>
    <mergeCell ref="B2:J2"/>
    <mergeCell ref="B3:J3"/>
    <mergeCell ref="B4:J4"/>
    <mergeCell ref="B5:J5"/>
  </mergeCells>
  <pageMargins left="0.7" right="0.7" top="0.75" bottom="0.75" header="0.3" footer="0.3"/>
  <pageSetup scale="61" orientation="portrait" r:id="rId1"/>
  <rowBreaks count="1" manualBreakCount="1">
    <brk id="19" max="10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AA4E-CDFD-49A9-9931-57A95538DA58}">
  <sheetPr>
    <tabColor rgb="FF00FF00"/>
  </sheetPr>
  <dimension ref="A1:L43"/>
  <sheetViews>
    <sheetView zoomScale="106" zoomScaleNormal="106" zoomScaleSheetLayoutView="90" zoomScalePageLayoutView="90" workbookViewId="0">
      <selection activeCell="J13" sqref="J13:L13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133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45" customHeight="1">
      <c r="A9" s="110" t="s">
        <v>134</v>
      </c>
      <c r="B9" s="110"/>
      <c r="C9" s="110"/>
      <c r="D9" s="110"/>
      <c r="E9" s="110"/>
      <c r="F9" s="6"/>
      <c r="G9" s="36"/>
      <c r="H9" s="73">
        <v>0.1</v>
      </c>
      <c r="I9" s="73">
        <f>IF(F9&gt;0,H9,0%)</f>
        <v>0</v>
      </c>
      <c r="J9" s="119"/>
      <c r="K9" s="119"/>
      <c r="L9" s="119"/>
    </row>
    <row r="10" spans="1:12" ht="72" customHeight="1">
      <c r="A10" s="110" t="s">
        <v>135</v>
      </c>
      <c r="B10" s="110"/>
      <c r="C10" s="110"/>
      <c r="D10" s="110"/>
      <c r="E10" s="110"/>
      <c r="F10" s="6"/>
      <c r="G10" s="36"/>
      <c r="H10" s="73">
        <v>0.1</v>
      </c>
      <c r="I10" s="73">
        <f t="shared" ref="I10:I15" si="0">IF(F10&gt;0,H10,0%)</f>
        <v>0</v>
      </c>
      <c r="J10" s="119"/>
      <c r="K10" s="119"/>
      <c r="L10" s="119"/>
    </row>
    <row r="11" spans="1:12" ht="57" customHeight="1">
      <c r="A11" s="110" t="s">
        <v>136</v>
      </c>
      <c r="B11" s="110"/>
      <c r="C11" s="110"/>
      <c r="D11" s="110"/>
      <c r="E11" s="110"/>
      <c r="F11" s="6"/>
      <c r="G11" s="36"/>
      <c r="H11" s="73">
        <v>0.1</v>
      </c>
      <c r="I11" s="73">
        <f t="shared" si="0"/>
        <v>0</v>
      </c>
      <c r="J11" s="119"/>
      <c r="K11" s="119"/>
      <c r="L11" s="119"/>
    </row>
    <row r="12" spans="1:12" ht="63.75" customHeight="1">
      <c r="A12" s="110" t="s">
        <v>137</v>
      </c>
      <c r="B12" s="110"/>
      <c r="C12" s="110"/>
      <c r="D12" s="110"/>
      <c r="E12" s="110"/>
      <c r="F12" s="6"/>
      <c r="G12" s="36"/>
      <c r="H12" s="73">
        <v>0.1</v>
      </c>
      <c r="I12" s="73">
        <f t="shared" si="0"/>
        <v>0</v>
      </c>
      <c r="J12" s="119"/>
      <c r="K12" s="119"/>
      <c r="L12" s="119"/>
    </row>
    <row r="13" spans="1:12" ht="53.25" customHeight="1">
      <c r="A13" s="110" t="s">
        <v>138</v>
      </c>
      <c r="B13" s="110"/>
      <c r="C13" s="110"/>
      <c r="D13" s="110"/>
      <c r="E13" s="110"/>
      <c r="F13" s="6"/>
      <c r="G13" s="36"/>
      <c r="H13" s="73">
        <v>0.1</v>
      </c>
      <c r="I13" s="73">
        <f t="shared" si="0"/>
        <v>0</v>
      </c>
      <c r="J13" s="119"/>
      <c r="K13" s="119"/>
      <c r="L13" s="119"/>
    </row>
    <row r="14" spans="1:12" ht="63.75" customHeight="1">
      <c r="A14" s="110" t="s">
        <v>139</v>
      </c>
      <c r="B14" s="110"/>
      <c r="C14" s="110"/>
      <c r="D14" s="110"/>
      <c r="E14" s="110"/>
      <c r="F14" s="6"/>
      <c r="G14" s="36"/>
      <c r="H14" s="73">
        <v>0.1</v>
      </c>
      <c r="I14" s="73">
        <f t="shared" si="0"/>
        <v>0</v>
      </c>
      <c r="J14" s="119"/>
      <c r="K14" s="119"/>
      <c r="L14" s="119"/>
    </row>
    <row r="15" spans="1:12" ht="70.5" customHeight="1">
      <c r="A15" s="110" t="s">
        <v>140</v>
      </c>
      <c r="B15" s="110"/>
      <c r="C15" s="110"/>
      <c r="D15" s="110"/>
      <c r="E15" s="110"/>
      <c r="F15" s="6"/>
      <c r="G15" s="36"/>
      <c r="H15" s="73">
        <v>0.1</v>
      </c>
      <c r="I15" s="73">
        <f t="shared" si="0"/>
        <v>0</v>
      </c>
      <c r="J15" s="119"/>
      <c r="K15" s="119"/>
      <c r="L15" s="119"/>
    </row>
    <row r="16" spans="1:12" ht="45.75" customHeight="1">
      <c r="A16" s="110" t="s">
        <v>141</v>
      </c>
      <c r="B16" s="110"/>
      <c r="C16" s="110"/>
      <c r="D16" s="110"/>
      <c r="E16" s="110"/>
      <c r="F16" s="6"/>
      <c r="G16" s="36"/>
      <c r="H16" s="73">
        <v>0.1</v>
      </c>
      <c r="I16" s="73">
        <f>IF(F16&gt;0,H16,0%)</f>
        <v>0</v>
      </c>
      <c r="J16" s="124"/>
      <c r="K16" s="125"/>
      <c r="L16" s="125"/>
    </row>
    <row r="17" spans="1:12" ht="37.5" customHeight="1">
      <c r="A17" s="110" t="s">
        <v>142</v>
      </c>
      <c r="B17" s="110"/>
      <c r="C17" s="110"/>
      <c r="D17" s="110"/>
      <c r="E17" s="110"/>
      <c r="F17" s="6"/>
      <c r="G17" s="36"/>
      <c r="H17" s="73">
        <v>0.1</v>
      </c>
      <c r="I17" s="73">
        <f>IF(F17&gt;0,H17,0%)</f>
        <v>0</v>
      </c>
      <c r="J17" s="120"/>
      <c r="K17" s="120"/>
      <c r="L17" s="120"/>
    </row>
    <row r="18" spans="1:12" ht="48.75" customHeight="1">
      <c r="A18" s="110" t="s">
        <v>143</v>
      </c>
      <c r="B18" s="110"/>
      <c r="C18" s="110"/>
      <c r="D18" s="110"/>
      <c r="E18" s="110"/>
      <c r="F18" s="6"/>
      <c r="G18" s="36"/>
      <c r="H18" s="73">
        <v>0.1</v>
      </c>
      <c r="I18" s="73">
        <f>IF(F18&gt;0,H18,0%)</f>
        <v>0</v>
      </c>
      <c r="J18" s="120"/>
      <c r="K18" s="120"/>
      <c r="L18" s="120"/>
    </row>
    <row r="19" spans="1:12">
      <c r="A19" s="43"/>
      <c r="B19" s="43"/>
      <c r="C19" s="43"/>
      <c r="D19" s="43"/>
      <c r="E19" s="43"/>
      <c r="F19" s="43"/>
      <c r="G19" s="72" t="s">
        <v>33</v>
      </c>
      <c r="H19" s="70">
        <v>1</v>
      </c>
      <c r="I19" s="71">
        <f>SUM(I9:I18)</f>
        <v>0</v>
      </c>
      <c r="J19" s="116"/>
      <c r="K19" s="116"/>
      <c r="L19" s="116"/>
    </row>
    <row r="20" spans="1:12">
      <c r="A20" s="43"/>
      <c r="B20" s="43"/>
      <c r="C20" s="43"/>
      <c r="D20" s="43"/>
      <c r="E20" s="43"/>
      <c r="F20" s="43"/>
      <c r="H20" s="43"/>
      <c r="I20" s="51"/>
      <c r="J20" s="54"/>
      <c r="K20" s="54"/>
      <c r="L20" s="54"/>
    </row>
    <row r="21" spans="1:12">
      <c r="A21" s="121" t="s">
        <v>34</v>
      </c>
      <c r="B21" s="121"/>
      <c r="C21" s="121"/>
      <c r="D21" s="121"/>
      <c r="E21" s="121"/>
      <c r="F21" s="64" t="s">
        <v>24</v>
      </c>
      <c r="G21" s="64" t="s">
        <v>25</v>
      </c>
      <c r="H21" s="64" t="s">
        <v>26</v>
      </c>
      <c r="I21" s="64" t="s">
        <v>27</v>
      </c>
      <c r="J21" s="121" t="s">
        <v>28</v>
      </c>
      <c r="K21" s="121"/>
      <c r="L21" s="121"/>
    </row>
    <row r="22" spans="1:12" ht="44.25" customHeight="1">
      <c r="A22" s="110" t="s">
        <v>144</v>
      </c>
      <c r="B22" s="110"/>
      <c r="C22" s="110"/>
      <c r="D22" s="110"/>
      <c r="E22" s="110"/>
      <c r="F22" s="14"/>
      <c r="G22" s="49"/>
      <c r="H22" s="40">
        <v>0.14000000000000001</v>
      </c>
      <c r="I22" s="40">
        <v>0</v>
      </c>
      <c r="J22" s="117" t="s">
        <v>36</v>
      </c>
      <c r="K22" s="117"/>
      <c r="L22" s="117"/>
    </row>
    <row r="23" spans="1:12" ht="56.25" customHeight="1">
      <c r="A23" s="110" t="s">
        <v>145</v>
      </c>
      <c r="B23" s="110"/>
      <c r="C23" s="110"/>
      <c r="D23" s="110"/>
      <c r="E23" s="110"/>
      <c r="F23" s="14"/>
      <c r="G23" s="14"/>
      <c r="H23" s="40">
        <v>0.14000000000000001</v>
      </c>
      <c r="I23" s="40">
        <f t="shared" ref="I23:I28" si="1">IF(F23&gt;0,H23,0%)</f>
        <v>0</v>
      </c>
      <c r="J23" s="118" t="s">
        <v>36</v>
      </c>
      <c r="K23" s="118"/>
      <c r="L23" s="118"/>
    </row>
    <row r="24" spans="1:12" ht="57.75" customHeight="1">
      <c r="A24" s="110" t="s">
        <v>146</v>
      </c>
      <c r="B24" s="110"/>
      <c r="C24" s="110"/>
      <c r="D24" s="110"/>
      <c r="E24" s="110"/>
      <c r="F24" s="14"/>
      <c r="G24" s="14"/>
      <c r="H24" s="40">
        <v>0.14000000000000001</v>
      </c>
      <c r="I24" s="40">
        <v>0</v>
      </c>
      <c r="J24" s="118" t="s">
        <v>36</v>
      </c>
      <c r="K24" s="118"/>
      <c r="L24" s="118"/>
    </row>
    <row r="25" spans="1:12" ht="70.5" customHeight="1">
      <c r="A25" s="110" t="s">
        <v>147</v>
      </c>
      <c r="B25" s="110"/>
      <c r="C25" s="110"/>
      <c r="D25" s="110"/>
      <c r="E25" s="110"/>
      <c r="F25" s="14"/>
      <c r="G25" s="14"/>
      <c r="H25" s="40">
        <v>0.14000000000000001</v>
      </c>
      <c r="I25" s="40">
        <f t="shared" si="1"/>
        <v>0</v>
      </c>
      <c r="J25" s="118" t="s">
        <v>36</v>
      </c>
      <c r="K25" s="118"/>
      <c r="L25" s="118"/>
    </row>
    <row r="26" spans="1:12" ht="56.25" customHeight="1">
      <c r="A26" s="110" t="s">
        <v>148</v>
      </c>
      <c r="B26" s="110"/>
      <c r="C26" s="110"/>
      <c r="D26" s="110"/>
      <c r="E26" s="110"/>
      <c r="F26" s="14"/>
      <c r="G26" s="14"/>
      <c r="H26" s="40">
        <v>0.14000000000000001</v>
      </c>
      <c r="I26" s="40">
        <f t="shared" si="1"/>
        <v>0</v>
      </c>
      <c r="J26" s="112"/>
      <c r="K26" s="112"/>
      <c r="L26" s="112"/>
    </row>
    <row r="27" spans="1:12" ht="48.75" customHeight="1">
      <c r="A27" s="110" t="s">
        <v>149</v>
      </c>
      <c r="B27" s="110"/>
      <c r="C27" s="110"/>
      <c r="D27" s="110"/>
      <c r="E27" s="110"/>
      <c r="F27" s="14"/>
      <c r="G27" s="14"/>
      <c r="H27" s="40">
        <v>0.14000000000000001</v>
      </c>
      <c r="I27" s="40">
        <f t="shared" si="1"/>
        <v>0</v>
      </c>
      <c r="J27" s="112"/>
      <c r="K27" s="112"/>
      <c r="L27" s="112"/>
    </row>
    <row r="28" spans="1:12" ht="73.5" customHeight="1">
      <c r="A28" s="110" t="s">
        <v>150</v>
      </c>
      <c r="B28" s="110"/>
      <c r="C28" s="110"/>
      <c r="D28" s="110"/>
      <c r="E28" s="110"/>
      <c r="F28" s="14"/>
      <c r="G28" s="14"/>
      <c r="H28" s="40">
        <v>0.14000000000000001</v>
      </c>
      <c r="I28" s="40">
        <f t="shared" si="1"/>
        <v>0</v>
      </c>
      <c r="J28" s="126"/>
      <c r="K28" s="127"/>
      <c r="L28" s="128"/>
    </row>
    <row r="29" spans="1:12">
      <c r="A29" s="43"/>
      <c r="B29" s="43"/>
      <c r="C29" s="43"/>
      <c r="D29" s="43"/>
      <c r="E29" s="43"/>
      <c r="F29" s="43"/>
      <c r="G29" s="69" t="s">
        <v>33</v>
      </c>
      <c r="H29" s="70">
        <v>1</v>
      </c>
      <c r="I29" s="71">
        <f>SUM(I22:I28)</f>
        <v>0</v>
      </c>
      <c r="J29" s="43"/>
      <c r="K29" s="116"/>
      <c r="L29" s="116"/>
    </row>
    <row r="30" spans="1:12" ht="15.75" thickBo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</row>
    <row r="31" spans="1:12" ht="15.75" thickBot="1">
      <c r="A31" s="43"/>
      <c r="B31" s="43"/>
      <c r="C31" s="43"/>
      <c r="D31" s="43"/>
      <c r="E31" s="43"/>
      <c r="F31" s="113" t="s">
        <v>47</v>
      </c>
      <c r="G31" s="113"/>
      <c r="H31" s="113"/>
      <c r="I31" s="60">
        <f>AVERAGE(I19,I29)</f>
        <v>0</v>
      </c>
      <c r="J31" s="43"/>
      <c r="K31" s="43"/>
      <c r="L31" s="43"/>
    </row>
    <row r="32" spans="1:1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</row>
    <row r="33" spans="1:12" ht="20.100000000000001" customHeight="1">
      <c r="A33" s="107" t="s">
        <v>48</v>
      </c>
      <c r="B33" s="108"/>
      <c r="C33" s="108"/>
      <c r="D33" s="108"/>
      <c r="E33" s="55"/>
      <c r="F33" s="43"/>
      <c r="G33" s="43"/>
      <c r="H33" s="43"/>
      <c r="I33" s="43"/>
      <c r="J33" s="43"/>
      <c r="K33" s="43"/>
      <c r="L33" s="43"/>
    </row>
    <row r="34" spans="1:12" ht="20.100000000000001" customHeight="1" thickBot="1">
      <c r="A34" s="57">
        <v>1</v>
      </c>
      <c r="B34" s="106" t="s">
        <v>49</v>
      </c>
      <c r="C34" s="106"/>
      <c r="D34" s="58"/>
      <c r="E34" s="56"/>
      <c r="F34" s="43"/>
      <c r="G34" s="105" t="s">
        <v>50</v>
      </c>
      <c r="H34" s="105"/>
      <c r="I34" s="105"/>
      <c r="J34" s="105"/>
      <c r="K34" s="53"/>
      <c r="L34" s="53"/>
    </row>
    <row r="35" spans="1:12" ht="20.100000000000001" customHeight="1">
      <c r="A35" s="57">
        <v>2</v>
      </c>
      <c r="B35" s="106" t="s">
        <v>51</v>
      </c>
      <c r="C35" s="106"/>
      <c r="D35" s="57"/>
      <c r="E35" s="56"/>
      <c r="F35" s="43"/>
      <c r="G35" s="62"/>
      <c r="H35" s="62"/>
      <c r="I35" s="62"/>
      <c r="J35" s="62"/>
      <c r="K35" s="43"/>
      <c r="L35" s="43"/>
    </row>
    <row r="36" spans="1:12" ht="20.100000000000001" customHeight="1" thickBot="1">
      <c r="A36" s="57">
        <v>3</v>
      </c>
      <c r="B36" s="106" t="s">
        <v>52</v>
      </c>
      <c r="C36" s="106"/>
      <c r="D36" s="57"/>
      <c r="E36" s="56"/>
      <c r="F36" s="43"/>
      <c r="G36" s="104" t="s">
        <v>53</v>
      </c>
      <c r="H36" s="104"/>
      <c r="I36" s="104"/>
      <c r="J36" s="104"/>
      <c r="K36" s="52"/>
      <c r="L36" s="53"/>
    </row>
    <row r="37" spans="1:12" ht="20.100000000000001" customHeight="1">
      <c r="A37" s="57">
        <v>4</v>
      </c>
      <c r="B37" s="106" t="s">
        <v>54</v>
      </c>
      <c r="C37" s="106"/>
      <c r="D37" s="57"/>
      <c r="E37" s="56"/>
      <c r="F37" s="43"/>
      <c r="G37" s="62"/>
      <c r="H37" s="62"/>
      <c r="I37" s="62"/>
      <c r="J37" s="62"/>
      <c r="K37" s="43"/>
      <c r="L37" s="43"/>
    </row>
    <row r="38" spans="1:12" ht="20.100000000000001" customHeight="1" thickBot="1">
      <c r="A38" s="57">
        <v>5</v>
      </c>
      <c r="B38" s="106" t="s">
        <v>55</v>
      </c>
      <c r="C38" s="106"/>
      <c r="D38" s="57"/>
      <c r="E38" s="43"/>
      <c r="F38" s="43"/>
      <c r="G38" s="104" t="s">
        <v>56</v>
      </c>
      <c r="H38" s="104"/>
      <c r="I38" s="104"/>
      <c r="J38" s="104"/>
      <c r="K38" s="53"/>
      <c r="L38" s="53"/>
    </row>
    <row r="39" spans="1:12" ht="20.100000000000001" customHeight="1">
      <c r="A39" s="59">
        <v>6</v>
      </c>
      <c r="B39" s="106" t="s">
        <v>57</v>
      </c>
      <c r="C39" s="106"/>
      <c r="D39" s="57"/>
      <c r="E39" s="43"/>
      <c r="F39" s="43"/>
      <c r="G39" s="61" t="s">
        <v>36</v>
      </c>
      <c r="H39" s="61"/>
      <c r="J39" s="61"/>
      <c r="K39" s="61"/>
      <c r="L39" s="61"/>
    </row>
    <row r="40" spans="1:12">
      <c r="A40" s="43"/>
      <c r="B40" s="43"/>
      <c r="C40" s="43"/>
      <c r="D40" s="43"/>
      <c r="E40" s="43"/>
      <c r="F40" s="43"/>
      <c r="G40" s="61"/>
      <c r="H40" s="61"/>
      <c r="I40" s="61"/>
      <c r="J40" s="61"/>
      <c r="K40" s="61"/>
      <c r="L40" s="61"/>
    </row>
    <row r="41" spans="1:12">
      <c r="A41" s="43"/>
      <c r="B41" s="43"/>
      <c r="C41" s="43"/>
      <c r="D41" s="43"/>
      <c r="E41" s="43"/>
      <c r="F41" s="43"/>
      <c r="G41" s="61"/>
      <c r="H41" s="61"/>
      <c r="I41" s="61"/>
      <c r="J41" s="61"/>
      <c r="K41" s="61"/>
      <c r="L41" s="61"/>
    </row>
    <row r="42" spans="1:12">
      <c r="A42" s="43"/>
      <c r="B42" s="43"/>
      <c r="C42" s="43"/>
      <c r="D42" s="43"/>
      <c r="E42" s="43"/>
      <c r="F42" s="43"/>
      <c r="G42" s="61"/>
      <c r="H42" s="61"/>
      <c r="I42" s="61"/>
      <c r="J42" s="61"/>
      <c r="K42" s="61"/>
      <c r="L42" s="61"/>
    </row>
    <row r="43" spans="1:1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</sheetData>
  <mergeCells count="52">
    <mergeCell ref="A16:E16"/>
    <mergeCell ref="J16:L16"/>
    <mergeCell ref="A10:E10"/>
    <mergeCell ref="J10:L10"/>
    <mergeCell ref="A11:E11"/>
    <mergeCell ref="A15:E15"/>
    <mergeCell ref="J15:L15"/>
    <mergeCell ref="J11:L11"/>
    <mergeCell ref="A12:E12"/>
    <mergeCell ref="J12:L12"/>
    <mergeCell ref="A13:E13"/>
    <mergeCell ref="J13:L13"/>
    <mergeCell ref="A14:E14"/>
    <mergeCell ref="J14:L14"/>
    <mergeCell ref="A5:L7"/>
    <mergeCell ref="A8:E8"/>
    <mergeCell ref="J8:L8"/>
    <mergeCell ref="A9:E9"/>
    <mergeCell ref="J9:L9"/>
    <mergeCell ref="J17:L17"/>
    <mergeCell ref="A18:E18"/>
    <mergeCell ref="J18:L18"/>
    <mergeCell ref="J19:L19"/>
    <mergeCell ref="A21:E21"/>
    <mergeCell ref="J21:L21"/>
    <mergeCell ref="A17:E17"/>
    <mergeCell ref="A28:E28"/>
    <mergeCell ref="J28:L28"/>
    <mergeCell ref="A22:E22"/>
    <mergeCell ref="J22:L22"/>
    <mergeCell ref="A23:E23"/>
    <mergeCell ref="J23:L23"/>
    <mergeCell ref="A24:E24"/>
    <mergeCell ref="J24:L24"/>
    <mergeCell ref="A27:E27"/>
    <mergeCell ref="J27:L27"/>
    <mergeCell ref="A25:E25"/>
    <mergeCell ref="J25:L25"/>
    <mergeCell ref="A26:E26"/>
    <mergeCell ref="J26:L26"/>
    <mergeCell ref="B39:C39"/>
    <mergeCell ref="K29:L29"/>
    <mergeCell ref="F31:H31"/>
    <mergeCell ref="A33:D33"/>
    <mergeCell ref="B34:C34"/>
    <mergeCell ref="G34:J34"/>
    <mergeCell ref="B35:C35"/>
    <mergeCell ref="B36:C36"/>
    <mergeCell ref="G36:J36"/>
    <mergeCell ref="B37:C37"/>
    <mergeCell ref="B38:C38"/>
    <mergeCell ref="G38:J38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2" manualBreakCount="2">
    <brk id="16" max="11" man="1"/>
    <brk id="31" max="11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124D-9112-4CAB-BB29-998CFA7B9CAB}">
  <sheetPr>
    <tabColor rgb="FF00FF00"/>
  </sheetPr>
  <dimension ref="A1:L40"/>
  <sheetViews>
    <sheetView zoomScale="106" zoomScaleNormal="106" zoomScaleSheetLayoutView="90" zoomScalePageLayoutView="90" workbookViewId="0">
      <selection activeCell="J13" sqref="J13:L13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11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58.5" customHeight="1">
      <c r="A9" s="110" t="s">
        <v>151</v>
      </c>
      <c r="B9" s="110"/>
      <c r="C9" s="110"/>
      <c r="D9" s="110"/>
      <c r="E9" s="110"/>
      <c r="F9" s="6"/>
      <c r="G9" s="36"/>
      <c r="H9" s="73">
        <v>0.16669999999999999</v>
      </c>
      <c r="I9" s="73">
        <f t="shared" ref="I9:I14" si="0">IF(F9&gt;0,H9,0%)</f>
        <v>0</v>
      </c>
      <c r="J9" s="119"/>
      <c r="K9" s="119"/>
      <c r="L9" s="119"/>
    </row>
    <row r="10" spans="1:12" ht="45.75" customHeight="1">
      <c r="A10" s="110" t="s">
        <v>152</v>
      </c>
      <c r="B10" s="110"/>
      <c r="C10" s="110"/>
      <c r="D10" s="110"/>
      <c r="E10" s="110"/>
      <c r="F10" s="6"/>
      <c r="G10" s="36"/>
      <c r="H10" s="73">
        <v>0.16669999999999999</v>
      </c>
      <c r="I10" s="73">
        <f t="shared" si="0"/>
        <v>0</v>
      </c>
      <c r="J10" s="119"/>
      <c r="K10" s="119"/>
      <c r="L10" s="119"/>
    </row>
    <row r="11" spans="1:12" ht="42" customHeight="1">
      <c r="A11" s="110" t="s">
        <v>153</v>
      </c>
      <c r="B11" s="110"/>
      <c r="C11" s="110"/>
      <c r="D11" s="110"/>
      <c r="E11" s="110"/>
      <c r="F11" s="6"/>
      <c r="G11" s="36"/>
      <c r="H11" s="73">
        <v>0.16669999999999999</v>
      </c>
      <c r="I11" s="73">
        <f t="shared" si="0"/>
        <v>0</v>
      </c>
      <c r="J11" s="119"/>
      <c r="K11" s="119"/>
      <c r="L11" s="119"/>
    </row>
    <row r="12" spans="1:12" ht="44.25" customHeight="1">
      <c r="A12" s="110" t="s">
        <v>154</v>
      </c>
      <c r="B12" s="110"/>
      <c r="C12" s="110"/>
      <c r="D12" s="110"/>
      <c r="E12" s="110"/>
      <c r="F12" s="6"/>
      <c r="G12" s="36"/>
      <c r="H12" s="73">
        <v>0.16669999999999999</v>
      </c>
      <c r="I12" s="73">
        <f t="shared" si="0"/>
        <v>0</v>
      </c>
      <c r="J12" s="119"/>
      <c r="K12" s="119"/>
      <c r="L12" s="119"/>
    </row>
    <row r="13" spans="1:12" ht="38.25" customHeight="1">
      <c r="A13" s="110" t="s">
        <v>155</v>
      </c>
      <c r="B13" s="110"/>
      <c r="C13" s="110"/>
      <c r="D13" s="110"/>
      <c r="E13" s="110"/>
      <c r="F13" s="6"/>
      <c r="G13" s="36"/>
      <c r="H13" s="73">
        <v>0.16669999999999999</v>
      </c>
      <c r="I13" s="73">
        <f t="shared" si="0"/>
        <v>0</v>
      </c>
      <c r="J13" s="119"/>
      <c r="K13" s="119"/>
      <c r="L13" s="119"/>
    </row>
    <row r="14" spans="1:12" ht="44.25" customHeight="1">
      <c r="A14" s="110" t="s">
        <v>156</v>
      </c>
      <c r="B14" s="110"/>
      <c r="C14" s="110"/>
      <c r="D14" s="110"/>
      <c r="E14" s="110"/>
      <c r="F14" s="6"/>
      <c r="G14" s="36"/>
      <c r="H14" s="73">
        <v>0.16669999999999999</v>
      </c>
      <c r="I14" s="73">
        <f t="shared" si="0"/>
        <v>0</v>
      </c>
      <c r="J14" s="119"/>
      <c r="K14" s="119"/>
      <c r="L14" s="119"/>
    </row>
    <row r="15" spans="1:12">
      <c r="A15" s="43"/>
      <c r="B15" s="43"/>
      <c r="C15" s="43"/>
      <c r="D15" s="43"/>
      <c r="E15" s="43"/>
      <c r="F15" s="43"/>
      <c r="G15" s="72" t="s">
        <v>33</v>
      </c>
      <c r="H15" s="70">
        <v>1</v>
      </c>
      <c r="I15" s="71">
        <f>SUM(I9:I14)</f>
        <v>0</v>
      </c>
      <c r="J15" s="116"/>
      <c r="K15" s="116"/>
      <c r="L15" s="116"/>
    </row>
    <row r="16" spans="1:12">
      <c r="A16" s="43"/>
      <c r="B16" s="43"/>
      <c r="C16" s="43"/>
      <c r="D16" s="43"/>
      <c r="E16" s="43"/>
      <c r="F16" s="43"/>
      <c r="H16" s="43"/>
      <c r="I16" s="51"/>
      <c r="J16" s="54"/>
      <c r="K16" s="54"/>
      <c r="L16" s="54"/>
    </row>
    <row r="17" spans="1:12">
      <c r="A17" s="121" t="s">
        <v>34</v>
      </c>
      <c r="B17" s="121"/>
      <c r="C17" s="121"/>
      <c r="D17" s="121"/>
      <c r="E17" s="121"/>
      <c r="F17" s="64" t="s">
        <v>24</v>
      </c>
      <c r="G17" s="64" t="s">
        <v>25</v>
      </c>
      <c r="H17" s="64" t="s">
        <v>26</v>
      </c>
      <c r="I17" s="64" t="s">
        <v>27</v>
      </c>
      <c r="J17" s="121" t="s">
        <v>28</v>
      </c>
      <c r="K17" s="121"/>
      <c r="L17" s="121"/>
    </row>
    <row r="18" spans="1:12" ht="59.25" customHeight="1">
      <c r="A18" s="110" t="s">
        <v>157</v>
      </c>
      <c r="B18" s="110"/>
      <c r="C18" s="110"/>
      <c r="D18" s="110"/>
      <c r="E18" s="110"/>
      <c r="F18" s="14"/>
      <c r="G18" s="49"/>
      <c r="H18" s="40">
        <v>0.125</v>
      </c>
      <c r="I18" s="40">
        <v>0</v>
      </c>
      <c r="J18" s="117" t="s">
        <v>36</v>
      </c>
      <c r="K18" s="117"/>
      <c r="L18" s="117"/>
    </row>
    <row r="19" spans="1:12" ht="46.5" customHeight="1">
      <c r="A19" s="110" t="s">
        <v>158</v>
      </c>
      <c r="B19" s="110"/>
      <c r="C19" s="110"/>
      <c r="D19" s="110"/>
      <c r="E19" s="110"/>
      <c r="F19" s="14"/>
      <c r="G19" s="14"/>
      <c r="H19" s="40">
        <v>0.125</v>
      </c>
      <c r="I19" s="40">
        <f t="shared" ref="I19:I25" si="1">IF(F19&gt;0,H19,0%)</f>
        <v>0</v>
      </c>
      <c r="J19" s="118" t="s">
        <v>36</v>
      </c>
      <c r="K19" s="118"/>
      <c r="L19" s="118"/>
    </row>
    <row r="20" spans="1:12" ht="42" customHeight="1">
      <c r="A20" s="110" t="s">
        <v>159</v>
      </c>
      <c r="B20" s="110"/>
      <c r="C20" s="110"/>
      <c r="D20" s="110"/>
      <c r="E20" s="110"/>
      <c r="F20" s="14"/>
      <c r="G20" s="14"/>
      <c r="H20" s="40">
        <v>0.125</v>
      </c>
      <c r="I20" s="40">
        <v>0</v>
      </c>
      <c r="J20" s="118" t="s">
        <v>36</v>
      </c>
      <c r="K20" s="118"/>
      <c r="L20" s="118"/>
    </row>
    <row r="21" spans="1:12" ht="41.25" customHeight="1">
      <c r="A21" s="110" t="s">
        <v>160</v>
      </c>
      <c r="B21" s="110"/>
      <c r="C21" s="110"/>
      <c r="D21" s="110"/>
      <c r="E21" s="110"/>
      <c r="F21" s="14"/>
      <c r="G21" s="14"/>
      <c r="H21" s="40">
        <v>0.125</v>
      </c>
      <c r="I21" s="40">
        <f t="shared" si="1"/>
        <v>0</v>
      </c>
      <c r="J21" s="118" t="s">
        <v>36</v>
      </c>
      <c r="K21" s="118"/>
      <c r="L21" s="118"/>
    </row>
    <row r="22" spans="1:12" ht="27" customHeight="1">
      <c r="A22" s="110" t="s">
        <v>161</v>
      </c>
      <c r="B22" s="110"/>
      <c r="C22" s="110"/>
      <c r="D22" s="110"/>
      <c r="E22" s="110"/>
      <c r="F22" s="14"/>
      <c r="G22" s="14"/>
      <c r="H22" s="40">
        <v>0.125</v>
      </c>
      <c r="I22" s="40">
        <f t="shared" si="1"/>
        <v>0</v>
      </c>
      <c r="J22" s="112"/>
      <c r="K22" s="112"/>
      <c r="L22" s="112"/>
    </row>
    <row r="23" spans="1:12" ht="48.75" customHeight="1">
      <c r="A23" s="110" t="s">
        <v>162</v>
      </c>
      <c r="B23" s="110"/>
      <c r="C23" s="110"/>
      <c r="D23" s="110"/>
      <c r="E23" s="110"/>
      <c r="F23" s="14"/>
      <c r="G23" s="14"/>
      <c r="H23" s="40">
        <v>0.125</v>
      </c>
      <c r="I23" s="40">
        <f t="shared" si="1"/>
        <v>0</v>
      </c>
      <c r="J23" s="112"/>
      <c r="K23" s="112"/>
      <c r="L23" s="112"/>
    </row>
    <row r="24" spans="1:12" ht="60.75" customHeight="1">
      <c r="A24" s="110" t="s">
        <v>163</v>
      </c>
      <c r="B24" s="110"/>
      <c r="C24" s="110"/>
      <c r="D24" s="110"/>
      <c r="E24" s="110"/>
      <c r="F24" s="14"/>
      <c r="G24" s="14"/>
      <c r="H24" s="40">
        <v>0.125</v>
      </c>
      <c r="I24" s="40">
        <f t="shared" si="1"/>
        <v>0</v>
      </c>
      <c r="J24" s="112"/>
      <c r="K24" s="112"/>
      <c r="L24" s="112"/>
    </row>
    <row r="25" spans="1:12" ht="68.25" customHeight="1">
      <c r="A25" s="110" t="s">
        <v>164</v>
      </c>
      <c r="B25" s="110"/>
      <c r="C25" s="110"/>
      <c r="D25" s="110"/>
      <c r="E25" s="110"/>
      <c r="F25" s="14"/>
      <c r="G25" s="14"/>
      <c r="H25" s="40">
        <v>0.125</v>
      </c>
      <c r="I25" s="40">
        <f t="shared" si="1"/>
        <v>0</v>
      </c>
      <c r="J25" s="126"/>
      <c r="K25" s="127"/>
      <c r="L25" s="128"/>
    </row>
    <row r="26" spans="1:12">
      <c r="A26" s="43"/>
      <c r="B26" s="43"/>
      <c r="C26" s="43"/>
      <c r="D26" s="43"/>
      <c r="E26" s="43"/>
      <c r="F26" s="43"/>
      <c r="G26" s="69" t="s">
        <v>33</v>
      </c>
      <c r="H26" s="70">
        <v>1</v>
      </c>
      <c r="I26" s="71">
        <f>SUM(I18:I25)</f>
        <v>0</v>
      </c>
      <c r="J26" s="43"/>
      <c r="K26" s="116"/>
      <c r="L26" s="116"/>
    </row>
    <row r="27" spans="1:12" ht="15.75" thickBo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</row>
    <row r="28" spans="1:12" ht="15.75" thickBot="1">
      <c r="A28" s="43"/>
      <c r="B28" s="43"/>
      <c r="C28" s="43"/>
      <c r="D28" s="43"/>
      <c r="E28" s="43"/>
      <c r="F28" s="113" t="s">
        <v>47</v>
      </c>
      <c r="G28" s="113"/>
      <c r="H28" s="113"/>
      <c r="I28" s="60">
        <f>AVERAGE(I15,I26)</f>
        <v>0</v>
      </c>
      <c r="J28" s="43"/>
      <c r="K28" s="43"/>
      <c r="L28" s="43"/>
    </row>
    <row r="29" spans="1:12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</row>
    <row r="30" spans="1:12" ht="20.100000000000001" customHeight="1">
      <c r="A30" s="107" t="s">
        <v>48</v>
      </c>
      <c r="B30" s="108"/>
      <c r="C30" s="108"/>
      <c r="D30" s="108"/>
      <c r="E30" s="55"/>
      <c r="F30" s="43"/>
      <c r="G30" s="43"/>
      <c r="H30" s="43"/>
      <c r="I30" s="43"/>
      <c r="J30" s="43"/>
      <c r="K30" s="43"/>
      <c r="L30" s="43"/>
    </row>
    <row r="31" spans="1:12" ht="20.100000000000001" customHeight="1" thickBot="1">
      <c r="A31" s="57">
        <v>1</v>
      </c>
      <c r="B31" s="106" t="s">
        <v>49</v>
      </c>
      <c r="C31" s="106"/>
      <c r="D31" s="58"/>
      <c r="E31" s="56"/>
      <c r="F31" s="43"/>
      <c r="G31" s="105" t="s">
        <v>50</v>
      </c>
      <c r="H31" s="105"/>
      <c r="I31" s="105"/>
      <c r="J31" s="105"/>
      <c r="K31" s="53"/>
      <c r="L31" s="53"/>
    </row>
    <row r="32" spans="1:12" ht="20.100000000000001" customHeight="1">
      <c r="A32" s="57">
        <v>2</v>
      </c>
      <c r="B32" s="106" t="s">
        <v>51</v>
      </c>
      <c r="C32" s="106"/>
      <c r="D32" s="57"/>
      <c r="E32" s="56"/>
      <c r="F32" s="43"/>
      <c r="G32" s="62"/>
      <c r="H32" s="62"/>
      <c r="I32" s="62"/>
      <c r="J32" s="62"/>
      <c r="K32" s="43"/>
      <c r="L32" s="43"/>
    </row>
    <row r="33" spans="1:12" ht="20.100000000000001" customHeight="1" thickBot="1">
      <c r="A33" s="57">
        <v>3</v>
      </c>
      <c r="B33" s="106" t="s">
        <v>52</v>
      </c>
      <c r="C33" s="106"/>
      <c r="D33" s="57"/>
      <c r="E33" s="56"/>
      <c r="F33" s="43"/>
      <c r="G33" s="104" t="s">
        <v>53</v>
      </c>
      <c r="H33" s="104"/>
      <c r="I33" s="104"/>
      <c r="J33" s="104"/>
      <c r="K33" s="52"/>
      <c r="L33" s="53"/>
    </row>
    <row r="34" spans="1:12" ht="20.100000000000001" customHeight="1">
      <c r="A34" s="57">
        <v>4</v>
      </c>
      <c r="B34" s="106" t="s">
        <v>54</v>
      </c>
      <c r="C34" s="106"/>
      <c r="D34" s="57"/>
      <c r="E34" s="56"/>
      <c r="F34" s="43"/>
      <c r="G34" s="62"/>
      <c r="H34" s="62"/>
      <c r="I34" s="62"/>
      <c r="J34" s="62"/>
      <c r="K34" s="43"/>
      <c r="L34" s="43"/>
    </row>
    <row r="35" spans="1:12" ht="20.100000000000001" customHeight="1" thickBot="1">
      <c r="A35" s="57">
        <v>5</v>
      </c>
      <c r="B35" s="106" t="s">
        <v>55</v>
      </c>
      <c r="C35" s="106"/>
      <c r="D35" s="57"/>
      <c r="E35" s="43"/>
      <c r="F35" s="43"/>
      <c r="G35" s="104" t="s">
        <v>56</v>
      </c>
      <c r="H35" s="104"/>
      <c r="I35" s="104"/>
      <c r="J35" s="104"/>
      <c r="K35" s="53"/>
      <c r="L35" s="53"/>
    </row>
    <row r="36" spans="1:12" ht="20.100000000000001" customHeight="1">
      <c r="A36" s="59">
        <v>6</v>
      </c>
      <c r="B36" s="106" t="s">
        <v>57</v>
      </c>
      <c r="C36" s="106"/>
      <c r="D36" s="57"/>
      <c r="E36" s="43"/>
      <c r="F36" s="43"/>
      <c r="G36" s="61" t="s">
        <v>36</v>
      </c>
      <c r="H36" s="61"/>
      <c r="J36" s="61"/>
      <c r="K36" s="61"/>
      <c r="L36" s="61"/>
    </row>
    <row r="37" spans="1:12">
      <c r="A37" s="43"/>
      <c r="B37" s="43"/>
      <c r="C37" s="43"/>
      <c r="D37" s="43"/>
      <c r="E37" s="43"/>
      <c r="F37" s="43"/>
      <c r="G37" s="61"/>
      <c r="H37" s="61"/>
      <c r="I37" s="61"/>
      <c r="J37" s="61"/>
      <c r="K37" s="61"/>
      <c r="L37" s="61"/>
    </row>
    <row r="38" spans="1:12">
      <c r="A38" s="43"/>
      <c r="B38" s="43"/>
      <c r="C38" s="43"/>
      <c r="D38" s="43"/>
      <c r="E38" s="43"/>
      <c r="F38" s="43"/>
      <c r="G38" s="61"/>
      <c r="H38" s="61"/>
      <c r="I38" s="61"/>
      <c r="J38" s="61"/>
      <c r="K38" s="61"/>
      <c r="L38" s="61"/>
    </row>
    <row r="39" spans="1:12">
      <c r="A39" s="43"/>
      <c r="B39" s="43"/>
      <c r="C39" s="43"/>
      <c r="D39" s="43"/>
      <c r="E39" s="43"/>
      <c r="F39" s="43"/>
      <c r="G39" s="61"/>
      <c r="H39" s="61"/>
      <c r="I39" s="61"/>
      <c r="J39" s="61"/>
      <c r="K39" s="61"/>
      <c r="L39" s="61"/>
    </row>
    <row r="40" spans="1:1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</sheetData>
  <mergeCells count="46">
    <mergeCell ref="A10:E10"/>
    <mergeCell ref="J10:L10"/>
    <mergeCell ref="A5:L7"/>
    <mergeCell ref="A8:E8"/>
    <mergeCell ref="J8:L8"/>
    <mergeCell ref="A9:E9"/>
    <mergeCell ref="J9:L9"/>
    <mergeCell ref="A11:E11"/>
    <mergeCell ref="J11:L11"/>
    <mergeCell ref="A12:E12"/>
    <mergeCell ref="J12:L12"/>
    <mergeCell ref="A13:E13"/>
    <mergeCell ref="J13:L13"/>
    <mergeCell ref="J15:L15"/>
    <mergeCell ref="A17:E17"/>
    <mergeCell ref="J17:L17"/>
    <mergeCell ref="A14:E14"/>
    <mergeCell ref="J14:L14"/>
    <mergeCell ref="A18:E18"/>
    <mergeCell ref="J18:L18"/>
    <mergeCell ref="A19:E19"/>
    <mergeCell ref="J19:L19"/>
    <mergeCell ref="A20:E20"/>
    <mergeCell ref="J20:L20"/>
    <mergeCell ref="A21:E21"/>
    <mergeCell ref="J21:L21"/>
    <mergeCell ref="A22:E22"/>
    <mergeCell ref="J22:L22"/>
    <mergeCell ref="A23:E23"/>
    <mergeCell ref="J23:L23"/>
    <mergeCell ref="B36:C36"/>
    <mergeCell ref="A24:E24"/>
    <mergeCell ref="J24:L24"/>
    <mergeCell ref="B32:C32"/>
    <mergeCell ref="B33:C33"/>
    <mergeCell ref="G33:J33"/>
    <mergeCell ref="B34:C34"/>
    <mergeCell ref="B35:C35"/>
    <mergeCell ref="G35:J35"/>
    <mergeCell ref="A25:E25"/>
    <mergeCell ref="J25:L25"/>
    <mergeCell ref="K26:L26"/>
    <mergeCell ref="F28:H28"/>
    <mergeCell ref="A30:D30"/>
    <mergeCell ref="B31:C31"/>
    <mergeCell ref="G31:J31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20" max="1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CA3B-E005-4DC8-9A87-E560B7BDDD00}">
  <sheetPr>
    <tabColor rgb="FF00FF00"/>
  </sheetPr>
  <dimension ref="A1:L35"/>
  <sheetViews>
    <sheetView topLeftCell="A10" zoomScale="106" zoomScaleNormal="106" zoomScaleSheetLayoutView="90" zoomScalePageLayoutView="90" workbookViewId="0">
      <selection activeCell="I23" sqref="I23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58.5" customHeight="1">
      <c r="A9" s="110" t="s">
        <v>165</v>
      </c>
      <c r="B9" s="110"/>
      <c r="C9" s="110"/>
      <c r="D9" s="110"/>
      <c r="E9" s="110"/>
      <c r="F9" s="6"/>
      <c r="G9" s="36"/>
      <c r="H9" s="73">
        <v>0.25</v>
      </c>
      <c r="I9" s="73">
        <f>IF(F9&gt;0,H9,0%)</f>
        <v>0</v>
      </c>
      <c r="J9" s="119"/>
      <c r="K9" s="119"/>
      <c r="L9" s="119"/>
    </row>
    <row r="10" spans="1:12" ht="59.25" customHeight="1">
      <c r="A10" s="110" t="s">
        <v>166</v>
      </c>
      <c r="B10" s="110"/>
      <c r="C10" s="110"/>
      <c r="D10" s="110"/>
      <c r="E10" s="110"/>
      <c r="F10" s="6"/>
      <c r="G10" s="36"/>
      <c r="H10" s="73">
        <v>0.25</v>
      </c>
      <c r="I10" s="73">
        <f>IF(F10&gt;0,H10,0%)</f>
        <v>0</v>
      </c>
      <c r="J10" s="119"/>
      <c r="K10" s="119"/>
      <c r="L10" s="119"/>
    </row>
    <row r="11" spans="1:12" ht="46.5" customHeight="1">
      <c r="A11" s="110" t="s">
        <v>167</v>
      </c>
      <c r="B11" s="110"/>
      <c r="C11" s="110"/>
      <c r="D11" s="110"/>
      <c r="E11" s="110"/>
      <c r="F11" s="6"/>
      <c r="G11" s="36"/>
      <c r="H11" s="73">
        <v>0.25</v>
      </c>
      <c r="I11" s="73">
        <f>IF(F11&gt;0,H11,0%)</f>
        <v>0</v>
      </c>
      <c r="J11" s="119"/>
      <c r="K11" s="119"/>
      <c r="L11" s="119"/>
    </row>
    <row r="12" spans="1:12" ht="72.75" customHeight="1">
      <c r="A12" s="110" t="s">
        <v>168</v>
      </c>
      <c r="B12" s="110"/>
      <c r="C12" s="110"/>
      <c r="D12" s="110"/>
      <c r="E12" s="110"/>
      <c r="F12" s="6"/>
      <c r="G12" s="36"/>
      <c r="H12" s="73">
        <v>0.25</v>
      </c>
      <c r="I12" s="73">
        <f>IF(F12&gt;0,H12,0%)</f>
        <v>0</v>
      </c>
      <c r="J12" s="119"/>
      <c r="K12" s="119"/>
      <c r="L12" s="119"/>
    </row>
    <row r="13" spans="1:12">
      <c r="A13" s="43"/>
      <c r="B13" s="43"/>
      <c r="C13" s="43"/>
      <c r="D13" s="43"/>
      <c r="E13" s="43"/>
      <c r="F13" s="43"/>
      <c r="G13" s="72" t="s">
        <v>33</v>
      </c>
      <c r="H13" s="70">
        <v>1</v>
      </c>
      <c r="I13" s="71">
        <f>SUM(I9:I12)</f>
        <v>0</v>
      </c>
      <c r="J13" s="116"/>
      <c r="K13" s="116"/>
      <c r="L13" s="116"/>
    </row>
    <row r="14" spans="1:12">
      <c r="A14" s="43"/>
      <c r="B14" s="43"/>
      <c r="C14" s="43"/>
      <c r="D14" s="43"/>
      <c r="E14" s="43"/>
      <c r="F14" s="43"/>
      <c r="H14" s="43"/>
      <c r="I14" s="51"/>
      <c r="J14" s="54"/>
      <c r="K14" s="54"/>
      <c r="L14" s="54"/>
    </row>
    <row r="15" spans="1:12">
      <c r="A15" s="121" t="s">
        <v>34</v>
      </c>
      <c r="B15" s="121"/>
      <c r="C15" s="121"/>
      <c r="D15" s="121"/>
      <c r="E15" s="121"/>
      <c r="F15" s="64" t="s">
        <v>24</v>
      </c>
      <c r="G15" s="64" t="s">
        <v>25</v>
      </c>
      <c r="H15" s="64" t="s">
        <v>26</v>
      </c>
      <c r="I15" s="64" t="s">
        <v>27</v>
      </c>
      <c r="J15" s="121" t="s">
        <v>28</v>
      </c>
      <c r="K15" s="121"/>
      <c r="L15" s="121"/>
    </row>
    <row r="16" spans="1:12" ht="49.5" customHeight="1">
      <c r="A16" s="110" t="s">
        <v>169</v>
      </c>
      <c r="B16" s="110"/>
      <c r="C16" s="110"/>
      <c r="D16" s="110"/>
      <c r="E16" s="110"/>
      <c r="F16" s="14"/>
      <c r="G16" s="49"/>
      <c r="H16" s="40">
        <v>0.2</v>
      </c>
      <c r="I16" s="40">
        <v>0</v>
      </c>
      <c r="J16" s="117" t="s">
        <v>36</v>
      </c>
      <c r="K16" s="117"/>
      <c r="L16" s="117"/>
    </row>
    <row r="17" spans="1:12" ht="46.5" customHeight="1">
      <c r="A17" s="110" t="s">
        <v>170</v>
      </c>
      <c r="B17" s="110"/>
      <c r="C17" s="110"/>
      <c r="D17" s="110"/>
      <c r="E17" s="110"/>
      <c r="F17" s="14"/>
      <c r="G17" s="14"/>
      <c r="H17" s="40">
        <v>0.2</v>
      </c>
      <c r="I17" s="40">
        <f>IF(F17&gt;0,H17,0%)</f>
        <v>0</v>
      </c>
      <c r="J17" s="118" t="s">
        <v>36</v>
      </c>
      <c r="K17" s="118"/>
      <c r="L17" s="118"/>
    </row>
    <row r="18" spans="1:12" ht="56.25" customHeight="1">
      <c r="A18" s="110" t="s">
        <v>171</v>
      </c>
      <c r="B18" s="110"/>
      <c r="C18" s="110"/>
      <c r="D18" s="110"/>
      <c r="E18" s="110"/>
      <c r="F18" s="14"/>
      <c r="G18" s="14"/>
      <c r="H18" s="40">
        <v>0.2</v>
      </c>
      <c r="I18" s="40">
        <v>0</v>
      </c>
      <c r="J18" s="118" t="s">
        <v>36</v>
      </c>
      <c r="K18" s="118"/>
      <c r="L18" s="118"/>
    </row>
    <row r="19" spans="1:12" ht="41.25" customHeight="1">
      <c r="A19" s="110" t="s">
        <v>172</v>
      </c>
      <c r="B19" s="110"/>
      <c r="C19" s="110"/>
      <c r="D19" s="110"/>
      <c r="E19" s="110"/>
      <c r="F19" s="14"/>
      <c r="G19" s="14"/>
      <c r="H19" s="40">
        <v>0.2</v>
      </c>
      <c r="I19" s="40">
        <f>IF(F19&gt;0,H19,0%)</f>
        <v>0</v>
      </c>
      <c r="J19" s="118" t="s">
        <v>36</v>
      </c>
      <c r="K19" s="118"/>
      <c r="L19" s="118"/>
    </row>
    <row r="20" spans="1:12" ht="58.5" customHeight="1">
      <c r="A20" s="110" t="s">
        <v>173</v>
      </c>
      <c r="B20" s="110"/>
      <c r="C20" s="110"/>
      <c r="D20" s="110"/>
      <c r="E20" s="110"/>
      <c r="F20" s="14"/>
      <c r="G20" s="14"/>
      <c r="H20" s="40">
        <v>0.2</v>
      </c>
      <c r="I20" s="40">
        <f>IF(F20&gt;0,H20,0%)</f>
        <v>0</v>
      </c>
      <c r="J20" s="112"/>
      <c r="K20" s="112"/>
      <c r="L20" s="112"/>
    </row>
    <row r="21" spans="1:12">
      <c r="A21" s="43"/>
      <c r="B21" s="43"/>
      <c r="C21" s="43"/>
      <c r="D21" s="43"/>
      <c r="E21" s="43"/>
      <c r="F21" s="43"/>
      <c r="G21" s="69" t="s">
        <v>33</v>
      </c>
      <c r="H21" s="70">
        <v>1</v>
      </c>
      <c r="I21" s="71">
        <f>SUM(I16:I20)</f>
        <v>0</v>
      </c>
      <c r="J21" s="43"/>
      <c r="K21" s="116"/>
      <c r="L21" s="116"/>
    </row>
    <row r="22" spans="1:12" ht="15.75" thickBo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</row>
    <row r="23" spans="1:12" ht="15.75" thickBot="1">
      <c r="A23" s="43"/>
      <c r="B23" s="43"/>
      <c r="C23" s="43"/>
      <c r="D23" s="43"/>
      <c r="E23" s="43"/>
      <c r="F23" s="113" t="s">
        <v>47</v>
      </c>
      <c r="G23" s="113"/>
      <c r="H23" s="113"/>
      <c r="I23" s="60">
        <f>AVERAGE(I13,I21)</f>
        <v>0</v>
      </c>
      <c r="J23" s="43"/>
      <c r="K23" s="43"/>
      <c r="L23" s="43"/>
    </row>
    <row r="24" spans="1:12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</row>
    <row r="25" spans="1:12" ht="20.100000000000001" customHeight="1">
      <c r="A25" s="107" t="s">
        <v>48</v>
      </c>
      <c r="B25" s="108"/>
      <c r="C25" s="108"/>
      <c r="D25" s="108"/>
      <c r="E25" s="55"/>
      <c r="F25" s="43"/>
      <c r="G25" s="43"/>
      <c r="H25" s="43"/>
      <c r="I25" s="43"/>
      <c r="J25" s="43"/>
      <c r="K25" s="43"/>
      <c r="L25" s="43"/>
    </row>
    <row r="26" spans="1:12" ht="20.100000000000001" customHeight="1" thickBot="1">
      <c r="A26" s="57">
        <v>1</v>
      </c>
      <c r="B26" s="106" t="s">
        <v>49</v>
      </c>
      <c r="C26" s="106"/>
      <c r="D26" s="58"/>
      <c r="E26" s="56"/>
      <c r="F26" s="43"/>
      <c r="G26" s="105" t="s">
        <v>50</v>
      </c>
      <c r="H26" s="105"/>
      <c r="I26" s="105"/>
      <c r="J26" s="105"/>
      <c r="K26" s="53"/>
      <c r="L26" s="53"/>
    </row>
    <row r="27" spans="1:12" ht="20.100000000000001" customHeight="1">
      <c r="A27" s="57">
        <v>2</v>
      </c>
      <c r="B27" s="106" t="s">
        <v>51</v>
      </c>
      <c r="C27" s="106"/>
      <c r="D27" s="57"/>
      <c r="E27" s="56"/>
      <c r="F27" s="43"/>
      <c r="G27" s="62"/>
      <c r="H27" s="62"/>
      <c r="I27" s="62"/>
      <c r="J27" s="62"/>
      <c r="K27" s="43"/>
      <c r="L27" s="43"/>
    </row>
    <row r="28" spans="1:12" ht="20.100000000000001" customHeight="1" thickBot="1">
      <c r="A28" s="57">
        <v>3</v>
      </c>
      <c r="B28" s="106" t="s">
        <v>52</v>
      </c>
      <c r="C28" s="106"/>
      <c r="D28" s="57"/>
      <c r="E28" s="56"/>
      <c r="F28" s="43"/>
      <c r="G28" s="104" t="s">
        <v>53</v>
      </c>
      <c r="H28" s="104"/>
      <c r="I28" s="104"/>
      <c r="J28" s="104"/>
      <c r="K28" s="52"/>
      <c r="L28" s="53"/>
    </row>
    <row r="29" spans="1:12" ht="20.100000000000001" customHeight="1">
      <c r="A29" s="57">
        <v>4</v>
      </c>
      <c r="B29" s="106" t="s">
        <v>54</v>
      </c>
      <c r="C29" s="106"/>
      <c r="D29" s="57"/>
      <c r="E29" s="56"/>
      <c r="F29" s="43"/>
      <c r="G29" s="62"/>
      <c r="H29" s="62"/>
      <c r="I29" s="62"/>
      <c r="J29" s="62"/>
      <c r="K29" s="43"/>
      <c r="L29" s="43"/>
    </row>
    <row r="30" spans="1:12" ht="20.100000000000001" customHeight="1" thickBot="1">
      <c r="A30" s="57">
        <v>5</v>
      </c>
      <c r="B30" s="106" t="s">
        <v>55</v>
      </c>
      <c r="C30" s="106"/>
      <c r="D30" s="57"/>
      <c r="E30" s="43"/>
      <c r="F30" s="43"/>
      <c r="G30" s="104" t="s">
        <v>56</v>
      </c>
      <c r="H30" s="104"/>
      <c r="I30" s="104"/>
      <c r="J30" s="104"/>
      <c r="K30" s="53"/>
      <c r="L30" s="53"/>
    </row>
    <row r="31" spans="1:12" ht="20.100000000000001" customHeight="1">
      <c r="A31" s="59">
        <v>6</v>
      </c>
      <c r="B31" s="106" t="s">
        <v>57</v>
      </c>
      <c r="C31" s="106"/>
      <c r="D31" s="57"/>
      <c r="E31" s="43"/>
      <c r="F31" s="43"/>
      <c r="G31" s="61" t="s">
        <v>36</v>
      </c>
      <c r="H31" s="61"/>
      <c r="J31" s="61"/>
      <c r="K31" s="61"/>
      <c r="L31" s="61"/>
    </row>
    <row r="32" spans="1:12">
      <c r="A32" s="43"/>
      <c r="B32" s="43"/>
      <c r="C32" s="43"/>
      <c r="D32" s="43"/>
      <c r="E32" s="43"/>
      <c r="F32" s="43"/>
      <c r="G32" s="61"/>
      <c r="H32" s="61"/>
      <c r="I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61"/>
      <c r="H33" s="61"/>
      <c r="I33" s="61"/>
      <c r="J33" s="61"/>
      <c r="K33" s="61"/>
      <c r="L33" s="61"/>
    </row>
    <row r="34" spans="1:12">
      <c r="A34" s="43"/>
      <c r="B34" s="43"/>
      <c r="C34" s="43"/>
      <c r="D34" s="43"/>
      <c r="E34" s="43"/>
      <c r="F34" s="43"/>
      <c r="G34" s="61"/>
      <c r="H34" s="61"/>
      <c r="I34" s="61"/>
      <c r="J34" s="61"/>
      <c r="K34" s="61"/>
      <c r="L34" s="61"/>
    </row>
    <row r="35" spans="1:12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</row>
  </sheetData>
  <mergeCells count="36">
    <mergeCell ref="A11:E11"/>
    <mergeCell ref="J11:L11"/>
    <mergeCell ref="A12:E12"/>
    <mergeCell ref="J12:L12"/>
    <mergeCell ref="A5:L7"/>
    <mergeCell ref="A8:E8"/>
    <mergeCell ref="J8:L8"/>
    <mergeCell ref="A9:E9"/>
    <mergeCell ref="J9:L9"/>
    <mergeCell ref="A10:E10"/>
    <mergeCell ref="J10:L10"/>
    <mergeCell ref="J13:L13"/>
    <mergeCell ref="A15:E15"/>
    <mergeCell ref="J15:L15"/>
    <mergeCell ref="A16:E16"/>
    <mergeCell ref="J16:L16"/>
    <mergeCell ref="A20:E20"/>
    <mergeCell ref="J20:L20"/>
    <mergeCell ref="A17:E17"/>
    <mergeCell ref="J17:L17"/>
    <mergeCell ref="A18:E18"/>
    <mergeCell ref="J18:L18"/>
    <mergeCell ref="A19:E19"/>
    <mergeCell ref="J19:L19"/>
    <mergeCell ref="K21:L21"/>
    <mergeCell ref="F23:H23"/>
    <mergeCell ref="A25:D25"/>
    <mergeCell ref="B26:C26"/>
    <mergeCell ref="G26:J26"/>
    <mergeCell ref="B31:C31"/>
    <mergeCell ref="B27:C27"/>
    <mergeCell ref="B28:C28"/>
    <mergeCell ref="G28:J28"/>
    <mergeCell ref="B29:C29"/>
    <mergeCell ref="B30:C30"/>
    <mergeCell ref="G30:J30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18" max="11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97AD-CA91-47C9-9A05-1ECBC34BA7D7}">
  <sheetPr>
    <tabColor rgb="FF00FF00"/>
  </sheetPr>
  <dimension ref="A1:L34"/>
  <sheetViews>
    <sheetView topLeftCell="A6" zoomScale="106" zoomScaleNormal="106" zoomScaleSheetLayoutView="90" zoomScalePageLayoutView="90" workbookViewId="0">
      <selection activeCell="I22" sqref="I22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174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52.5" customHeight="1">
      <c r="A9" s="110" t="s">
        <v>175</v>
      </c>
      <c r="B9" s="110"/>
      <c r="C9" s="110"/>
      <c r="D9" s="110"/>
      <c r="E9" s="110"/>
      <c r="F9" s="6"/>
      <c r="G9" s="36"/>
      <c r="H9" s="73">
        <v>0.25</v>
      </c>
      <c r="I9" s="73">
        <f>IF(F9&gt;0,H9,0%)</f>
        <v>0</v>
      </c>
      <c r="J9" s="119"/>
      <c r="K9" s="119"/>
      <c r="L9" s="119"/>
    </row>
    <row r="10" spans="1:12" ht="54" customHeight="1">
      <c r="A10" s="110" t="s">
        <v>176</v>
      </c>
      <c r="B10" s="110"/>
      <c r="C10" s="110"/>
      <c r="D10" s="110"/>
      <c r="E10" s="110"/>
      <c r="F10" s="6"/>
      <c r="G10" s="36"/>
      <c r="H10" s="73">
        <v>0.25</v>
      </c>
      <c r="I10" s="73">
        <f>IF(F10&gt;0,H10,0%)</f>
        <v>0</v>
      </c>
      <c r="J10" s="119"/>
      <c r="K10" s="119"/>
      <c r="L10" s="119"/>
    </row>
    <row r="11" spans="1:12" ht="42" customHeight="1">
      <c r="A11" s="110" t="s">
        <v>177</v>
      </c>
      <c r="B11" s="110"/>
      <c r="C11" s="110"/>
      <c r="D11" s="110"/>
      <c r="E11" s="110"/>
      <c r="F11" s="6"/>
      <c r="G11" s="36"/>
      <c r="H11" s="73">
        <v>0.25</v>
      </c>
      <c r="I11" s="73">
        <f>IF(F11&gt;0,H11,0%)</f>
        <v>0</v>
      </c>
      <c r="J11" s="119"/>
      <c r="K11" s="119"/>
      <c r="L11" s="119"/>
    </row>
    <row r="12" spans="1:12" ht="67.5" customHeight="1">
      <c r="A12" s="110" t="s">
        <v>178</v>
      </c>
      <c r="B12" s="110"/>
      <c r="C12" s="110"/>
      <c r="D12" s="110"/>
      <c r="E12" s="110"/>
      <c r="F12" s="6"/>
      <c r="G12" s="36"/>
      <c r="H12" s="73">
        <v>0.25</v>
      </c>
      <c r="I12" s="73">
        <f>IF(F12&gt;0,H12,0%)</f>
        <v>0</v>
      </c>
      <c r="J12" s="119"/>
      <c r="K12" s="119"/>
      <c r="L12" s="119"/>
    </row>
    <row r="13" spans="1:12">
      <c r="A13" s="43"/>
      <c r="B13" s="43"/>
      <c r="C13" s="43"/>
      <c r="D13" s="43"/>
      <c r="E13" s="43"/>
      <c r="F13" s="43"/>
      <c r="G13" s="72" t="s">
        <v>33</v>
      </c>
      <c r="H13" s="70">
        <v>1</v>
      </c>
      <c r="I13" s="71">
        <f>SUM(I9:I12)</f>
        <v>0</v>
      </c>
      <c r="J13" s="116"/>
      <c r="K13" s="116"/>
      <c r="L13" s="116"/>
    </row>
    <row r="14" spans="1:12">
      <c r="A14" s="43"/>
      <c r="B14" s="43"/>
      <c r="C14" s="43"/>
      <c r="D14" s="43"/>
      <c r="E14" s="43"/>
      <c r="F14" s="43"/>
      <c r="H14" s="43"/>
      <c r="I14" s="51"/>
      <c r="J14" s="54"/>
      <c r="K14" s="54"/>
      <c r="L14" s="54"/>
    </row>
    <row r="15" spans="1:12">
      <c r="A15" s="121" t="s">
        <v>34</v>
      </c>
      <c r="B15" s="121"/>
      <c r="C15" s="121"/>
      <c r="D15" s="121"/>
      <c r="E15" s="121"/>
      <c r="F15" s="64" t="s">
        <v>24</v>
      </c>
      <c r="G15" s="64" t="s">
        <v>25</v>
      </c>
      <c r="H15" s="64" t="s">
        <v>26</v>
      </c>
      <c r="I15" s="64" t="s">
        <v>27</v>
      </c>
      <c r="J15" s="121" t="s">
        <v>28</v>
      </c>
      <c r="K15" s="121"/>
      <c r="L15" s="121"/>
    </row>
    <row r="16" spans="1:12" ht="49.5" customHeight="1">
      <c r="A16" s="110" t="s">
        <v>179</v>
      </c>
      <c r="B16" s="110"/>
      <c r="C16" s="110"/>
      <c r="D16" s="110"/>
      <c r="E16" s="110"/>
      <c r="F16" s="14"/>
      <c r="G16" s="49"/>
      <c r="H16" s="40">
        <v>0.25</v>
      </c>
      <c r="I16" s="40">
        <v>0</v>
      </c>
      <c r="J16" s="117" t="s">
        <v>36</v>
      </c>
      <c r="K16" s="117"/>
      <c r="L16" s="117"/>
    </row>
    <row r="17" spans="1:12" ht="46.5" customHeight="1">
      <c r="A17" s="110" t="s">
        <v>180</v>
      </c>
      <c r="B17" s="110"/>
      <c r="C17" s="110"/>
      <c r="D17" s="110"/>
      <c r="E17" s="110"/>
      <c r="F17" s="14"/>
      <c r="G17" s="14"/>
      <c r="H17" s="40">
        <v>0.25</v>
      </c>
      <c r="I17" s="40">
        <f>IF(F17&gt;0,H17,0%)</f>
        <v>0</v>
      </c>
      <c r="J17" s="118" t="s">
        <v>36</v>
      </c>
      <c r="K17" s="118"/>
      <c r="L17" s="118"/>
    </row>
    <row r="18" spans="1:12" ht="56.25" customHeight="1">
      <c r="A18" s="110" t="s">
        <v>181</v>
      </c>
      <c r="B18" s="110"/>
      <c r="C18" s="110"/>
      <c r="D18" s="110"/>
      <c r="E18" s="110"/>
      <c r="F18" s="14"/>
      <c r="G18" s="14"/>
      <c r="H18" s="40">
        <v>0.25</v>
      </c>
      <c r="I18" s="40">
        <v>0</v>
      </c>
      <c r="J18" s="118" t="s">
        <v>36</v>
      </c>
      <c r="K18" s="118"/>
      <c r="L18" s="118"/>
    </row>
    <row r="19" spans="1:12" ht="41.25" customHeight="1">
      <c r="A19" s="110" t="s">
        <v>182</v>
      </c>
      <c r="B19" s="110"/>
      <c r="C19" s="110"/>
      <c r="D19" s="110"/>
      <c r="E19" s="110"/>
      <c r="F19" s="14"/>
      <c r="G19" s="14"/>
      <c r="H19" s="40">
        <v>0.25</v>
      </c>
      <c r="I19" s="40">
        <f>IF(F19&gt;0,H19,0%)</f>
        <v>0</v>
      </c>
      <c r="J19" s="118" t="s">
        <v>36</v>
      </c>
      <c r="K19" s="118"/>
      <c r="L19" s="118"/>
    </row>
    <row r="20" spans="1:12">
      <c r="A20" s="43"/>
      <c r="B20" s="43"/>
      <c r="C20" s="43"/>
      <c r="D20" s="43"/>
      <c r="E20" s="43"/>
      <c r="F20" s="43"/>
      <c r="G20" s="69" t="s">
        <v>33</v>
      </c>
      <c r="H20" s="70">
        <v>1</v>
      </c>
      <c r="I20" s="71">
        <f>SUM(I16:I19)</f>
        <v>0</v>
      </c>
      <c r="J20" s="43"/>
      <c r="K20" s="116"/>
      <c r="L20" s="116"/>
    </row>
    <row r="21" spans="1:12" ht="15.75" thickBo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ht="15.75" thickBot="1">
      <c r="A22" s="43"/>
      <c r="B22" s="43"/>
      <c r="C22" s="43"/>
      <c r="D22" s="43"/>
      <c r="E22" s="43"/>
      <c r="F22" s="113" t="s">
        <v>47</v>
      </c>
      <c r="G22" s="113"/>
      <c r="H22" s="113"/>
      <c r="I22" s="60">
        <f>AVERAGE(I13,I20)</f>
        <v>0</v>
      </c>
      <c r="J22" s="43"/>
      <c r="K22" s="43"/>
      <c r="L22" s="43"/>
    </row>
    <row r="23" spans="1:1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20.100000000000001" customHeight="1">
      <c r="A24" s="107" t="s">
        <v>48</v>
      </c>
      <c r="B24" s="108"/>
      <c r="C24" s="108"/>
      <c r="D24" s="108"/>
      <c r="E24" s="55"/>
      <c r="F24" s="43"/>
      <c r="G24" s="43"/>
      <c r="H24" s="43"/>
      <c r="I24" s="43"/>
      <c r="J24" s="43"/>
      <c r="K24" s="43"/>
      <c r="L24" s="43"/>
    </row>
    <row r="25" spans="1:12" ht="20.100000000000001" customHeight="1" thickBot="1">
      <c r="A25" s="57">
        <v>1</v>
      </c>
      <c r="B25" s="106" t="s">
        <v>49</v>
      </c>
      <c r="C25" s="106"/>
      <c r="D25" s="58"/>
      <c r="E25" s="56"/>
      <c r="F25" s="43"/>
      <c r="G25" s="105" t="s">
        <v>50</v>
      </c>
      <c r="H25" s="105"/>
      <c r="I25" s="105"/>
      <c r="J25" s="105"/>
      <c r="K25" s="53"/>
      <c r="L25" s="53"/>
    </row>
    <row r="26" spans="1:12" ht="20.100000000000001" customHeight="1">
      <c r="A26" s="57">
        <v>2</v>
      </c>
      <c r="B26" s="106" t="s">
        <v>51</v>
      </c>
      <c r="C26" s="106"/>
      <c r="D26" s="57"/>
      <c r="E26" s="56"/>
      <c r="F26" s="43"/>
      <c r="G26" s="62"/>
      <c r="H26" s="62"/>
      <c r="I26" s="62"/>
      <c r="J26" s="62"/>
      <c r="K26" s="43"/>
      <c r="L26" s="43"/>
    </row>
    <row r="27" spans="1:12" ht="20.100000000000001" customHeight="1" thickBot="1">
      <c r="A27" s="57">
        <v>3</v>
      </c>
      <c r="B27" s="106" t="s">
        <v>52</v>
      </c>
      <c r="C27" s="106"/>
      <c r="D27" s="57"/>
      <c r="E27" s="56"/>
      <c r="F27" s="43"/>
      <c r="G27" s="104" t="s">
        <v>53</v>
      </c>
      <c r="H27" s="104"/>
      <c r="I27" s="104"/>
      <c r="J27" s="104"/>
      <c r="K27" s="52"/>
      <c r="L27" s="53"/>
    </row>
    <row r="28" spans="1:12" ht="20.100000000000001" customHeight="1">
      <c r="A28" s="57">
        <v>4</v>
      </c>
      <c r="B28" s="106" t="s">
        <v>54</v>
      </c>
      <c r="C28" s="106"/>
      <c r="D28" s="57"/>
      <c r="E28" s="56"/>
      <c r="F28" s="43"/>
      <c r="G28" s="62"/>
      <c r="H28" s="62"/>
      <c r="I28" s="62"/>
      <c r="J28" s="62"/>
      <c r="K28" s="43"/>
      <c r="L28" s="43"/>
    </row>
    <row r="29" spans="1:12" ht="20.100000000000001" customHeight="1" thickBot="1">
      <c r="A29" s="57">
        <v>5</v>
      </c>
      <c r="B29" s="106" t="s">
        <v>55</v>
      </c>
      <c r="C29" s="106"/>
      <c r="D29" s="57"/>
      <c r="E29" s="43"/>
      <c r="F29" s="43"/>
      <c r="G29" s="104" t="s">
        <v>56</v>
      </c>
      <c r="H29" s="104"/>
      <c r="I29" s="104"/>
      <c r="J29" s="104"/>
      <c r="K29" s="53"/>
      <c r="L29" s="53"/>
    </row>
    <row r="30" spans="1:12" ht="20.100000000000001" customHeight="1">
      <c r="A30" s="59">
        <v>6</v>
      </c>
      <c r="B30" s="106" t="s">
        <v>57</v>
      </c>
      <c r="C30" s="106"/>
      <c r="D30" s="57"/>
      <c r="E30" s="43"/>
      <c r="F30" s="43"/>
      <c r="G30" s="61" t="s">
        <v>36</v>
      </c>
      <c r="H30" s="61"/>
      <c r="J30" s="61"/>
      <c r="K30" s="61"/>
      <c r="L30" s="61"/>
    </row>
    <row r="31" spans="1:12">
      <c r="A31" s="43"/>
      <c r="B31" s="43"/>
      <c r="C31" s="43"/>
      <c r="D31" s="43"/>
      <c r="E31" s="43"/>
      <c r="F31" s="43"/>
      <c r="G31" s="61"/>
      <c r="H31" s="61"/>
      <c r="I31" s="61"/>
      <c r="J31" s="61"/>
      <c r="K31" s="61"/>
      <c r="L31" s="61"/>
    </row>
    <row r="32" spans="1:12">
      <c r="A32" s="43"/>
      <c r="B32" s="43"/>
      <c r="C32" s="43"/>
      <c r="D32" s="43"/>
      <c r="E32" s="43"/>
      <c r="F32" s="43"/>
      <c r="G32" s="61"/>
      <c r="H32" s="61"/>
      <c r="I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61"/>
      <c r="H33" s="61"/>
      <c r="I33" s="61"/>
      <c r="J33" s="61"/>
      <c r="K33" s="61"/>
      <c r="L33" s="61"/>
    </row>
    <row r="34" spans="1:1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4">
    <mergeCell ref="A15:E15"/>
    <mergeCell ref="J15:L15"/>
    <mergeCell ref="A5:L7"/>
    <mergeCell ref="A8:E8"/>
    <mergeCell ref="J8:L8"/>
    <mergeCell ref="A9:E9"/>
    <mergeCell ref="J9:L9"/>
    <mergeCell ref="A10:E10"/>
    <mergeCell ref="J10:L10"/>
    <mergeCell ref="A11:E11"/>
    <mergeCell ref="J11:L11"/>
    <mergeCell ref="A12:E12"/>
    <mergeCell ref="J12:L12"/>
    <mergeCell ref="J13:L13"/>
    <mergeCell ref="A19:E19"/>
    <mergeCell ref="J19:L19"/>
    <mergeCell ref="K20:L20"/>
    <mergeCell ref="F22:H22"/>
    <mergeCell ref="A16:E16"/>
    <mergeCell ref="J16:L16"/>
    <mergeCell ref="A17:E17"/>
    <mergeCell ref="J17:L17"/>
    <mergeCell ref="A18:E18"/>
    <mergeCell ref="J18:L18"/>
    <mergeCell ref="B28:C28"/>
    <mergeCell ref="B29:C29"/>
    <mergeCell ref="G29:J29"/>
    <mergeCell ref="B30:C30"/>
    <mergeCell ref="A24:D24"/>
    <mergeCell ref="B25:C25"/>
    <mergeCell ref="G25:J25"/>
    <mergeCell ref="B26:C26"/>
    <mergeCell ref="B27:C27"/>
    <mergeCell ref="G27:J27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22" max="1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B917-9778-4CBB-A752-63471D77ADBB}">
  <sheetPr>
    <tabColor rgb="FF00FF00"/>
  </sheetPr>
  <dimension ref="A1:L33"/>
  <sheetViews>
    <sheetView topLeftCell="A4" zoomScale="106" zoomScaleNormal="106" zoomScaleSheetLayoutView="90" zoomScalePageLayoutView="90" workbookViewId="0">
      <selection activeCell="I21" sqref="I21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183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52.5" customHeight="1">
      <c r="A9" s="110" t="s">
        <v>184</v>
      </c>
      <c r="B9" s="110"/>
      <c r="C9" s="110"/>
      <c r="D9" s="110"/>
      <c r="E9" s="110"/>
      <c r="F9" s="6"/>
      <c r="G9" s="36"/>
      <c r="H9" s="73">
        <v>0.25</v>
      </c>
      <c r="I9" s="73">
        <f>IF(F9&gt;0,H9,0%)</f>
        <v>0</v>
      </c>
      <c r="J9" s="119"/>
      <c r="K9" s="119"/>
      <c r="L9" s="119"/>
    </row>
    <row r="10" spans="1:12" ht="54" customHeight="1">
      <c r="A10" s="110" t="s">
        <v>185</v>
      </c>
      <c r="B10" s="110"/>
      <c r="C10" s="110"/>
      <c r="D10" s="110"/>
      <c r="E10" s="110"/>
      <c r="F10" s="6"/>
      <c r="G10" s="36"/>
      <c r="H10" s="73">
        <v>0.25</v>
      </c>
      <c r="I10" s="73">
        <f>IF(F10&gt;0,H10,0%)</f>
        <v>0</v>
      </c>
      <c r="J10" s="119"/>
      <c r="K10" s="119"/>
      <c r="L10" s="119"/>
    </row>
    <row r="11" spans="1:12" ht="42" customHeight="1">
      <c r="A11" s="129" t="s">
        <v>186</v>
      </c>
      <c r="B11" s="130"/>
      <c r="C11" s="130"/>
      <c r="D11" s="130"/>
      <c r="E11" s="131"/>
      <c r="F11" s="6"/>
      <c r="G11" s="36"/>
      <c r="H11" s="73">
        <v>0.25</v>
      </c>
      <c r="I11" s="73">
        <f>IF(F11&gt;0,H11,0%)</f>
        <v>0</v>
      </c>
      <c r="J11" s="186"/>
      <c r="K11" s="187"/>
      <c r="L11" s="188"/>
    </row>
    <row r="12" spans="1:12" ht="67.5" customHeight="1">
      <c r="A12" s="129" t="s">
        <v>187</v>
      </c>
      <c r="B12" s="130"/>
      <c r="C12" s="130"/>
      <c r="D12" s="130"/>
      <c r="E12" s="131"/>
      <c r="F12" s="6"/>
      <c r="G12" s="36"/>
      <c r="H12" s="73">
        <v>0.25</v>
      </c>
      <c r="I12" s="73">
        <f>IF(F12&gt;0,H12,0%)</f>
        <v>0</v>
      </c>
      <c r="J12" s="186"/>
      <c r="K12" s="187"/>
      <c r="L12" s="188"/>
    </row>
    <row r="13" spans="1:12">
      <c r="A13" s="43"/>
      <c r="B13" s="43"/>
      <c r="C13" s="43"/>
      <c r="D13" s="43"/>
      <c r="E13" s="43"/>
      <c r="F13" s="43"/>
      <c r="G13" s="72" t="s">
        <v>33</v>
      </c>
      <c r="H13" s="70">
        <v>1</v>
      </c>
      <c r="I13" s="71">
        <f>SUM(I9:I12)</f>
        <v>0</v>
      </c>
      <c r="J13" s="116"/>
      <c r="K13" s="116"/>
      <c r="L13" s="116"/>
    </row>
    <row r="14" spans="1:12">
      <c r="A14" s="43"/>
      <c r="B14" s="43"/>
      <c r="C14" s="43"/>
      <c r="D14" s="43"/>
      <c r="E14" s="43"/>
      <c r="F14" s="43"/>
      <c r="H14" s="43"/>
      <c r="I14" s="51"/>
      <c r="J14" s="54"/>
      <c r="K14" s="54"/>
      <c r="L14" s="54"/>
    </row>
    <row r="15" spans="1:12">
      <c r="A15" s="121" t="s">
        <v>34</v>
      </c>
      <c r="B15" s="121"/>
      <c r="C15" s="121"/>
      <c r="D15" s="121"/>
      <c r="E15" s="121"/>
      <c r="F15" s="64" t="s">
        <v>24</v>
      </c>
      <c r="G15" s="64" t="s">
        <v>25</v>
      </c>
      <c r="H15" s="64" t="s">
        <v>26</v>
      </c>
      <c r="I15" s="64" t="s">
        <v>27</v>
      </c>
      <c r="J15" s="121" t="s">
        <v>28</v>
      </c>
      <c r="K15" s="121"/>
      <c r="L15" s="121"/>
    </row>
    <row r="16" spans="1:12" ht="49.5" customHeight="1">
      <c r="A16" s="110" t="s">
        <v>188</v>
      </c>
      <c r="B16" s="110"/>
      <c r="C16" s="110"/>
      <c r="D16" s="110"/>
      <c r="E16" s="110"/>
      <c r="F16" s="14"/>
      <c r="G16" s="49"/>
      <c r="H16" s="40">
        <v>0.33329999999999999</v>
      </c>
      <c r="I16" s="40">
        <v>0</v>
      </c>
      <c r="J16" s="117" t="s">
        <v>36</v>
      </c>
      <c r="K16" s="117"/>
      <c r="L16" s="117"/>
    </row>
    <row r="17" spans="1:12" ht="46.5" customHeight="1">
      <c r="A17" s="110" t="s">
        <v>189</v>
      </c>
      <c r="B17" s="110"/>
      <c r="C17" s="110"/>
      <c r="D17" s="110"/>
      <c r="E17" s="110"/>
      <c r="F17" s="14"/>
      <c r="G17" s="14"/>
      <c r="H17" s="40">
        <v>0.33329999999999999</v>
      </c>
      <c r="I17" s="40">
        <f>IF(F17&gt;0,H17,0%)</f>
        <v>0</v>
      </c>
      <c r="J17" s="118" t="s">
        <v>36</v>
      </c>
      <c r="K17" s="118"/>
      <c r="L17" s="118"/>
    </row>
    <row r="18" spans="1:12" ht="56.25" customHeight="1">
      <c r="A18" s="110" t="s">
        <v>190</v>
      </c>
      <c r="B18" s="110"/>
      <c r="C18" s="110"/>
      <c r="D18" s="110"/>
      <c r="E18" s="110"/>
      <c r="F18" s="14"/>
      <c r="G18" s="14"/>
      <c r="H18" s="40">
        <v>0.33329999999999999</v>
      </c>
      <c r="I18" s="40">
        <v>0</v>
      </c>
      <c r="J18" s="118" t="s">
        <v>36</v>
      </c>
      <c r="K18" s="118"/>
      <c r="L18" s="118"/>
    </row>
    <row r="19" spans="1:12">
      <c r="A19" s="43"/>
      <c r="B19" s="43"/>
      <c r="C19" s="43"/>
      <c r="D19" s="43"/>
      <c r="E19" s="43"/>
      <c r="F19" s="43"/>
      <c r="G19" s="69" t="s">
        <v>33</v>
      </c>
      <c r="H19" s="70">
        <v>1</v>
      </c>
      <c r="I19" s="71">
        <f>SUM(I16:I18)</f>
        <v>0</v>
      </c>
      <c r="J19" s="43"/>
      <c r="K19" s="116"/>
      <c r="L19" s="116"/>
    </row>
    <row r="20" spans="1:12" ht="15.75" thickBo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 ht="15.75" thickBot="1">
      <c r="A21" s="43"/>
      <c r="B21" s="43"/>
      <c r="C21" s="43"/>
      <c r="D21" s="43"/>
      <c r="E21" s="43"/>
      <c r="F21" s="113" t="s">
        <v>47</v>
      </c>
      <c r="G21" s="113"/>
      <c r="H21" s="113"/>
      <c r="I21" s="60">
        <f>AVERAGE(I13,I19)</f>
        <v>0</v>
      </c>
      <c r="J21" s="43"/>
      <c r="K21" s="43"/>
      <c r="L21" s="43"/>
    </row>
    <row r="22" spans="1:1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</row>
    <row r="23" spans="1:12" ht="20.100000000000001" customHeight="1">
      <c r="A23" s="107" t="s">
        <v>48</v>
      </c>
      <c r="B23" s="108"/>
      <c r="C23" s="108"/>
      <c r="D23" s="108"/>
      <c r="E23" s="55"/>
      <c r="F23" s="43"/>
      <c r="G23" s="43"/>
      <c r="H23" s="43"/>
      <c r="I23" s="43"/>
      <c r="J23" s="43"/>
      <c r="K23" s="43"/>
      <c r="L23" s="43"/>
    </row>
    <row r="24" spans="1:12" ht="20.100000000000001" customHeight="1" thickBot="1">
      <c r="A24" s="57">
        <v>1</v>
      </c>
      <c r="B24" s="106" t="s">
        <v>49</v>
      </c>
      <c r="C24" s="106"/>
      <c r="D24" s="58"/>
      <c r="E24" s="56"/>
      <c r="F24" s="43"/>
      <c r="G24" s="105" t="s">
        <v>50</v>
      </c>
      <c r="H24" s="105"/>
      <c r="I24" s="105"/>
      <c r="J24" s="105"/>
      <c r="K24" s="53"/>
      <c r="L24" s="53"/>
    </row>
    <row r="25" spans="1:12" ht="20.100000000000001" customHeight="1">
      <c r="A25" s="57">
        <v>2</v>
      </c>
      <c r="B25" s="106" t="s">
        <v>51</v>
      </c>
      <c r="C25" s="106"/>
      <c r="D25" s="57"/>
      <c r="E25" s="56"/>
      <c r="F25" s="43"/>
      <c r="G25" s="62"/>
      <c r="H25" s="62"/>
      <c r="I25" s="62"/>
      <c r="J25" s="62"/>
      <c r="K25" s="43"/>
      <c r="L25" s="43"/>
    </row>
    <row r="26" spans="1:12" ht="20.100000000000001" customHeight="1" thickBot="1">
      <c r="A26" s="57">
        <v>3</v>
      </c>
      <c r="B26" s="106" t="s">
        <v>52</v>
      </c>
      <c r="C26" s="106"/>
      <c r="D26" s="57"/>
      <c r="E26" s="56"/>
      <c r="F26" s="43"/>
      <c r="G26" s="104" t="s">
        <v>53</v>
      </c>
      <c r="H26" s="104"/>
      <c r="I26" s="104"/>
      <c r="J26" s="104"/>
      <c r="K26" s="52"/>
      <c r="L26" s="53"/>
    </row>
    <row r="27" spans="1:12" ht="20.100000000000001" customHeight="1">
      <c r="A27" s="57">
        <v>4</v>
      </c>
      <c r="B27" s="106" t="s">
        <v>54</v>
      </c>
      <c r="C27" s="106"/>
      <c r="D27" s="57"/>
      <c r="E27" s="56"/>
      <c r="F27" s="43"/>
      <c r="G27" s="62"/>
      <c r="H27" s="62"/>
      <c r="I27" s="62"/>
      <c r="J27" s="62"/>
      <c r="K27" s="43"/>
      <c r="L27" s="43"/>
    </row>
    <row r="28" spans="1:12" ht="20.100000000000001" customHeight="1" thickBot="1">
      <c r="A28" s="57">
        <v>5</v>
      </c>
      <c r="B28" s="106" t="s">
        <v>55</v>
      </c>
      <c r="C28" s="106"/>
      <c r="D28" s="57"/>
      <c r="E28" s="43"/>
      <c r="F28" s="43"/>
      <c r="G28" s="104" t="s">
        <v>56</v>
      </c>
      <c r="H28" s="104"/>
      <c r="I28" s="104"/>
      <c r="J28" s="104"/>
      <c r="K28" s="53"/>
      <c r="L28" s="53"/>
    </row>
    <row r="29" spans="1:12" ht="20.100000000000001" customHeight="1">
      <c r="A29" s="59">
        <v>6</v>
      </c>
      <c r="B29" s="106" t="s">
        <v>57</v>
      </c>
      <c r="C29" s="106"/>
      <c r="D29" s="57"/>
      <c r="E29" s="43"/>
      <c r="F29" s="43"/>
      <c r="G29" s="61" t="s">
        <v>36</v>
      </c>
      <c r="H29" s="61"/>
      <c r="J29" s="61"/>
      <c r="K29" s="61"/>
      <c r="L29" s="61"/>
    </row>
    <row r="30" spans="1:12">
      <c r="A30" s="43"/>
      <c r="B30" s="43"/>
      <c r="C30" s="43"/>
      <c r="D30" s="43"/>
      <c r="E30" s="43"/>
      <c r="F30" s="43"/>
      <c r="G30" s="61"/>
      <c r="H30" s="61"/>
      <c r="I30" s="61"/>
      <c r="J30" s="61"/>
      <c r="K30" s="61"/>
      <c r="L30" s="61"/>
    </row>
    <row r="31" spans="1:12">
      <c r="A31" s="43"/>
      <c r="B31" s="43"/>
      <c r="C31" s="43"/>
      <c r="D31" s="43"/>
      <c r="E31" s="43"/>
      <c r="F31" s="43"/>
      <c r="G31" s="61"/>
      <c r="H31" s="61"/>
      <c r="I31" s="61"/>
      <c r="J31" s="61"/>
      <c r="K31" s="61"/>
      <c r="L31" s="61"/>
    </row>
    <row r="32" spans="1:12">
      <c r="A32" s="43"/>
      <c r="B32" s="43"/>
      <c r="C32" s="43"/>
      <c r="D32" s="43"/>
      <c r="E32" s="43"/>
      <c r="F32" s="43"/>
      <c r="G32" s="61"/>
      <c r="H32" s="61"/>
      <c r="I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</row>
  </sheetData>
  <mergeCells count="32">
    <mergeCell ref="A15:E15"/>
    <mergeCell ref="J15:L15"/>
    <mergeCell ref="A5:L7"/>
    <mergeCell ref="A8:E8"/>
    <mergeCell ref="J8:L8"/>
    <mergeCell ref="A9:E9"/>
    <mergeCell ref="J9:L9"/>
    <mergeCell ref="A10:E10"/>
    <mergeCell ref="J10:L10"/>
    <mergeCell ref="A11:E11"/>
    <mergeCell ref="J11:L11"/>
    <mergeCell ref="A12:E12"/>
    <mergeCell ref="J12:L12"/>
    <mergeCell ref="J13:L13"/>
    <mergeCell ref="A16:E16"/>
    <mergeCell ref="J16:L16"/>
    <mergeCell ref="A17:E17"/>
    <mergeCell ref="J17:L17"/>
    <mergeCell ref="A18:E18"/>
    <mergeCell ref="J18:L18"/>
    <mergeCell ref="K19:L19"/>
    <mergeCell ref="F21:H21"/>
    <mergeCell ref="A23:D23"/>
    <mergeCell ref="B24:C24"/>
    <mergeCell ref="G24:J24"/>
    <mergeCell ref="B29:C29"/>
    <mergeCell ref="B25:C25"/>
    <mergeCell ref="B26:C26"/>
    <mergeCell ref="G26:J26"/>
    <mergeCell ref="B27:C27"/>
    <mergeCell ref="B28:C28"/>
    <mergeCell ref="G28:J28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21" max="11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A7D3-952C-4A93-8F39-EFD43326E28F}">
  <sheetPr>
    <tabColor rgb="FF00FF00"/>
  </sheetPr>
  <dimension ref="A1:L40"/>
  <sheetViews>
    <sheetView topLeftCell="A15" zoomScale="106" zoomScaleNormal="106" zoomScaleSheetLayoutView="90" zoomScalePageLayoutView="90" workbookViewId="0">
      <selection activeCell="I28" sqref="I28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191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42.75" customHeight="1">
      <c r="A9" s="110" t="s">
        <v>192</v>
      </c>
      <c r="B9" s="110"/>
      <c r="C9" s="110"/>
      <c r="D9" s="110"/>
      <c r="E9" s="110"/>
      <c r="F9" s="6"/>
      <c r="G9" s="36"/>
      <c r="H9" s="73">
        <v>0.14000000000000001</v>
      </c>
      <c r="I9" s="73">
        <f t="shared" ref="I9:I15" si="0">IF(F9&gt;0,H9,0%)</f>
        <v>0</v>
      </c>
      <c r="J9" s="119"/>
      <c r="K9" s="119"/>
      <c r="L9" s="119"/>
    </row>
    <row r="10" spans="1:12" ht="52.5" customHeight="1">
      <c r="A10" s="110" t="s">
        <v>193</v>
      </c>
      <c r="B10" s="110"/>
      <c r="C10" s="110"/>
      <c r="D10" s="110"/>
      <c r="E10" s="110"/>
      <c r="F10" s="6"/>
      <c r="G10" s="36"/>
      <c r="H10" s="73">
        <v>0.14000000000000001</v>
      </c>
      <c r="I10" s="73">
        <f t="shared" si="0"/>
        <v>0</v>
      </c>
      <c r="J10" s="119"/>
      <c r="K10" s="119"/>
      <c r="L10" s="119"/>
    </row>
    <row r="11" spans="1:12" ht="97.5" customHeight="1">
      <c r="A11" s="110" t="s">
        <v>194</v>
      </c>
      <c r="B11" s="110"/>
      <c r="C11" s="110"/>
      <c r="D11" s="110"/>
      <c r="E11" s="110"/>
      <c r="F11" s="6"/>
      <c r="G11" s="36"/>
      <c r="H11" s="73">
        <v>0.14000000000000001</v>
      </c>
      <c r="I11" s="73">
        <f t="shared" si="0"/>
        <v>0</v>
      </c>
      <c r="J11" s="119"/>
      <c r="K11" s="119"/>
      <c r="L11" s="119"/>
    </row>
    <row r="12" spans="1:12" ht="52.5" customHeight="1">
      <c r="A12" s="110" t="s">
        <v>195</v>
      </c>
      <c r="B12" s="110"/>
      <c r="C12" s="110"/>
      <c r="D12" s="110"/>
      <c r="E12" s="110"/>
      <c r="F12" s="6"/>
      <c r="G12" s="36"/>
      <c r="H12" s="73">
        <v>0.14000000000000001</v>
      </c>
      <c r="I12" s="73">
        <f t="shared" si="0"/>
        <v>0</v>
      </c>
      <c r="J12" s="119"/>
      <c r="K12" s="119"/>
      <c r="L12" s="119"/>
    </row>
    <row r="13" spans="1:12" ht="54" customHeight="1">
      <c r="A13" s="110" t="s">
        <v>196</v>
      </c>
      <c r="B13" s="110"/>
      <c r="C13" s="110"/>
      <c r="D13" s="110"/>
      <c r="E13" s="110"/>
      <c r="F13" s="6"/>
      <c r="G13" s="36"/>
      <c r="H13" s="73">
        <v>0.14000000000000001</v>
      </c>
      <c r="I13" s="73">
        <f t="shared" si="0"/>
        <v>0</v>
      </c>
      <c r="J13" s="119"/>
      <c r="K13" s="119"/>
      <c r="L13" s="119"/>
    </row>
    <row r="14" spans="1:12" ht="42" customHeight="1">
      <c r="A14" s="129" t="s">
        <v>197</v>
      </c>
      <c r="B14" s="130"/>
      <c r="C14" s="130"/>
      <c r="D14" s="130"/>
      <c r="E14" s="131"/>
      <c r="F14" s="6"/>
      <c r="G14" s="36"/>
      <c r="H14" s="73">
        <v>0.14000000000000001</v>
      </c>
      <c r="I14" s="73">
        <f t="shared" si="0"/>
        <v>0</v>
      </c>
      <c r="J14" s="186"/>
      <c r="K14" s="187"/>
      <c r="L14" s="188"/>
    </row>
    <row r="15" spans="1:12" ht="67.5" customHeight="1">
      <c r="A15" s="129" t="s">
        <v>198</v>
      </c>
      <c r="B15" s="130"/>
      <c r="C15" s="130"/>
      <c r="D15" s="130"/>
      <c r="E15" s="131"/>
      <c r="F15" s="6"/>
      <c r="G15" s="36"/>
      <c r="H15" s="73">
        <v>0.14000000000000001</v>
      </c>
      <c r="I15" s="73">
        <f t="shared" si="0"/>
        <v>0</v>
      </c>
      <c r="J15" s="186"/>
      <c r="K15" s="187"/>
      <c r="L15" s="188"/>
    </row>
    <row r="16" spans="1:12">
      <c r="A16" s="43"/>
      <c r="B16" s="43"/>
      <c r="C16" s="43"/>
      <c r="D16" s="43"/>
      <c r="E16" s="43"/>
      <c r="F16" s="43"/>
      <c r="G16" s="72" t="s">
        <v>33</v>
      </c>
      <c r="H16" s="70">
        <v>1</v>
      </c>
      <c r="I16" s="71">
        <f>SUM(I9:I15)</f>
        <v>0</v>
      </c>
      <c r="J16" s="116"/>
      <c r="K16" s="116"/>
      <c r="L16" s="116"/>
    </row>
    <row r="17" spans="1:12">
      <c r="A17" s="43"/>
      <c r="B17" s="43"/>
      <c r="C17" s="43"/>
      <c r="D17" s="43"/>
      <c r="E17" s="43"/>
      <c r="F17" s="43"/>
      <c r="H17" s="43"/>
      <c r="I17" s="51"/>
      <c r="J17" s="54"/>
      <c r="K17" s="54"/>
      <c r="L17" s="54"/>
    </row>
    <row r="18" spans="1:12">
      <c r="A18" s="121" t="s">
        <v>34</v>
      </c>
      <c r="B18" s="121"/>
      <c r="C18" s="121"/>
      <c r="D18" s="121"/>
      <c r="E18" s="121"/>
      <c r="F18" s="64" t="s">
        <v>24</v>
      </c>
      <c r="G18" s="64" t="s">
        <v>25</v>
      </c>
      <c r="H18" s="64" t="s">
        <v>26</v>
      </c>
      <c r="I18" s="64" t="s">
        <v>27</v>
      </c>
      <c r="J18" s="121" t="s">
        <v>28</v>
      </c>
      <c r="K18" s="121"/>
      <c r="L18" s="121"/>
    </row>
    <row r="19" spans="1:12" ht="49.5" customHeight="1">
      <c r="A19" s="110" t="s">
        <v>199</v>
      </c>
      <c r="B19" s="110"/>
      <c r="C19" s="110"/>
      <c r="D19" s="110"/>
      <c r="E19" s="110"/>
      <c r="F19" s="14"/>
      <c r="G19" s="49"/>
      <c r="H19" s="40">
        <v>0.14000000000000001</v>
      </c>
      <c r="I19" s="40">
        <v>0</v>
      </c>
      <c r="J19" s="117" t="s">
        <v>36</v>
      </c>
      <c r="K19" s="117"/>
      <c r="L19" s="117"/>
    </row>
    <row r="20" spans="1:12" ht="49.5" customHeight="1">
      <c r="A20" s="110" t="s">
        <v>200</v>
      </c>
      <c r="B20" s="110"/>
      <c r="C20" s="110"/>
      <c r="D20" s="110"/>
      <c r="E20" s="110"/>
      <c r="F20" s="14"/>
      <c r="G20" s="49"/>
      <c r="H20" s="40">
        <v>0.14000000000000001</v>
      </c>
      <c r="I20" s="40">
        <v>0</v>
      </c>
      <c r="J20" s="117"/>
      <c r="K20" s="117"/>
      <c r="L20" s="117"/>
    </row>
    <row r="21" spans="1:12" ht="49.5" customHeight="1">
      <c r="A21" s="110" t="s">
        <v>201</v>
      </c>
      <c r="B21" s="110"/>
      <c r="C21" s="110"/>
      <c r="D21" s="110"/>
      <c r="E21" s="110"/>
      <c r="F21" s="14"/>
      <c r="G21" s="49"/>
      <c r="H21" s="40">
        <v>0.14000000000000001</v>
      </c>
      <c r="I21" s="40">
        <v>0</v>
      </c>
      <c r="J21" s="117"/>
      <c r="K21" s="117"/>
      <c r="L21" s="117"/>
    </row>
    <row r="22" spans="1:12" ht="49.5" customHeight="1">
      <c r="A22" s="110" t="s">
        <v>202</v>
      </c>
      <c r="B22" s="110"/>
      <c r="C22" s="110"/>
      <c r="D22" s="110"/>
      <c r="E22" s="110"/>
      <c r="F22" s="14"/>
      <c r="G22" s="49"/>
      <c r="H22" s="40">
        <v>0.14000000000000001</v>
      </c>
      <c r="I22" s="40">
        <v>0</v>
      </c>
      <c r="J22" s="117"/>
      <c r="K22" s="117"/>
      <c r="L22" s="117"/>
    </row>
    <row r="23" spans="1:12" ht="71.25" customHeight="1">
      <c r="A23" s="110" t="s">
        <v>203</v>
      </c>
      <c r="B23" s="110"/>
      <c r="C23" s="110"/>
      <c r="D23" s="110"/>
      <c r="E23" s="110"/>
      <c r="F23" s="14"/>
      <c r="G23" s="49"/>
      <c r="H23" s="40">
        <v>0.14000000000000001</v>
      </c>
      <c r="I23" s="40">
        <v>0</v>
      </c>
      <c r="J23" s="117"/>
      <c r="K23" s="117"/>
      <c r="L23" s="117"/>
    </row>
    <row r="24" spans="1:12" ht="46.5" customHeight="1">
      <c r="A24" s="110" t="s">
        <v>204</v>
      </c>
      <c r="B24" s="110"/>
      <c r="C24" s="110"/>
      <c r="D24" s="110"/>
      <c r="E24" s="110"/>
      <c r="F24" s="14"/>
      <c r="G24" s="14"/>
      <c r="H24" s="40">
        <v>0.14000000000000001</v>
      </c>
      <c r="I24" s="40">
        <f>IF(F24&gt;0,H24,0%)</f>
        <v>0</v>
      </c>
      <c r="J24" s="118" t="s">
        <v>36</v>
      </c>
      <c r="K24" s="118"/>
      <c r="L24" s="118"/>
    </row>
    <row r="25" spans="1:12" ht="56.25" customHeight="1">
      <c r="A25" s="110" t="s">
        <v>205</v>
      </c>
      <c r="B25" s="110"/>
      <c r="C25" s="110"/>
      <c r="D25" s="110"/>
      <c r="E25" s="110"/>
      <c r="F25" s="14"/>
      <c r="G25" s="14"/>
      <c r="H25" s="40">
        <v>0.14000000000000001</v>
      </c>
      <c r="I25" s="40">
        <v>0</v>
      </c>
      <c r="J25" s="118" t="s">
        <v>36</v>
      </c>
      <c r="K25" s="118"/>
      <c r="L25" s="118"/>
    </row>
    <row r="26" spans="1:12">
      <c r="A26" s="43"/>
      <c r="B26" s="43"/>
      <c r="C26" s="43"/>
      <c r="D26" s="43"/>
      <c r="E26" s="43"/>
      <c r="F26" s="43"/>
      <c r="G26" s="69" t="s">
        <v>33</v>
      </c>
      <c r="H26" s="70">
        <v>1</v>
      </c>
      <c r="I26" s="71">
        <f>SUM(I19:I25)</f>
        <v>0</v>
      </c>
      <c r="J26" s="43"/>
      <c r="K26" s="116"/>
      <c r="L26" s="116"/>
    </row>
    <row r="27" spans="1:12" ht="15.75" thickBo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</row>
    <row r="28" spans="1:12" ht="15.75" thickBot="1">
      <c r="A28" s="43"/>
      <c r="B28" s="43"/>
      <c r="C28" s="43"/>
      <c r="D28" s="43"/>
      <c r="E28" s="43"/>
      <c r="F28" s="113" t="s">
        <v>47</v>
      </c>
      <c r="G28" s="113"/>
      <c r="H28" s="113"/>
      <c r="I28" s="60">
        <f>AVERAGE(I16,I26)</f>
        <v>0</v>
      </c>
      <c r="J28" s="43"/>
      <c r="K28" s="43"/>
      <c r="L28" s="43"/>
    </row>
    <row r="29" spans="1:12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</row>
    <row r="30" spans="1:12" ht="20.100000000000001" customHeight="1">
      <c r="A30" s="107" t="s">
        <v>48</v>
      </c>
      <c r="B30" s="108"/>
      <c r="C30" s="108"/>
      <c r="D30" s="108"/>
      <c r="E30" s="55"/>
      <c r="F30" s="43"/>
      <c r="G30" s="43"/>
      <c r="H30" s="43"/>
      <c r="I30" s="43"/>
      <c r="J30" s="43"/>
      <c r="K30" s="43"/>
      <c r="L30" s="43"/>
    </row>
    <row r="31" spans="1:12" ht="20.100000000000001" customHeight="1" thickBot="1">
      <c r="A31" s="57">
        <v>1</v>
      </c>
      <c r="B31" s="106" t="s">
        <v>49</v>
      </c>
      <c r="C31" s="106"/>
      <c r="D31" s="58"/>
      <c r="E31" s="56"/>
      <c r="F31" s="43"/>
      <c r="G31" s="105" t="s">
        <v>50</v>
      </c>
      <c r="H31" s="105"/>
      <c r="I31" s="105"/>
      <c r="J31" s="105"/>
      <c r="K31" s="53"/>
      <c r="L31" s="53"/>
    </row>
    <row r="32" spans="1:12" ht="20.100000000000001" customHeight="1">
      <c r="A32" s="57">
        <v>2</v>
      </c>
      <c r="B32" s="106" t="s">
        <v>51</v>
      </c>
      <c r="C32" s="106"/>
      <c r="D32" s="57"/>
      <c r="E32" s="56"/>
      <c r="F32" s="43"/>
      <c r="G32" s="62"/>
      <c r="H32" s="62"/>
      <c r="I32" s="62"/>
      <c r="J32" s="62"/>
      <c r="K32" s="43"/>
      <c r="L32" s="43"/>
    </row>
    <row r="33" spans="1:12" ht="20.100000000000001" customHeight="1" thickBot="1">
      <c r="A33" s="57">
        <v>3</v>
      </c>
      <c r="B33" s="106" t="s">
        <v>52</v>
      </c>
      <c r="C33" s="106"/>
      <c r="D33" s="57"/>
      <c r="E33" s="56"/>
      <c r="F33" s="43"/>
      <c r="G33" s="104" t="s">
        <v>53</v>
      </c>
      <c r="H33" s="104"/>
      <c r="I33" s="104"/>
      <c r="J33" s="104"/>
      <c r="K33" s="52"/>
      <c r="L33" s="53"/>
    </row>
    <row r="34" spans="1:12" ht="20.100000000000001" customHeight="1">
      <c r="A34" s="57">
        <v>4</v>
      </c>
      <c r="B34" s="106" t="s">
        <v>54</v>
      </c>
      <c r="C34" s="106"/>
      <c r="D34" s="57"/>
      <c r="E34" s="56"/>
      <c r="F34" s="43"/>
      <c r="G34" s="62"/>
      <c r="H34" s="62"/>
      <c r="I34" s="62"/>
      <c r="J34" s="62"/>
      <c r="K34" s="43"/>
      <c r="L34" s="43"/>
    </row>
    <row r="35" spans="1:12" ht="20.100000000000001" customHeight="1" thickBot="1">
      <c r="A35" s="57">
        <v>5</v>
      </c>
      <c r="B35" s="106" t="s">
        <v>55</v>
      </c>
      <c r="C35" s="106"/>
      <c r="D35" s="57"/>
      <c r="E35" s="43"/>
      <c r="F35" s="43"/>
      <c r="G35" s="104" t="s">
        <v>56</v>
      </c>
      <c r="H35" s="104"/>
      <c r="I35" s="104"/>
      <c r="J35" s="104"/>
      <c r="K35" s="53"/>
      <c r="L35" s="53"/>
    </row>
    <row r="36" spans="1:12" ht="20.100000000000001" customHeight="1">
      <c r="A36" s="59">
        <v>6</v>
      </c>
      <c r="B36" s="106" t="s">
        <v>57</v>
      </c>
      <c r="C36" s="106"/>
      <c r="D36" s="57"/>
      <c r="E36" s="43"/>
      <c r="F36" s="43"/>
      <c r="G36" s="61" t="s">
        <v>36</v>
      </c>
      <c r="H36" s="61"/>
      <c r="J36" s="61"/>
      <c r="K36" s="61"/>
      <c r="L36" s="61"/>
    </row>
    <row r="37" spans="1:12">
      <c r="A37" s="43"/>
      <c r="B37" s="43"/>
      <c r="C37" s="43"/>
      <c r="D37" s="43"/>
      <c r="E37" s="43"/>
      <c r="F37" s="43"/>
      <c r="G37" s="61"/>
      <c r="H37" s="61"/>
      <c r="I37" s="61"/>
      <c r="J37" s="61"/>
      <c r="K37" s="61"/>
      <c r="L37" s="61"/>
    </row>
    <row r="38" spans="1:12">
      <c r="A38" s="43"/>
      <c r="B38" s="43"/>
      <c r="C38" s="43"/>
      <c r="D38" s="43"/>
      <c r="E38" s="43"/>
      <c r="F38" s="43"/>
      <c r="G38" s="61"/>
      <c r="H38" s="61"/>
      <c r="I38" s="61"/>
      <c r="J38" s="61"/>
      <c r="K38" s="61"/>
      <c r="L38" s="61"/>
    </row>
    <row r="39" spans="1:12">
      <c r="A39" s="43"/>
      <c r="B39" s="43"/>
      <c r="C39" s="43"/>
      <c r="D39" s="43"/>
      <c r="E39" s="43"/>
      <c r="F39" s="43"/>
      <c r="G39" s="61"/>
      <c r="H39" s="61"/>
      <c r="I39" s="61"/>
      <c r="J39" s="61"/>
      <c r="K39" s="61"/>
      <c r="L39" s="61"/>
    </row>
    <row r="40" spans="1:1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</sheetData>
  <mergeCells count="46">
    <mergeCell ref="A10:E10"/>
    <mergeCell ref="J10:L10"/>
    <mergeCell ref="A11:E11"/>
    <mergeCell ref="A5:L7"/>
    <mergeCell ref="A8:E8"/>
    <mergeCell ref="J8:L8"/>
    <mergeCell ref="A9:E9"/>
    <mergeCell ref="J9:L9"/>
    <mergeCell ref="J11:L11"/>
    <mergeCell ref="A24:E24"/>
    <mergeCell ref="J24:L24"/>
    <mergeCell ref="A25:E25"/>
    <mergeCell ref="J25:L25"/>
    <mergeCell ref="A22:E22"/>
    <mergeCell ref="J22:L22"/>
    <mergeCell ref="A23:E23"/>
    <mergeCell ref="J23:L23"/>
    <mergeCell ref="B36:C36"/>
    <mergeCell ref="K26:L26"/>
    <mergeCell ref="F28:H28"/>
    <mergeCell ref="A30:D30"/>
    <mergeCell ref="B31:C31"/>
    <mergeCell ref="G31:J31"/>
    <mergeCell ref="B32:C32"/>
    <mergeCell ref="B33:C33"/>
    <mergeCell ref="G33:J33"/>
    <mergeCell ref="B34:C34"/>
    <mergeCell ref="B35:C35"/>
    <mergeCell ref="G35:J35"/>
    <mergeCell ref="A21:E21"/>
    <mergeCell ref="J21:L21"/>
    <mergeCell ref="A19:E19"/>
    <mergeCell ref="J19:L19"/>
    <mergeCell ref="A14:E14"/>
    <mergeCell ref="J14:L14"/>
    <mergeCell ref="A15:E15"/>
    <mergeCell ref="J15:L15"/>
    <mergeCell ref="J16:L16"/>
    <mergeCell ref="A18:E18"/>
    <mergeCell ref="J18:L18"/>
    <mergeCell ref="A12:E12"/>
    <mergeCell ref="J12:L12"/>
    <mergeCell ref="A20:E20"/>
    <mergeCell ref="J20:L20"/>
    <mergeCell ref="A13:E13"/>
    <mergeCell ref="J13:L13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19" max="11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2E91-8030-4491-B634-2DFE274194BA}">
  <sheetPr>
    <tabColor rgb="FF00FF00"/>
  </sheetPr>
  <dimension ref="A1:L33"/>
  <sheetViews>
    <sheetView topLeftCell="A4" zoomScale="106" zoomScaleNormal="106" zoomScaleSheetLayoutView="90" zoomScalePageLayoutView="90" workbookViewId="0">
      <selection activeCell="I21" sqref="I21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206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42.75" customHeight="1">
      <c r="A9" s="110" t="s">
        <v>207</v>
      </c>
      <c r="B9" s="110"/>
      <c r="C9" s="110"/>
      <c r="D9" s="110"/>
      <c r="E9" s="110"/>
      <c r="F9" s="6"/>
      <c r="G9" s="36"/>
      <c r="H9" s="73">
        <v>0.25</v>
      </c>
      <c r="I9" s="73">
        <f>IF(F9&gt;0,H9,0%)</f>
        <v>0</v>
      </c>
      <c r="J9" s="119"/>
      <c r="K9" s="119"/>
      <c r="L9" s="119"/>
    </row>
    <row r="10" spans="1:12" ht="52.5" customHeight="1">
      <c r="A10" s="110" t="s">
        <v>208</v>
      </c>
      <c r="B10" s="110"/>
      <c r="C10" s="110"/>
      <c r="D10" s="110"/>
      <c r="E10" s="110"/>
      <c r="F10" s="6"/>
      <c r="G10" s="36"/>
      <c r="H10" s="73">
        <v>0.25</v>
      </c>
      <c r="I10" s="73">
        <f>IF(F10&gt;0,H10,0%)</f>
        <v>0</v>
      </c>
      <c r="J10" s="119"/>
      <c r="K10" s="119"/>
      <c r="L10" s="119"/>
    </row>
    <row r="11" spans="1:12" ht="57.75" customHeight="1">
      <c r="A11" s="110" t="s">
        <v>209</v>
      </c>
      <c r="B11" s="110"/>
      <c r="C11" s="110"/>
      <c r="D11" s="110"/>
      <c r="E11" s="110"/>
      <c r="F11" s="6"/>
      <c r="G11" s="36"/>
      <c r="H11" s="73">
        <v>0.25</v>
      </c>
      <c r="I11" s="73">
        <f>IF(F11&gt;0,H11,0%)</f>
        <v>0</v>
      </c>
      <c r="J11" s="119"/>
      <c r="K11" s="119"/>
      <c r="L11" s="119"/>
    </row>
    <row r="12" spans="1:12" ht="52.5" customHeight="1">
      <c r="A12" s="110" t="s">
        <v>210</v>
      </c>
      <c r="B12" s="110"/>
      <c r="C12" s="110"/>
      <c r="D12" s="110"/>
      <c r="E12" s="110"/>
      <c r="F12" s="6"/>
      <c r="G12" s="36"/>
      <c r="H12" s="73">
        <v>0.25</v>
      </c>
      <c r="I12" s="73">
        <f>IF(F12&gt;0,H12,0%)</f>
        <v>0</v>
      </c>
      <c r="J12" s="119"/>
      <c r="K12" s="119"/>
      <c r="L12" s="119"/>
    </row>
    <row r="13" spans="1:12">
      <c r="A13" s="43"/>
      <c r="B13" s="43"/>
      <c r="C13" s="43"/>
      <c r="D13" s="43"/>
      <c r="E13" s="43"/>
      <c r="F13" s="43"/>
      <c r="G13" s="72" t="s">
        <v>33</v>
      </c>
      <c r="H13" s="70">
        <v>1</v>
      </c>
      <c r="I13" s="71">
        <f>SUM(I9:I12)</f>
        <v>0</v>
      </c>
      <c r="J13" s="116"/>
      <c r="K13" s="116"/>
      <c r="L13" s="116"/>
    </row>
    <row r="14" spans="1:12">
      <c r="A14" s="43"/>
      <c r="B14" s="43"/>
      <c r="C14" s="43"/>
      <c r="D14" s="43"/>
      <c r="E14" s="43"/>
      <c r="F14" s="43"/>
      <c r="H14" s="43"/>
      <c r="I14" s="51"/>
      <c r="J14" s="54"/>
      <c r="K14" s="54"/>
      <c r="L14" s="54"/>
    </row>
    <row r="15" spans="1:12">
      <c r="A15" s="121" t="s">
        <v>34</v>
      </c>
      <c r="B15" s="121"/>
      <c r="C15" s="121"/>
      <c r="D15" s="121"/>
      <c r="E15" s="121"/>
      <c r="F15" s="64" t="s">
        <v>24</v>
      </c>
      <c r="G15" s="64" t="s">
        <v>25</v>
      </c>
      <c r="H15" s="64" t="s">
        <v>26</v>
      </c>
      <c r="I15" s="64" t="s">
        <v>27</v>
      </c>
      <c r="J15" s="121" t="s">
        <v>28</v>
      </c>
      <c r="K15" s="121"/>
      <c r="L15" s="121"/>
    </row>
    <row r="16" spans="1:12" ht="66" customHeight="1">
      <c r="A16" s="110" t="s">
        <v>211</v>
      </c>
      <c r="B16" s="110"/>
      <c r="C16" s="110"/>
      <c r="D16" s="110"/>
      <c r="E16" s="110"/>
      <c r="F16" s="14"/>
      <c r="G16" s="49"/>
      <c r="H16" s="40">
        <v>0.33329999999999999</v>
      </c>
      <c r="I16" s="40">
        <v>0</v>
      </c>
      <c r="J16" s="117" t="s">
        <v>36</v>
      </c>
      <c r="K16" s="117"/>
      <c r="L16" s="117"/>
    </row>
    <row r="17" spans="1:12" ht="49.5" customHeight="1">
      <c r="A17" s="110" t="s">
        <v>212</v>
      </c>
      <c r="B17" s="110"/>
      <c r="C17" s="110"/>
      <c r="D17" s="110"/>
      <c r="E17" s="110"/>
      <c r="F17" s="14"/>
      <c r="G17" s="49"/>
      <c r="H17" s="40">
        <v>0.33329999999999999</v>
      </c>
      <c r="I17" s="40">
        <v>0</v>
      </c>
      <c r="J17" s="117"/>
      <c r="K17" s="117"/>
      <c r="L17" s="117"/>
    </row>
    <row r="18" spans="1:12" ht="49.5" customHeight="1">
      <c r="A18" s="110" t="s">
        <v>213</v>
      </c>
      <c r="B18" s="110"/>
      <c r="C18" s="110"/>
      <c r="D18" s="110"/>
      <c r="E18" s="110"/>
      <c r="F18" s="14"/>
      <c r="G18" s="49"/>
      <c r="H18" s="40">
        <v>0.33329999999999999</v>
      </c>
      <c r="I18" s="40">
        <v>0</v>
      </c>
      <c r="J18" s="117"/>
      <c r="K18" s="117"/>
      <c r="L18" s="117"/>
    </row>
    <row r="19" spans="1:12">
      <c r="A19" s="43"/>
      <c r="B19" s="43"/>
      <c r="C19" s="43"/>
      <c r="D19" s="43"/>
      <c r="E19" s="43"/>
      <c r="F19" s="43"/>
      <c r="G19" s="69" t="s">
        <v>33</v>
      </c>
      <c r="H19" s="70">
        <v>1</v>
      </c>
      <c r="I19" s="71">
        <f>SUM(I16:I18)</f>
        <v>0</v>
      </c>
      <c r="J19" s="43"/>
      <c r="K19" s="116"/>
      <c r="L19" s="116"/>
    </row>
    <row r="20" spans="1:12" ht="15.75" thickBo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</row>
    <row r="21" spans="1:12" ht="15.75" thickBot="1">
      <c r="A21" s="43"/>
      <c r="B21" s="43"/>
      <c r="C21" s="43"/>
      <c r="D21" s="43"/>
      <c r="E21" s="43"/>
      <c r="F21" s="113" t="s">
        <v>47</v>
      </c>
      <c r="G21" s="113"/>
      <c r="H21" s="113"/>
      <c r="I21" s="60">
        <f>AVERAGE(I13,I19)</f>
        <v>0</v>
      </c>
      <c r="J21" s="43"/>
      <c r="K21" s="43"/>
      <c r="L21" s="43"/>
    </row>
    <row r="22" spans="1:1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</row>
    <row r="23" spans="1:12" ht="20.100000000000001" customHeight="1">
      <c r="A23" s="107" t="s">
        <v>48</v>
      </c>
      <c r="B23" s="108"/>
      <c r="C23" s="108"/>
      <c r="D23" s="108"/>
      <c r="E23" s="55"/>
      <c r="F23" s="43"/>
      <c r="G23" s="43"/>
      <c r="H23" s="43"/>
      <c r="I23" s="43"/>
      <c r="J23" s="43"/>
      <c r="K23" s="43"/>
      <c r="L23" s="43"/>
    </row>
    <row r="24" spans="1:12" ht="20.100000000000001" customHeight="1" thickBot="1">
      <c r="A24" s="57">
        <v>1</v>
      </c>
      <c r="B24" s="106" t="s">
        <v>49</v>
      </c>
      <c r="C24" s="106"/>
      <c r="D24" s="58"/>
      <c r="E24" s="56"/>
      <c r="F24" s="43"/>
      <c r="G24" s="105" t="s">
        <v>50</v>
      </c>
      <c r="H24" s="105"/>
      <c r="I24" s="105"/>
      <c r="J24" s="105"/>
      <c r="K24" s="53"/>
      <c r="L24" s="53"/>
    </row>
    <row r="25" spans="1:12" ht="20.100000000000001" customHeight="1">
      <c r="A25" s="57">
        <v>2</v>
      </c>
      <c r="B25" s="106" t="s">
        <v>51</v>
      </c>
      <c r="C25" s="106"/>
      <c r="D25" s="57"/>
      <c r="E25" s="56"/>
      <c r="F25" s="43"/>
      <c r="G25" s="62"/>
      <c r="H25" s="62"/>
      <c r="I25" s="62"/>
      <c r="J25" s="62"/>
      <c r="K25" s="43"/>
      <c r="L25" s="43"/>
    </row>
    <row r="26" spans="1:12" ht="20.100000000000001" customHeight="1" thickBot="1">
      <c r="A26" s="57">
        <v>3</v>
      </c>
      <c r="B26" s="106" t="s">
        <v>52</v>
      </c>
      <c r="C26" s="106"/>
      <c r="D26" s="57"/>
      <c r="E26" s="56"/>
      <c r="F26" s="43"/>
      <c r="G26" s="104" t="s">
        <v>53</v>
      </c>
      <c r="H26" s="104"/>
      <c r="I26" s="104"/>
      <c r="J26" s="104"/>
      <c r="K26" s="52"/>
      <c r="L26" s="53"/>
    </row>
    <row r="27" spans="1:12" ht="20.100000000000001" customHeight="1">
      <c r="A27" s="57">
        <v>4</v>
      </c>
      <c r="B27" s="106" t="s">
        <v>54</v>
      </c>
      <c r="C27" s="106"/>
      <c r="D27" s="57"/>
      <c r="E27" s="56"/>
      <c r="F27" s="43"/>
      <c r="G27" s="62"/>
      <c r="H27" s="62"/>
      <c r="I27" s="62"/>
      <c r="J27" s="62"/>
      <c r="K27" s="43"/>
      <c r="L27" s="43"/>
    </row>
    <row r="28" spans="1:12" ht="20.100000000000001" customHeight="1" thickBot="1">
      <c r="A28" s="57">
        <v>5</v>
      </c>
      <c r="B28" s="106" t="s">
        <v>55</v>
      </c>
      <c r="C28" s="106"/>
      <c r="D28" s="57"/>
      <c r="E28" s="43"/>
      <c r="F28" s="43"/>
      <c r="G28" s="104" t="s">
        <v>56</v>
      </c>
      <c r="H28" s="104"/>
      <c r="I28" s="104"/>
      <c r="J28" s="104"/>
      <c r="K28" s="53"/>
      <c r="L28" s="53"/>
    </row>
    <row r="29" spans="1:12" ht="20.100000000000001" customHeight="1">
      <c r="A29" s="59">
        <v>6</v>
      </c>
      <c r="B29" s="106" t="s">
        <v>57</v>
      </c>
      <c r="C29" s="106"/>
      <c r="D29" s="57"/>
      <c r="E29" s="43"/>
      <c r="F29" s="43"/>
      <c r="G29" s="61" t="s">
        <v>36</v>
      </c>
      <c r="H29" s="61"/>
      <c r="J29" s="61"/>
      <c r="K29" s="61"/>
      <c r="L29" s="61"/>
    </row>
    <row r="30" spans="1:12">
      <c r="A30" s="43"/>
      <c r="B30" s="43"/>
      <c r="C30" s="43"/>
      <c r="D30" s="43"/>
      <c r="E30" s="43"/>
      <c r="F30" s="43"/>
      <c r="G30" s="61"/>
      <c r="H30" s="61"/>
      <c r="I30" s="61"/>
      <c r="J30" s="61"/>
      <c r="K30" s="61"/>
      <c r="L30" s="61"/>
    </row>
    <row r="31" spans="1:12">
      <c r="A31" s="43"/>
      <c r="B31" s="43"/>
      <c r="C31" s="43"/>
      <c r="D31" s="43"/>
      <c r="E31" s="43"/>
      <c r="F31" s="43"/>
      <c r="G31" s="61"/>
      <c r="H31" s="61"/>
      <c r="I31" s="61"/>
      <c r="J31" s="61"/>
      <c r="K31" s="61"/>
      <c r="L31" s="61"/>
    </row>
    <row r="32" spans="1:12">
      <c r="A32" s="43"/>
      <c r="B32" s="43"/>
      <c r="C32" s="43"/>
      <c r="D32" s="43"/>
      <c r="E32" s="43"/>
      <c r="F32" s="43"/>
      <c r="G32" s="61"/>
      <c r="H32" s="61"/>
      <c r="I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</row>
  </sheetData>
  <mergeCells count="32">
    <mergeCell ref="A10:E10"/>
    <mergeCell ref="J10:L10"/>
    <mergeCell ref="A5:L7"/>
    <mergeCell ref="A8:E8"/>
    <mergeCell ref="J8:L8"/>
    <mergeCell ref="A9:E9"/>
    <mergeCell ref="J9:L9"/>
    <mergeCell ref="J13:L13"/>
    <mergeCell ref="A15:E15"/>
    <mergeCell ref="J15:L15"/>
    <mergeCell ref="A11:E11"/>
    <mergeCell ref="J11:L11"/>
    <mergeCell ref="A12:E12"/>
    <mergeCell ref="J12:L12"/>
    <mergeCell ref="A16:E16"/>
    <mergeCell ref="J16:L16"/>
    <mergeCell ref="A17:E17"/>
    <mergeCell ref="J17:L17"/>
    <mergeCell ref="A18:E18"/>
    <mergeCell ref="J18:L18"/>
    <mergeCell ref="K19:L19"/>
    <mergeCell ref="F21:H21"/>
    <mergeCell ref="A23:D23"/>
    <mergeCell ref="B24:C24"/>
    <mergeCell ref="G24:J24"/>
    <mergeCell ref="B29:C29"/>
    <mergeCell ref="B25:C25"/>
    <mergeCell ref="B26:C26"/>
    <mergeCell ref="G26:J26"/>
    <mergeCell ref="B27:C27"/>
    <mergeCell ref="B28:C28"/>
    <mergeCell ref="G28:J28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21" max="11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CEE9-DB1F-4C3F-89B7-0AA9D3D42E67}">
  <sheetPr>
    <tabColor rgb="FF00FF00"/>
  </sheetPr>
  <dimension ref="A1:L36"/>
  <sheetViews>
    <sheetView zoomScale="106" zoomScaleNormal="106" zoomScaleSheetLayoutView="90" zoomScalePageLayoutView="90" workbookViewId="0">
      <selection activeCell="I15" sqref="I15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17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67.5" customHeight="1">
      <c r="A9" s="110" t="s">
        <v>214</v>
      </c>
      <c r="B9" s="110"/>
      <c r="C9" s="110"/>
      <c r="D9" s="110"/>
      <c r="E9" s="110"/>
      <c r="F9" s="6"/>
      <c r="G9" s="36"/>
      <c r="H9" s="73">
        <v>0.16669999999999999</v>
      </c>
      <c r="I9" s="73">
        <f>IF(F9&gt;0,H9,0%)</f>
        <v>0</v>
      </c>
      <c r="J9" s="119"/>
      <c r="K9" s="119"/>
      <c r="L9" s="119"/>
    </row>
    <row r="10" spans="1:12" ht="52.5" customHeight="1">
      <c r="A10" s="110" t="s">
        <v>215</v>
      </c>
      <c r="B10" s="110"/>
      <c r="C10" s="110"/>
      <c r="D10" s="110"/>
      <c r="E10" s="110"/>
      <c r="F10" s="6"/>
      <c r="G10" s="36"/>
      <c r="H10" s="73">
        <v>0.16669999999999999</v>
      </c>
      <c r="I10" s="73">
        <f>IF(F10&gt;0,H10,0%)</f>
        <v>0</v>
      </c>
      <c r="J10" s="119"/>
      <c r="K10" s="119"/>
      <c r="L10" s="119"/>
    </row>
    <row r="11" spans="1:12" ht="52.5" customHeight="1">
      <c r="A11" s="110" t="s">
        <v>216</v>
      </c>
      <c r="B11" s="110"/>
      <c r="C11" s="110"/>
      <c r="D11" s="110"/>
      <c r="E11" s="110"/>
      <c r="F11" s="6"/>
      <c r="G11" s="36"/>
      <c r="H11" s="73">
        <v>0.16669999999999999</v>
      </c>
      <c r="I11" s="73"/>
      <c r="J11" s="119"/>
      <c r="K11" s="119"/>
      <c r="L11" s="119"/>
    </row>
    <row r="12" spans="1:12" ht="42.75" customHeight="1">
      <c r="A12" s="110" t="s">
        <v>217</v>
      </c>
      <c r="B12" s="110"/>
      <c r="C12" s="110"/>
      <c r="D12" s="110"/>
      <c r="E12" s="110"/>
      <c r="F12" s="6"/>
      <c r="G12" s="36"/>
      <c r="H12" s="73">
        <v>0.16669999999999999</v>
      </c>
      <c r="I12" s="73"/>
      <c r="J12" s="119"/>
      <c r="K12" s="119"/>
      <c r="L12" s="119"/>
    </row>
    <row r="13" spans="1:12" ht="50.25" customHeight="1">
      <c r="A13" s="110" t="s">
        <v>218</v>
      </c>
      <c r="B13" s="110"/>
      <c r="C13" s="110"/>
      <c r="D13" s="110"/>
      <c r="E13" s="110"/>
      <c r="F13" s="6"/>
      <c r="G13" s="36"/>
      <c r="H13" s="73">
        <v>0.16669999999999999</v>
      </c>
      <c r="I13" s="73">
        <f>IF(F13&gt;0,H13,0%)</f>
        <v>0</v>
      </c>
      <c r="J13" s="119"/>
      <c r="K13" s="119"/>
      <c r="L13" s="119"/>
    </row>
    <row r="14" spans="1:12" ht="52.5" customHeight="1">
      <c r="A14" s="110" t="s">
        <v>219</v>
      </c>
      <c r="B14" s="110"/>
      <c r="C14" s="110"/>
      <c r="D14" s="110"/>
      <c r="E14" s="110"/>
      <c r="F14" s="6"/>
      <c r="G14" s="36"/>
      <c r="H14" s="73">
        <v>0.16669999999999999</v>
      </c>
      <c r="I14" s="73">
        <f>IF(F14&gt;0,H14,0%)</f>
        <v>0</v>
      </c>
      <c r="J14" s="119"/>
      <c r="K14" s="119"/>
      <c r="L14" s="119"/>
    </row>
    <row r="15" spans="1:12">
      <c r="A15" s="43"/>
      <c r="B15" s="43"/>
      <c r="C15" s="43"/>
      <c r="D15" s="43"/>
      <c r="E15" s="43"/>
      <c r="F15" s="43"/>
      <c r="G15" s="72" t="s">
        <v>33</v>
      </c>
      <c r="H15" s="70">
        <v>1</v>
      </c>
      <c r="I15" s="71">
        <f>SUM(I9:I14)</f>
        <v>0</v>
      </c>
      <c r="J15" s="116"/>
      <c r="K15" s="116"/>
      <c r="L15" s="116"/>
    </row>
    <row r="16" spans="1:12">
      <c r="A16" s="43"/>
      <c r="B16" s="43"/>
      <c r="C16" s="43"/>
      <c r="D16" s="43"/>
      <c r="E16" s="43"/>
      <c r="F16" s="43"/>
      <c r="H16" s="43"/>
      <c r="I16" s="51"/>
      <c r="J16" s="54"/>
      <c r="K16" s="54"/>
      <c r="L16" s="54"/>
    </row>
    <row r="17" spans="1:12">
      <c r="A17" s="121" t="s">
        <v>34</v>
      </c>
      <c r="B17" s="121"/>
      <c r="C17" s="121"/>
      <c r="D17" s="121"/>
      <c r="E17" s="121"/>
      <c r="F17" s="64" t="s">
        <v>24</v>
      </c>
      <c r="G17" s="64" t="s">
        <v>25</v>
      </c>
      <c r="H17" s="64" t="s">
        <v>26</v>
      </c>
      <c r="I17" s="64" t="s">
        <v>27</v>
      </c>
      <c r="J17" s="121" t="s">
        <v>28</v>
      </c>
      <c r="K17" s="121"/>
      <c r="L17" s="121"/>
    </row>
    <row r="18" spans="1:12" ht="66" customHeight="1">
      <c r="A18" s="110" t="s">
        <v>220</v>
      </c>
      <c r="B18" s="110"/>
      <c r="C18" s="110"/>
      <c r="D18" s="110"/>
      <c r="E18" s="110"/>
      <c r="F18" s="14"/>
      <c r="G18" s="49"/>
      <c r="H18" s="40">
        <v>0.25</v>
      </c>
      <c r="I18" s="40">
        <v>0</v>
      </c>
      <c r="J18" s="117" t="s">
        <v>36</v>
      </c>
      <c r="K18" s="117"/>
      <c r="L18" s="117"/>
    </row>
    <row r="19" spans="1:12" ht="49.5" customHeight="1">
      <c r="A19" s="110" t="s">
        <v>221</v>
      </c>
      <c r="B19" s="110"/>
      <c r="C19" s="110"/>
      <c r="D19" s="110"/>
      <c r="E19" s="110"/>
      <c r="F19" s="14"/>
      <c r="G19" s="49"/>
      <c r="H19" s="40">
        <v>0.25</v>
      </c>
      <c r="I19" s="40">
        <v>0</v>
      </c>
      <c r="J19" s="117"/>
      <c r="K19" s="117"/>
      <c r="L19" s="117"/>
    </row>
    <row r="20" spans="1:12" ht="49.5" customHeight="1">
      <c r="A20" s="110" t="s">
        <v>222</v>
      </c>
      <c r="B20" s="110"/>
      <c r="C20" s="110"/>
      <c r="D20" s="110"/>
      <c r="E20" s="110"/>
      <c r="F20" s="14"/>
      <c r="G20" s="49"/>
      <c r="H20" s="40">
        <v>0.25</v>
      </c>
      <c r="I20" s="40"/>
      <c r="J20" s="117"/>
      <c r="K20" s="117"/>
      <c r="L20" s="117"/>
    </row>
    <row r="21" spans="1:12" ht="49.5" customHeight="1">
      <c r="A21" s="110" t="s">
        <v>223</v>
      </c>
      <c r="B21" s="110"/>
      <c r="C21" s="110"/>
      <c r="D21" s="110"/>
      <c r="E21" s="110"/>
      <c r="F21" s="14"/>
      <c r="G21" s="49"/>
      <c r="H21" s="40">
        <v>0.25</v>
      </c>
      <c r="I21" s="40">
        <v>0</v>
      </c>
      <c r="J21" s="117"/>
      <c r="K21" s="117"/>
      <c r="L21" s="117"/>
    </row>
    <row r="22" spans="1:12">
      <c r="A22" s="43"/>
      <c r="B22" s="43"/>
      <c r="C22" s="43"/>
      <c r="D22" s="43"/>
      <c r="E22" s="43"/>
      <c r="F22" s="43"/>
      <c r="G22" s="69" t="s">
        <v>33</v>
      </c>
      <c r="H22" s="70">
        <v>1</v>
      </c>
      <c r="I22" s="71">
        <f>SUM(I18:I21)</f>
        <v>0</v>
      </c>
      <c r="J22" s="43"/>
      <c r="K22" s="116"/>
      <c r="L22" s="116"/>
    </row>
    <row r="23" spans="1:12" ht="15.75" thickBo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15.75" thickBot="1">
      <c r="A24" s="43"/>
      <c r="B24" s="43"/>
      <c r="C24" s="43"/>
      <c r="D24" s="43"/>
      <c r="E24" s="43"/>
      <c r="F24" s="113" t="s">
        <v>47</v>
      </c>
      <c r="G24" s="113"/>
      <c r="H24" s="113"/>
      <c r="I24" s="60">
        <f>AVERAGE(I15,I22)</f>
        <v>0</v>
      </c>
      <c r="J24" s="43"/>
      <c r="K24" s="43"/>
      <c r="L24" s="43"/>
    </row>
    <row r="25" spans="1:1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2" ht="20.100000000000001" customHeight="1">
      <c r="A26" s="107" t="s">
        <v>48</v>
      </c>
      <c r="B26" s="108"/>
      <c r="C26" s="108"/>
      <c r="D26" s="108"/>
      <c r="E26" s="55"/>
      <c r="F26" s="43"/>
      <c r="G26" s="43"/>
      <c r="H26" s="43"/>
      <c r="I26" s="43"/>
      <c r="J26" s="43"/>
      <c r="K26" s="43"/>
      <c r="L26" s="43"/>
    </row>
    <row r="27" spans="1:12" ht="20.100000000000001" customHeight="1" thickBot="1">
      <c r="A27" s="57">
        <v>1</v>
      </c>
      <c r="B27" s="106" t="s">
        <v>49</v>
      </c>
      <c r="C27" s="106"/>
      <c r="D27" s="58"/>
      <c r="E27" s="56"/>
      <c r="F27" s="43"/>
      <c r="G27" s="105" t="s">
        <v>50</v>
      </c>
      <c r="H27" s="105"/>
      <c r="I27" s="105"/>
      <c r="J27" s="105"/>
      <c r="K27" s="53"/>
      <c r="L27" s="53"/>
    </row>
    <row r="28" spans="1:12" ht="20.100000000000001" customHeight="1">
      <c r="A28" s="57">
        <v>2</v>
      </c>
      <c r="B28" s="106" t="s">
        <v>51</v>
      </c>
      <c r="C28" s="106"/>
      <c r="D28" s="57"/>
      <c r="E28" s="56"/>
      <c r="F28" s="43"/>
      <c r="G28" s="62"/>
      <c r="H28" s="62"/>
      <c r="I28" s="62"/>
      <c r="J28" s="62"/>
      <c r="K28" s="43"/>
      <c r="L28" s="43"/>
    </row>
    <row r="29" spans="1:12" ht="20.100000000000001" customHeight="1" thickBot="1">
      <c r="A29" s="57">
        <v>3</v>
      </c>
      <c r="B29" s="106" t="s">
        <v>52</v>
      </c>
      <c r="C29" s="106"/>
      <c r="D29" s="57"/>
      <c r="E29" s="56"/>
      <c r="F29" s="43"/>
      <c r="G29" s="104" t="s">
        <v>53</v>
      </c>
      <c r="H29" s="104"/>
      <c r="I29" s="104"/>
      <c r="J29" s="104"/>
      <c r="K29" s="52"/>
      <c r="L29" s="53"/>
    </row>
    <row r="30" spans="1:12" ht="20.100000000000001" customHeight="1">
      <c r="A30" s="57">
        <v>4</v>
      </c>
      <c r="B30" s="106" t="s">
        <v>54</v>
      </c>
      <c r="C30" s="106"/>
      <c r="D30" s="57"/>
      <c r="E30" s="56"/>
      <c r="F30" s="43"/>
      <c r="G30" s="62"/>
      <c r="H30" s="62"/>
      <c r="I30" s="62"/>
      <c r="J30" s="62"/>
      <c r="K30" s="43"/>
      <c r="L30" s="43"/>
    </row>
    <row r="31" spans="1:12" ht="20.100000000000001" customHeight="1" thickBot="1">
      <c r="A31" s="57">
        <v>5</v>
      </c>
      <c r="B31" s="106" t="s">
        <v>55</v>
      </c>
      <c r="C31" s="106"/>
      <c r="D31" s="57"/>
      <c r="E31" s="43"/>
      <c r="F31" s="43"/>
      <c r="G31" s="104" t="s">
        <v>56</v>
      </c>
      <c r="H31" s="104"/>
      <c r="I31" s="104"/>
      <c r="J31" s="104"/>
      <c r="K31" s="53"/>
      <c r="L31" s="53"/>
    </row>
    <row r="32" spans="1:12" ht="20.100000000000001" customHeight="1">
      <c r="A32" s="59">
        <v>6</v>
      </c>
      <c r="B32" s="106" t="s">
        <v>57</v>
      </c>
      <c r="C32" s="106"/>
      <c r="D32" s="57"/>
      <c r="E32" s="43"/>
      <c r="F32" s="43"/>
      <c r="G32" s="61" t="s">
        <v>36</v>
      </c>
      <c r="H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61"/>
      <c r="H33" s="61"/>
      <c r="I33" s="61"/>
      <c r="J33" s="61"/>
      <c r="K33" s="61"/>
      <c r="L33" s="61"/>
    </row>
    <row r="34" spans="1:12">
      <c r="A34" s="43"/>
      <c r="B34" s="43"/>
      <c r="C34" s="43"/>
      <c r="D34" s="43"/>
      <c r="E34" s="43"/>
      <c r="F34" s="43"/>
      <c r="G34" s="61"/>
      <c r="H34" s="61"/>
      <c r="I34" s="61"/>
      <c r="J34" s="61"/>
      <c r="K34" s="61"/>
      <c r="L34" s="61"/>
    </row>
    <row r="35" spans="1:12">
      <c r="A35" s="43"/>
      <c r="B35" s="43"/>
      <c r="C35" s="43"/>
      <c r="D35" s="43"/>
      <c r="E35" s="43"/>
      <c r="F35" s="43"/>
      <c r="G35" s="61"/>
      <c r="H35" s="61"/>
      <c r="I35" s="61"/>
      <c r="J35" s="61"/>
      <c r="K35" s="61"/>
      <c r="L35" s="61"/>
    </row>
    <row r="36" spans="1:1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</sheetData>
  <mergeCells count="38">
    <mergeCell ref="A10:E10"/>
    <mergeCell ref="J10:L10"/>
    <mergeCell ref="A5:L7"/>
    <mergeCell ref="A8:E8"/>
    <mergeCell ref="J8:L8"/>
    <mergeCell ref="A9:E9"/>
    <mergeCell ref="J9:L9"/>
    <mergeCell ref="A21:E21"/>
    <mergeCell ref="J21:L21"/>
    <mergeCell ref="A13:E13"/>
    <mergeCell ref="J13:L13"/>
    <mergeCell ref="A14:E14"/>
    <mergeCell ref="J14:L14"/>
    <mergeCell ref="J15:L15"/>
    <mergeCell ref="A17:E17"/>
    <mergeCell ref="J17:L17"/>
    <mergeCell ref="B32:C32"/>
    <mergeCell ref="K22:L22"/>
    <mergeCell ref="F24:H24"/>
    <mergeCell ref="A26:D26"/>
    <mergeCell ref="B27:C27"/>
    <mergeCell ref="G27:J27"/>
    <mergeCell ref="B28:C28"/>
    <mergeCell ref="B29:C29"/>
    <mergeCell ref="G29:J29"/>
    <mergeCell ref="B30:C30"/>
    <mergeCell ref="B31:C31"/>
    <mergeCell ref="G31:J31"/>
    <mergeCell ref="A11:E11"/>
    <mergeCell ref="J11:L11"/>
    <mergeCell ref="A12:E12"/>
    <mergeCell ref="J12:L12"/>
    <mergeCell ref="A20:E20"/>
    <mergeCell ref="J20:L20"/>
    <mergeCell ref="A18:E18"/>
    <mergeCell ref="J18:L18"/>
    <mergeCell ref="A19:E19"/>
    <mergeCell ref="J19:L19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19" max="11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17CE-CFE8-4B84-B594-F4CFF04EE243}">
  <sheetPr>
    <tabColor rgb="FF00FF00"/>
  </sheetPr>
  <dimension ref="A1:L40"/>
  <sheetViews>
    <sheetView topLeftCell="A17" zoomScale="106" zoomScaleNormal="106" zoomScaleSheetLayoutView="90" zoomScalePageLayoutView="90" workbookViewId="0">
      <selection activeCell="I28" sqref="I28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18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67.5" customHeight="1">
      <c r="A9" s="110" t="s">
        <v>224</v>
      </c>
      <c r="B9" s="110"/>
      <c r="C9" s="110"/>
      <c r="D9" s="110"/>
      <c r="E9" s="110"/>
      <c r="F9" s="6"/>
      <c r="G9" s="36"/>
      <c r="H9" s="73">
        <v>0.2</v>
      </c>
      <c r="I9" s="73">
        <f>IF(F9&gt;0,H9,0%)</f>
        <v>0</v>
      </c>
      <c r="J9" s="119"/>
      <c r="K9" s="119"/>
      <c r="L9" s="119"/>
    </row>
    <row r="10" spans="1:12" ht="52.5" customHeight="1">
      <c r="A10" s="110" t="s">
        <v>225</v>
      </c>
      <c r="B10" s="110"/>
      <c r="C10" s="110"/>
      <c r="D10" s="110"/>
      <c r="E10" s="110"/>
      <c r="F10" s="6"/>
      <c r="G10" s="36"/>
      <c r="H10" s="73">
        <v>0.2</v>
      </c>
      <c r="I10" s="73">
        <f>IF(F10&gt;0,H10,0%)</f>
        <v>0</v>
      </c>
      <c r="J10" s="119"/>
      <c r="K10" s="119"/>
      <c r="L10" s="119"/>
    </row>
    <row r="11" spans="1:12" ht="52.5" customHeight="1">
      <c r="A11" s="110" t="s">
        <v>226</v>
      </c>
      <c r="B11" s="110"/>
      <c r="C11" s="110"/>
      <c r="D11" s="110"/>
      <c r="E11" s="110"/>
      <c r="F11" s="6"/>
      <c r="G11" s="36"/>
      <c r="H11" s="73">
        <v>0.2</v>
      </c>
      <c r="I11" s="73">
        <f>IF(F11&gt;0,H11,0%)</f>
        <v>0</v>
      </c>
      <c r="J11" s="119"/>
      <c r="K11" s="119"/>
      <c r="L11" s="119"/>
    </row>
    <row r="12" spans="1:12" ht="52.5" customHeight="1">
      <c r="A12" s="110" t="s">
        <v>227</v>
      </c>
      <c r="B12" s="110"/>
      <c r="C12" s="110"/>
      <c r="D12" s="110"/>
      <c r="E12" s="110"/>
      <c r="F12" s="6"/>
      <c r="G12" s="36"/>
      <c r="H12" s="73">
        <v>0.2</v>
      </c>
      <c r="I12" s="73">
        <f>IF(F12&gt;0,H12,0%)</f>
        <v>0</v>
      </c>
      <c r="J12" s="119"/>
      <c r="K12" s="119"/>
      <c r="L12" s="119"/>
    </row>
    <row r="13" spans="1:12" ht="42.75" customHeight="1">
      <c r="A13" s="110" t="s">
        <v>228</v>
      </c>
      <c r="B13" s="110"/>
      <c r="C13" s="110"/>
      <c r="D13" s="110"/>
      <c r="E13" s="110"/>
      <c r="F13" s="6"/>
      <c r="G13" s="36"/>
      <c r="H13" s="73">
        <v>0.2</v>
      </c>
      <c r="I13" s="73">
        <f>IF(F13&gt;0,H13,0%)</f>
        <v>0</v>
      </c>
      <c r="J13" s="119"/>
      <c r="K13" s="119"/>
      <c r="L13" s="119"/>
    </row>
    <row r="14" spans="1:12">
      <c r="A14" s="43"/>
      <c r="B14" s="43"/>
      <c r="C14" s="43"/>
      <c r="D14" s="43"/>
      <c r="E14" s="43"/>
      <c r="F14" s="43"/>
      <c r="G14" s="72" t="s">
        <v>33</v>
      </c>
      <c r="H14" s="70">
        <v>1</v>
      </c>
      <c r="I14" s="71">
        <f>SUM(I9:I13)</f>
        <v>0</v>
      </c>
      <c r="J14" s="116"/>
      <c r="K14" s="116"/>
      <c r="L14" s="116"/>
    </row>
    <row r="15" spans="1:12">
      <c r="A15" s="43"/>
      <c r="B15" s="43"/>
      <c r="C15" s="43"/>
      <c r="D15" s="43"/>
      <c r="E15" s="43"/>
      <c r="F15" s="43"/>
      <c r="H15" s="43"/>
      <c r="I15" s="51"/>
      <c r="J15" s="54"/>
      <c r="K15" s="54"/>
      <c r="L15" s="54"/>
    </row>
    <row r="16" spans="1:12">
      <c r="A16" s="121" t="s">
        <v>34</v>
      </c>
      <c r="B16" s="121"/>
      <c r="C16" s="121"/>
      <c r="D16" s="121"/>
      <c r="E16" s="121"/>
      <c r="F16" s="64" t="s">
        <v>24</v>
      </c>
      <c r="G16" s="64" t="s">
        <v>25</v>
      </c>
      <c r="H16" s="64" t="s">
        <v>26</v>
      </c>
      <c r="I16" s="64" t="s">
        <v>27</v>
      </c>
      <c r="J16" s="121" t="s">
        <v>28</v>
      </c>
      <c r="K16" s="121"/>
      <c r="L16" s="121"/>
    </row>
    <row r="17" spans="1:12" ht="66" customHeight="1">
      <c r="A17" s="110" t="s">
        <v>229</v>
      </c>
      <c r="B17" s="110"/>
      <c r="C17" s="110"/>
      <c r="D17" s="110"/>
      <c r="E17" s="110"/>
      <c r="F17" s="14"/>
      <c r="G17" s="49"/>
      <c r="H17" s="40">
        <v>0.111</v>
      </c>
      <c r="I17" s="40">
        <v>0</v>
      </c>
      <c r="J17" s="117"/>
      <c r="K17" s="117"/>
      <c r="L17" s="117"/>
    </row>
    <row r="18" spans="1:12" ht="66" customHeight="1">
      <c r="A18" s="110" t="s">
        <v>230</v>
      </c>
      <c r="B18" s="110"/>
      <c r="C18" s="110"/>
      <c r="D18" s="110"/>
      <c r="E18" s="110"/>
      <c r="F18" s="14"/>
      <c r="G18" s="49"/>
      <c r="H18" s="40">
        <v>0.111</v>
      </c>
      <c r="I18" s="40">
        <v>0</v>
      </c>
      <c r="J18" s="117"/>
      <c r="K18" s="117"/>
      <c r="L18" s="117"/>
    </row>
    <row r="19" spans="1:12" ht="46.5" customHeight="1">
      <c r="A19" s="110" t="s">
        <v>231</v>
      </c>
      <c r="B19" s="110"/>
      <c r="C19" s="110"/>
      <c r="D19" s="110"/>
      <c r="E19" s="110"/>
      <c r="F19" s="14"/>
      <c r="G19" s="49"/>
      <c r="H19" s="40">
        <v>0.111</v>
      </c>
      <c r="I19" s="40">
        <v>0</v>
      </c>
      <c r="J19" s="117"/>
      <c r="K19" s="117"/>
      <c r="L19" s="117"/>
    </row>
    <row r="20" spans="1:12" ht="51" customHeight="1">
      <c r="A20" s="110" t="s">
        <v>232</v>
      </c>
      <c r="B20" s="110"/>
      <c r="C20" s="110"/>
      <c r="D20" s="110"/>
      <c r="E20" s="110"/>
      <c r="F20" s="14"/>
      <c r="G20" s="49"/>
      <c r="H20" s="40">
        <v>0.111</v>
      </c>
      <c r="I20" s="40">
        <v>0</v>
      </c>
      <c r="J20" s="117"/>
      <c r="K20" s="117"/>
      <c r="L20" s="117"/>
    </row>
    <row r="21" spans="1:12" ht="51" customHeight="1">
      <c r="A21" s="110" t="s">
        <v>233</v>
      </c>
      <c r="B21" s="110"/>
      <c r="C21" s="110"/>
      <c r="D21" s="110"/>
      <c r="E21" s="110"/>
      <c r="F21" s="14"/>
      <c r="G21" s="49"/>
      <c r="H21" s="40">
        <v>0.111</v>
      </c>
      <c r="I21" s="40">
        <v>0</v>
      </c>
      <c r="J21" s="117" t="s">
        <v>36</v>
      </c>
      <c r="K21" s="117"/>
      <c r="L21" s="117"/>
    </row>
    <row r="22" spans="1:12" ht="51" customHeight="1">
      <c r="A22" s="110" t="s">
        <v>234</v>
      </c>
      <c r="B22" s="110"/>
      <c r="C22" s="110"/>
      <c r="D22" s="110"/>
      <c r="E22" s="110"/>
      <c r="F22" s="14"/>
      <c r="G22" s="49"/>
      <c r="H22" s="40">
        <v>0.111</v>
      </c>
      <c r="I22" s="73">
        <f>IF(F22&gt;0,H22,0%)</f>
        <v>0</v>
      </c>
      <c r="J22" s="117"/>
      <c r="K22" s="117"/>
      <c r="L22" s="117"/>
    </row>
    <row r="23" spans="1:12" ht="49.5" customHeight="1">
      <c r="A23" s="110" t="s">
        <v>235</v>
      </c>
      <c r="B23" s="110"/>
      <c r="C23" s="110"/>
      <c r="D23" s="110"/>
      <c r="E23" s="110"/>
      <c r="F23" s="14"/>
      <c r="G23" s="49"/>
      <c r="H23" s="40">
        <v>0.111</v>
      </c>
      <c r="I23" s="40">
        <v>0</v>
      </c>
      <c r="J23" s="117"/>
      <c r="K23" s="117"/>
      <c r="L23" s="117"/>
    </row>
    <row r="24" spans="1:12" ht="49.5" customHeight="1">
      <c r="A24" s="110" t="s">
        <v>236</v>
      </c>
      <c r="B24" s="110"/>
      <c r="C24" s="110"/>
      <c r="D24" s="110"/>
      <c r="E24" s="110"/>
      <c r="F24" s="14"/>
      <c r="G24" s="49"/>
      <c r="H24" s="40">
        <v>0.111</v>
      </c>
      <c r="I24" s="40">
        <v>0</v>
      </c>
      <c r="J24" s="117"/>
      <c r="K24" s="117"/>
      <c r="L24" s="117"/>
    </row>
    <row r="25" spans="1:12" ht="49.5" customHeight="1">
      <c r="A25" s="110" t="s">
        <v>237</v>
      </c>
      <c r="B25" s="110"/>
      <c r="C25" s="110"/>
      <c r="D25" s="110"/>
      <c r="E25" s="110"/>
      <c r="F25" s="14"/>
      <c r="G25" s="49"/>
      <c r="H25" s="40">
        <v>0.111</v>
      </c>
      <c r="I25" s="40">
        <v>0</v>
      </c>
      <c r="J25" s="117"/>
      <c r="K25" s="117"/>
      <c r="L25" s="117"/>
    </row>
    <row r="26" spans="1:12">
      <c r="A26" s="43"/>
      <c r="B26" s="43"/>
      <c r="C26" s="43"/>
      <c r="D26" s="43"/>
      <c r="E26" s="43"/>
      <c r="F26" s="43"/>
      <c r="G26" s="69" t="s">
        <v>33</v>
      </c>
      <c r="H26" s="70">
        <v>1</v>
      </c>
      <c r="I26" s="71">
        <f>SUM(I17:I25)</f>
        <v>0</v>
      </c>
      <c r="J26" s="43"/>
      <c r="K26" s="116"/>
      <c r="L26" s="116"/>
    </row>
    <row r="27" spans="1:12" ht="15.75" thickBo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</row>
    <row r="28" spans="1:12" ht="15.75" thickBot="1">
      <c r="A28" s="43"/>
      <c r="B28" s="43"/>
      <c r="C28" s="43"/>
      <c r="D28" s="43"/>
      <c r="E28" s="43"/>
      <c r="F28" s="113" t="s">
        <v>47</v>
      </c>
      <c r="G28" s="113"/>
      <c r="H28" s="113"/>
      <c r="I28" s="60">
        <f>AVERAGE(I14,I26)</f>
        <v>0</v>
      </c>
      <c r="J28" s="43"/>
      <c r="K28" s="43"/>
      <c r="L28" s="43"/>
    </row>
    <row r="29" spans="1:12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</row>
    <row r="30" spans="1:12" ht="20.100000000000001" customHeight="1">
      <c r="A30" s="107" t="s">
        <v>48</v>
      </c>
      <c r="B30" s="108"/>
      <c r="C30" s="108"/>
      <c r="D30" s="108"/>
      <c r="E30" s="55"/>
      <c r="F30" s="43"/>
      <c r="G30" s="43"/>
      <c r="H30" s="43"/>
      <c r="I30" s="43"/>
      <c r="J30" s="43"/>
      <c r="K30" s="43"/>
      <c r="L30" s="43"/>
    </row>
    <row r="31" spans="1:12" ht="20.100000000000001" customHeight="1" thickBot="1">
      <c r="A31" s="57">
        <v>1</v>
      </c>
      <c r="B31" s="106" t="s">
        <v>49</v>
      </c>
      <c r="C31" s="106"/>
      <c r="D31" s="58"/>
      <c r="E31" s="56"/>
      <c r="F31" s="43"/>
      <c r="G31" s="105" t="s">
        <v>50</v>
      </c>
      <c r="H31" s="105"/>
      <c r="I31" s="105"/>
      <c r="J31" s="105"/>
      <c r="K31" s="53"/>
      <c r="L31" s="53"/>
    </row>
    <row r="32" spans="1:12" ht="20.100000000000001" customHeight="1">
      <c r="A32" s="57">
        <v>2</v>
      </c>
      <c r="B32" s="106" t="s">
        <v>51</v>
      </c>
      <c r="C32" s="106"/>
      <c r="D32" s="57"/>
      <c r="E32" s="56"/>
      <c r="F32" s="43"/>
      <c r="G32" s="62"/>
      <c r="H32" s="62"/>
      <c r="I32" s="62"/>
      <c r="J32" s="62"/>
      <c r="K32" s="43"/>
      <c r="L32" s="43"/>
    </row>
    <row r="33" spans="1:12" ht="20.100000000000001" customHeight="1" thickBot="1">
      <c r="A33" s="57">
        <v>3</v>
      </c>
      <c r="B33" s="106" t="s">
        <v>52</v>
      </c>
      <c r="C33" s="106"/>
      <c r="D33" s="57"/>
      <c r="E33" s="56"/>
      <c r="F33" s="43"/>
      <c r="G33" s="104" t="s">
        <v>53</v>
      </c>
      <c r="H33" s="104"/>
      <c r="I33" s="104"/>
      <c r="J33" s="104"/>
      <c r="K33" s="52"/>
      <c r="L33" s="53"/>
    </row>
    <row r="34" spans="1:12" ht="20.100000000000001" customHeight="1">
      <c r="A34" s="57">
        <v>4</v>
      </c>
      <c r="B34" s="106" t="s">
        <v>54</v>
      </c>
      <c r="C34" s="106"/>
      <c r="D34" s="57"/>
      <c r="E34" s="56"/>
      <c r="F34" s="43"/>
      <c r="G34" s="62"/>
      <c r="H34" s="62"/>
      <c r="I34" s="62"/>
      <c r="J34" s="62"/>
      <c r="K34" s="43"/>
      <c r="L34" s="43"/>
    </row>
    <row r="35" spans="1:12" ht="20.100000000000001" customHeight="1" thickBot="1">
      <c r="A35" s="57">
        <v>5</v>
      </c>
      <c r="B35" s="106" t="s">
        <v>55</v>
      </c>
      <c r="C35" s="106"/>
      <c r="D35" s="57"/>
      <c r="E35" s="43"/>
      <c r="F35" s="43"/>
      <c r="G35" s="104" t="s">
        <v>56</v>
      </c>
      <c r="H35" s="104"/>
      <c r="I35" s="104"/>
      <c r="J35" s="104"/>
      <c r="K35" s="53"/>
      <c r="L35" s="53"/>
    </row>
    <row r="36" spans="1:12" ht="20.100000000000001" customHeight="1">
      <c r="A36" s="59">
        <v>6</v>
      </c>
      <c r="B36" s="106" t="s">
        <v>57</v>
      </c>
      <c r="C36" s="106"/>
      <c r="D36" s="57"/>
      <c r="E36" s="43"/>
      <c r="F36" s="43"/>
      <c r="G36" s="61" t="s">
        <v>36</v>
      </c>
      <c r="H36" s="61"/>
      <c r="J36" s="61"/>
      <c r="K36" s="61"/>
      <c r="L36" s="61"/>
    </row>
    <row r="37" spans="1:12">
      <c r="A37" s="43"/>
      <c r="B37" s="43"/>
      <c r="C37" s="43"/>
      <c r="D37" s="43"/>
      <c r="E37" s="43"/>
      <c r="F37" s="43"/>
      <c r="G37" s="61"/>
      <c r="H37" s="61"/>
      <c r="I37" s="61"/>
      <c r="J37" s="61"/>
      <c r="K37" s="61"/>
      <c r="L37" s="61"/>
    </row>
    <row r="38" spans="1:12">
      <c r="A38" s="43"/>
      <c r="B38" s="43"/>
      <c r="C38" s="43"/>
      <c r="D38" s="43"/>
      <c r="E38" s="43"/>
      <c r="F38" s="43"/>
      <c r="G38" s="61"/>
      <c r="H38" s="61"/>
      <c r="I38" s="61"/>
      <c r="J38" s="61"/>
      <c r="K38" s="61"/>
      <c r="L38" s="61"/>
    </row>
    <row r="39" spans="1:12">
      <c r="A39" s="43"/>
      <c r="B39" s="43"/>
      <c r="C39" s="43"/>
      <c r="D39" s="43"/>
      <c r="E39" s="43"/>
      <c r="F39" s="43"/>
      <c r="G39" s="61"/>
      <c r="H39" s="61"/>
      <c r="I39" s="61"/>
      <c r="J39" s="61"/>
      <c r="K39" s="61"/>
      <c r="L39" s="61"/>
    </row>
    <row r="40" spans="1:1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</sheetData>
  <mergeCells count="46">
    <mergeCell ref="B36:C36"/>
    <mergeCell ref="J18:L18"/>
    <mergeCell ref="A19:E19"/>
    <mergeCell ref="J19:L19"/>
    <mergeCell ref="A20:E20"/>
    <mergeCell ref="J20:L20"/>
    <mergeCell ref="A22:E22"/>
    <mergeCell ref="J22:L22"/>
    <mergeCell ref="B32:C32"/>
    <mergeCell ref="B33:C33"/>
    <mergeCell ref="G33:J33"/>
    <mergeCell ref="B34:C34"/>
    <mergeCell ref="B35:C35"/>
    <mergeCell ref="G35:J35"/>
    <mergeCell ref="K26:L26"/>
    <mergeCell ref="F28:H28"/>
    <mergeCell ref="A30:D30"/>
    <mergeCell ref="B31:C31"/>
    <mergeCell ref="G31:J31"/>
    <mergeCell ref="A23:E23"/>
    <mergeCell ref="J23:L23"/>
    <mergeCell ref="A24:E24"/>
    <mergeCell ref="J24:L24"/>
    <mergeCell ref="A25:E25"/>
    <mergeCell ref="J25:L25"/>
    <mergeCell ref="J14:L14"/>
    <mergeCell ref="A16:E16"/>
    <mergeCell ref="J16:L16"/>
    <mergeCell ref="A21:E21"/>
    <mergeCell ref="J21:L21"/>
    <mergeCell ref="A17:E17"/>
    <mergeCell ref="J17:L17"/>
    <mergeCell ref="A18:E18"/>
    <mergeCell ref="A10:E10"/>
    <mergeCell ref="J10:L10"/>
    <mergeCell ref="A11:E11"/>
    <mergeCell ref="J11:L11"/>
    <mergeCell ref="A13:E13"/>
    <mergeCell ref="J13:L13"/>
    <mergeCell ref="A12:E12"/>
    <mergeCell ref="J12:L12"/>
    <mergeCell ref="A5:L7"/>
    <mergeCell ref="A8:E8"/>
    <mergeCell ref="J8:L8"/>
    <mergeCell ref="A9:E9"/>
    <mergeCell ref="J9:L9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rowBreaks count="1" manualBreakCount="1">
    <brk id="19" max="11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DF0B-ED00-4749-8AD4-28ACFE1D8428}">
  <sheetPr>
    <tabColor rgb="FF00FF00"/>
  </sheetPr>
  <dimension ref="A1:L34"/>
  <sheetViews>
    <sheetView topLeftCell="A10" zoomScale="106" zoomScaleNormal="106" zoomScaleSheetLayoutView="90" zoomScalePageLayoutView="90" workbookViewId="0">
      <selection activeCell="H11" sqref="H11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19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48" customHeight="1">
      <c r="A9" s="110" t="s">
        <v>238</v>
      </c>
      <c r="B9" s="110"/>
      <c r="C9" s="110"/>
      <c r="D9" s="110"/>
      <c r="E9" s="110"/>
      <c r="F9" s="6"/>
      <c r="G9" s="36"/>
      <c r="H9" s="73">
        <v>0.2</v>
      </c>
      <c r="I9" s="73">
        <f>IF(F9&gt;0,H9,0%)</f>
        <v>0</v>
      </c>
      <c r="J9" s="119"/>
      <c r="K9" s="119"/>
      <c r="L9" s="119"/>
    </row>
    <row r="10" spans="1:12" ht="42.75" customHeight="1">
      <c r="A10" s="110" t="s">
        <v>239</v>
      </c>
      <c r="B10" s="110"/>
      <c r="C10" s="110"/>
      <c r="D10" s="110"/>
      <c r="E10" s="110"/>
      <c r="F10" s="6"/>
      <c r="G10" s="36"/>
      <c r="H10" s="73">
        <v>0.2</v>
      </c>
      <c r="I10" s="73">
        <f>IF(F10&gt;0,H10,0%)</f>
        <v>0</v>
      </c>
      <c r="J10" s="119"/>
      <c r="K10" s="119"/>
      <c r="L10" s="119"/>
    </row>
    <row r="11" spans="1:12" ht="50.25" customHeight="1">
      <c r="A11" s="110" t="s">
        <v>240</v>
      </c>
      <c r="B11" s="110"/>
      <c r="C11" s="110"/>
      <c r="D11" s="110"/>
      <c r="E11" s="110"/>
      <c r="F11" s="6"/>
      <c r="G11" s="36"/>
      <c r="H11" s="73">
        <v>0.2</v>
      </c>
      <c r="I11" s="73">
        <f>IF(F11&gt;0,H11,0%)</f>
        <v>0</v>
      </c>
      <c r="J11" s="119"/>
      <c r="K11" s="119"/>
      <c r="L11" s="119"/>
    </row>
    <row r="12" spans="1:12" ht="52.5" customHeight="1">
      <c r="A12" s="110" t="s">
        <v>241</v>
      </c>
      <c r="B12" s="110"/>
      <c r="C12" s="110"/>
      <c r="D12" s="110"/>
      <c r="E12" s="110"/>
      <c r="F12" s="6"/>
      <c r="G12" s="36"/>
      <c r="H12" s="73">
        <v>0.2</v>
      </c>
      <c r="I12" s="73">
        <f>IF(F12&gt;0,H12,0%)</f>
        <v>0</v>
      </c>
      <c r="J12" s="119"/>
      <c r="K12" s="119"/>
      <c r="L12" s="119"/>
    </row>
    <row r="13" spans="1:12" ht="42.75" customHeight="1">
      <c r="A13" s="110" t="s">
        <v>242</v>
      </c>
      <c r="B13" s="110"/>
      <c r="C13" s="110"/>
      <c r="D13" s="110"/>
      <c r="E13" s="110"/>
      <c r="F13" s="6"/>
      <c r="G13" s="36"/>
      <c r="H13" s="73">
        <v>0.2</v>
      </c>
      <c r="I13" s="73">
        <f>IF(F13&gt;0,H13,0%)</f>
        <v>0</v>
      </c>
      <c r="J13" s="119"/>
      <c r="K13" s="119"/>
      <c r="L13" s="119"/>
    </row>
    <row r="14" spans="1:12">
      <c r="A14" s="43"/>
      <c r="B14" s="43"/>
      <c r="C14" s="43"/>
      <c r="D14" s="43"/>
      <c r="E14" s="43"/>
      <c r="F14" s="43"/>
      <c r="G14" s="72" t="s">
        <v>33</v>
      </c>
      <c r="H14" s="70">
        <v>1</v>
      </c>
      <c r="I14" s="71">
        <f>SUM(I9:I13)</f>
        <v>0</v>
      </c>
      <c r="J14" s="116"/>
      <c r="K14" s="116"/>
      <c r="L14" s="116"/>
    </row>
    <row r="15" spans="1:12">
      <c r="A15" s="43"/>
      <c r="B15" s="43"/>
      <c r="C15" s="43"/>
      <c r="D15" s="43"/>
      <c r="E15" s="43"/>
      <c r="F15" s="43"/>
      <c r="H15" s="43"/>
      <c r="I15" s="51"/>
      <c r="J15" s="54"/>
      <c r="K15" s="54"/>
      <c r="L15" s="54"/>
    </row>
    <row r="16" spans="1:12">
      <c r="A16" s="121" t="s">
        <v>34</v>
      </c>
      <c r="B16" s="121"/>
      <c r="C16" s="121"/>
      <c r="D16" s="121"/>
      <c r="E16" s="121"/>
      <c r="F16" s="64" t="s">
        <v>24</v>
      </c>
      <c r="G16" s="64" t="s">
        <v>25</v>
      </c>
      <c r="H16" s="64" t="s">
        <v>26</v>
      </c>
      <c r="I16" s="64" t="s">
        <v>27</v>
      </c>
      <c r="J16" s="121" t="s">
        <v>28</v>
      </c>
      <c r="K16" s="121"/>
      <c r="L16" s="121"/>
    </row>
    <row r="17" spans="1:12" ht="66" customHeight="1">
      <c r="A17" s="110" t="s">
        <v>243</v>
      </c>
      <c r="B17" s="110"/>
      <c r="C17" s="110"/>
      <c r="D17" s="110"/>
      <c r="E17" s="110"/>
      <c r="F17" s="14"/>
      <c r="G17" s="49"/>
      <c r="H17" s="40">
        <v>0.33329999999999999</v>
      </c>
      <c r="I17" s="40">
        <v>0</v>
      </c>
      <c r="J17" s="117"/>
      <c r="K17" s="117"/>
      <c r="L17" s="117"/>
    </row>
    <row r="18" spans="1:12" ht="66" customHeight="1">
      <c r="A18" s="110" t="s">
        <v>244</v>
      </c>
      <c r="B18" s="110"/>
      <c r="C18" s="110"/>
      <c r="D18" s="110"/>
      <c r="E18" s="110"/>
      <c r="F18" s="14"/>
      <c r="G18" s="49"/>
      <c r="H18" s="40">
        <v>0.33329999999999999</v>
      </c>
      <c r="I18" s="40">
        <v>0</v>
      </c>
      <c r="J18" s="117"/>
      <c r="K18" s="117"/>
      <c r="L18" s="117"/>
    </row>
    <row r="19" spans="1:12" ht="63" customHeight="1">
      <c r="A19" s="110" t="s">
        <v>245</v>
      </c>
      <c r="B19" s="110"/>
      <c r="C19" s="110"/>
      <c r="D19" s="110"/>
      <c r="E19" s="110"/>
      <c r="F19" s="14"/>
      <c r="G19" s="49"/>
      <c r="H19" s="40">
        <v>0.33329999999999999</v>
      </c>
      <c r="I19" s="40">
        <v>0</v>
      </c>
      <c r="J19" s="117"/>
      <c r="K19" s="117"/>
      <c r="L19" s="117"/>
    </row>
    <row r="20" spans="1:12">
      <c r="A20" s="43"/>
      <c r="B20" s="43"/>
      <c r="C20" s="43"/>
      <c r="D20" s="43"/>
      <c r="E20" s="43"/>
      <c r="F20" s="43"/>
      <c r="G20" s="69" t="s">
        <v>33</v>
      </c>
      <c r="H20" s="70">
        <v>1</v>
      </c>
      <c r="I20" s="71">
        <f>SUM(I17:I19)</f>
        <v>0</v>
      </c>
      <c r="J20" s="43"/>
      <c r="K20" s="116"/>
      <c r="L20" s="116"/>
    </row>
    <row r="21" spans="1:12" ht="15.75" thickBo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ht="15.75" thickBot="1">
      <c r="A22" s="43"/>
      <c r="B22" s="43"/>
      <c r="C22" s="43"/>
      <c r="D22" s="43"/>
      <c r="E22" s="43"/>
      <c r="F22" s="113" t="s">
        <v>47</v>
      </c>
      <c r="G22" s="113"/>
      <c r="H22" s="113"/>
      <c r="I22" s="60">
        <f>AVERAGE(I14,I20)</f>
        <v>0</v>
      </c>
      <c r="J22" s="43"/>
      <c r="K22" s="43"/>
      <c r="L22" s="43"/>
    </row>
    <row r="23" spans="1:12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20.100000000000001" customHeight="1">
      <c r="A24" s="107" t="s">
        <v>48</v>
      </c>
      <c r="B24" s="108"/>
      <c r="C24" s="108"/>
      <c r="D24" s="108"/>
      <c r="E24" s="55"/>
      <c r="F24" s="43"/>
      <c r="G24" s="43"/>
      <c r="H24" s="43"/>
      <c r="I24" s="43"/>
      <c r="J24" s="43"/>
      <c r="K24" s="43"/>
      <c r="L24" s="43"/>
    </row>
    <row r="25" spans="1:12" ht="20.100000000000001" customHeight="1" thickBot="1">
      <c r="A25" s="57">
        <v>1</v>
      </c>
      <c r="B25" s="106" t="s">
        <v>49</v>
      </c>
      <c r="C25" s="106"/>
      <c r="D25" s="58"/>
      <c r="E25" s="56"/>
      <c r="F25" s="43"/>
      <c r="G25" s="105" t="s">
        <v>50</v>
      </c>
      <c r="H25" s="105"/>
      <c r="I25" s="105"/>
      <c r="J25" s="105"/>
      <c r="K25" s="53"/>
      <c r="L25" s="53"/>
    </row>
    <row r="26" spans="1:12" ht="20.100000000000001" customHeight="1">
      <c r="A26" s="57">
        <v>2</v>
      </c>
      <c r="B26" s="106" t="s">
        <v>51</v>
      </c>
      <c r="C26" s="106"/>
      <c r="D26" s="57"/>
      <c r="E26" s="56"/>
      <c r="F26" s="43"/>
      <c r="G26" s="62"/>
      <c r="H26" s="62"/>
      <c r="I26" s="62"/>
      <c r="J26" s="62"/>
      <c r="K26" s="43"/>
      <c r="L26" s="43"/>
    </row>
    <row r="27" spans="1:12" ht="20.100000000000001" customHeight="1" thickBot="1">
      <c r="A27" s="57">
        <v>3</v>
      </c>
      <c r="B27" s="106" t="s">
        <v>52</v>
      </c>
      <c r="C27" s="106"/>
      <c r="D27" s="57"/>
      <c r="E27" s="56"/>
      <c r="F27" s="43"/>
      <c r="G27" s="104" t="s">
        <v>53</v>
      </c>
      <c r="H27" s="104"/>
      <c r="I27" s="104"/>
      <c r="J27" s="104"/>
      <c r="K27" s="52"/>
      <c r="L27" s="53"/>
    </row>
    <row r="28" spans="1:12" ht="20.100000000000001" customHeight="1">
      <c r="A28" s="57">
        <v>4</v>
      </c>
      <c r="B28" s="106" t="s">
        <v>54</v>
      </c>
      <c r="C28" s="106"/>
      <c r="D28" s="57"/>
      <c r="E28" s="56"/>
      <c r="F28" s="43"/>
      <c r="G28" s="62"/>
      <c r="H28" s="62"/>
      <c r="I28" s="62"/>
      <c r="J28" s="62"/>
      <c r="K28" s="43"/>
      <c r="L28" s="43"/>
    </row>
    <row r="29" spans="1:12" ht="20.100000000000001" customHeight="1" thickBot="1">
      <c r="A29" s="57">
        <v>5</v>
      </c>
      <c r="B29" s="106" t="s">
        <v>55</v>
      </c>
      <c r="C29" s="106"/>
      <c r="D29" s="57"/>
      <c r="E29" s="43"/>
      <c r="F29" s="43"/>
      <c r="G29" s="104" t="s">
        <v>56</v>
      </c>
      <c r="H29" s="104"/>
      <c r="I29" s="104"/>
      <c r="J29" s="104"/>
      <c r="K29" s="53"/>
      <c r="L29" s="53"/>
    </row>
    <row r="30" spans="1:12" ht="20.100000000000001" customHeight="1">
      <c r="A30" s="59">
        <v>6</v>
      </c>
      <c r="B30" s="106" t="s">
        <v>57</v>
      </c>
      <c r="C30" s="106"/>
      <c r="D30" s="57"/>
      <c r="E30" s="43"/>
      <c r="F30" s="43"/>
      <c r="G30" s="61" t="s">
        <v>36</v>
      </c>
      <c r="H30" s="61"/>
      <c r="J30" s="61"/>
      <c r="K30" s="61"/>
      <c r="L30" s="61"/>
    </row>
    <row r="31" spans="1:12">
      <c r="A31" s="43"/>
      <c r="B31" s="43"/>
      <c r="C31" s="43"/>
      <c r="D31" s="43"/>
      <c r="E31" s="43"/>
      <c r="F31" s="43"/>
      <c r="G31" s="61"/>
      <c r="H31" s="61"/>
      <c r="I31" s="61"/>
      <c r="J31" s="61"/>
      <c r="K31" s="61"/>
      <c r="L31" s="61"/>
    </row>
    <row r="32" spans="1:12">
      <c r="A32" s="43"/>
      <c r="B32" s="43"/>
      <c r="C32" s="43"/>
      <c r="D32" s="43"/>
      <c r="E32" s="43"/>
      <c r="F32" s="43"/>
      <c r="G32" s="61"/>
      <c r="H32" s="61"/>
      <c r="I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61"/>
      <c r="H33" s="61"/>
      <c r="I33" s="61"/>
      <c r="J33" s="61"/>
      <c r="K33" s="61"/>
      <c r="L33" s="61"/>
    </row>
    <row r="34" spans="1:1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</sheetData>
  <mergeCells count="34">
    <mergeCell ref="B30:C30"/>
    <mergeCell ref="B26:C26"/>
    <mergeCell ref="B27:C27"/>
    <mergeCell ref="G27:J27"/>
    <mergeCell ref="B28:C28"/>
    <mergeCell ref="B29:C29"/>
    <mergeCell ref="G29:J29"/>
    <mergeCell ref="F22:H22"/>
    <mergeCell ref="A24:D24"/>
    <mergeCell ref="B25:C25"/>
    <mergeCell ref="G25:J25"/>
    <mergeCell ref="A19:E19"/>
    <mergeCell ref="J19:L19"/>
    <mergeCell ref="A17:E17"/>
    <mergeCell ref="J17:L17"/>
    <mergeCell ref="A18:E18"/>
    <mergeCell ref="J18:L18"/>
    <mergeCell ref="K20:L20"/>
    <mergeCell ref="A13:E13"/>
    <mergeCell ref="J13:L13"/>
    <mergeCell ref="J14:L14"/>
    <mergeCell ref="A16:E16"/>
    <mergeCell ref="J16:L16"/>
    <mergeCell ref="A10:E10"/>
    <mergeCell ref="J10:L10"/>
    <mergeCell ref="A11:E11"/>
    <mergeCell ref="J11:L11"/>
    <mergeCell ref="A12:E12"/>
    <mergeCell ref="J12:L12"/>
    <mergeCell ref="A5:L7"/>
    <mergeCell ref="A8:E8"/>
    <mergeCell ref="J8:L8"/>
    <mergeCell ref="A9:E9"/>
    <mergeCell ref="J9:L9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E037-D31C-4F4A-A54B-A2E55302AF34}">
  <sheetPr>
    <tabColor rgb="FF00FF00"/>
  </sheetPr>
  <dimension ref="A1:L36"/>
  <sheetViews>
    <sheetView topLeftCell="A11" zoomScale="106" zoomScaleNormal="106" zoomScaleSheetLayoutView="90" zoomScalePageLayoutView="90" workbookViewId="0">
      <selection activeCell="J21" sqref="J21:L21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20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48" customHeight="1">
      <c r="A9" s="110" t="s">
        <v>246</v>
      </c>
      <c r="B9" s="110"/>
      <c r="C9" s="110"/>
      <c r="D9" s="110"/>
      <c r="E9" s="110"/>
      <c r="F9" s="6"/>
      <c r="G9" s="36"/>
      <c r="H9" s="73">
        <v>0.2</v>
      </c>
      <c r="I9" s="73">
        <f>IF(F9&gt;0,H9,0%)</f>
        <v>0</v>
      </c>
      <c r="J9" s="119"/>
      <c r="K9" s="119"/>
      <c r="L9" s="119"/>
    </row>
    <row r="10" spans="1:12" ht="42.75" customHeight="1">
      <c r="A10" s="110" t="s">
        <v>247</v>
      </c>
      <c r="B10" s="110"/>
      <c r="C10" s="110"/>
      <c r="D10" s="110"/>
      <c r="E10" s="110"/>
      <c r="F10" s="6"/>
      <c r="G10" s="36"/>
      <c r="H10" s="73">
        <v>0.2</v>
      </c>
      <c r="I10" s="73">
        <f>IF(F10&gt;0,H10,0%)</f>
        <v>0</v>
      </c>
      <c r="J10" s="119"/>
      <c r="K10" s="119"/>
      <c r="L10" s="119"/>
    </row>
    <row r="11" spans="1:12" ht="50.25" customHeight="1">
      <c r="A11" s="110" t="s">
        <v>248</v>
      </c>
      <c r="B11" s="110"/>
      <c r="C11" s="110"/>
      <c r="D11" s="110"/>
      <c r="E11" s="110"/>
      <c r="F11" s="6"/>
      <c r="G11" s="36"/>
      <c r="H11" s="73">
        <v>0.2</v>
      </c>
      <c r="I11" s="73">
        <f>IF(F11&gt;0,H11,0%)</f>
        <v>0</v>
      </c>
      <c r="J11" s="119"/>
      <c r="K11" s="119"/>
      <c r="L11" s="119"/>
    </row>
    <row r="12" spans="1:12" ht="52.5" customHeight="1">
      <c r="A12" s="110" t="s">
        <v>249</v>
      </c>
      <c r="B12" s="110"/>
      <c r="C12" s="110"/>
      <c r="D12" s="110"/>
      <c r="E12" s="110"/>
      <c r="F12" s="6"/>
      <c r="G12" s="36"/>
      <c r="H12" s="73">
        <v>0.2</v>
      </c>
      <c r="I12" s="73">
        <f>IF(F12&gt;0,H12,0%)</f>
        <v>0</v>
      </c>
      <c r="J12" s="119"/>
      <c r="K12" s="119"/>
      <c r="L12" s="119"/>
    </row>
    <row r="13" spans="1:12" ht="42.75" customHeight="1">
      <c r="A13" s="110" t="s">
        <v>250</v>
      </c>
      <c r="B13" s="110"/>
      <c r="C13" s="110"/>
      <c r="D13" s="110"/>
      <c r="E13" s="110"/>
      <c r="F13" s="6"/>
      <c r="G13" s="36"/>
      <c r="H13" s="73">
        <v>0.2</v>
      </c>
      <c r="I13" s="73">
        <f>IF(F13&gt;0,H13,0%)</f>
        <v>0</v>
      </c>
      <c r="J13" s="119"/>
      <c r="K13" s="119"/>
      <c r="L13" s="119"/>
    </row>
    <row r="14" spans="1:12">
      <c r="A14" s="43"/>
      <c r="B14" s="43"/>
      <c r="C14" s="43"/>
      <c r="D14" s="43"/>
      <c r="E14" s="43"/>
      <c r="F14" s="43"/>
      <c r="G14" s="72" t="s">
        <v>33</v>
      </c>
      <c r="H14" s="70">
        <v>1</v>
      </c>
      <c r="I14" s="71">
        <f>SUM(I9:I13)</f>
        <v>0</v>
      </c>
      <c r="J14" s="116"/>
      <c r="K14" s="116"/>
      <c r="L14" s="116"/>
    </row>
    <row r="15" spans="1:12">
      <c r="A15" s="43"/>
      <c r="B15" s="43"/>
      <c r="C15" s="43"/>
      <c r="D15" s="43"/>
      <c r="E15" s="43"/>
      <c r="F15" s="43"/>
      <c r="H15" s="43"/>
      <c r="I15" s="51"/>
      <c r="J15" s="54"/>
      <c r="K15" s="54"/>
      <c r="L15" s="54"/>
    </row>
    <row r="16" spans="1:12">
      <c r="A16" s="121" t="s">
        <v>34</v>
      </c>
      <c r="B16" s="121"/>
      <c r="C16" s="121"/>
      <c r="D16" s="121"/>
      <c r="E16" s="121"/>
      <c r="F16" s="64" t="s">
        <v>24</v>
      </c>
      <c r="G16" s="64" t="s">
        <v>25</v>
      </c>
      <c r="H16" s="64" t="s">
        <v>26</v>
      </c>
      <c r="I16" s="64" t="s">
        <v>27</v>
      </c>
      <c r="J16" s="121" t="s">
        <v>28</v>
      </c>
      <c r="K16" s="121"/>
      <c r="L16" s="121"/>
    </row>
    <row r="17" spans="1:12" ht="66" customHeight="1">
      <c r="A17" s="110" t="s">
        <v>251</v>
      </c>
      <c r="B17" s="110"/>
      <c r="C17" s="110"/>
      <c r="D17" s="110"/>
      <c r="E17" s="110"/>
      <c r="F17" s="14"/>
      <c r="G17" s="49"/>
      <c r="H17" s="40">
        <v>0.2</v>
      </c>
      <c r="I17" s="40">
        <v>0</v>
      </c>
      <c r="J17" s="117"/>
      <c r="K17" s="117"/>
      <c r="L17" s="117"/>
    </row>
    <row r="18" spans="1:12" ht="66" customHeight="1">
      <c r="A18" s="110" t="s">
        <v>252</v>
      </c>
      <c r="B18" s="110"/>
      <c r="C18" s="110"/>
      <c r="D18" s="110"/>
      <c r="E18" s="110"/>
      <c r="F18" s="14"/>
      <c r="G18" s="49"/>
      <c r="H18" s="40">
        <v>0.2</v>
      </c>
      <c r="I18" s="40">
        <v>0</v>
      </c>
      <c r="J18" s="117"/>
      <c r="K18" s="117"/>
      <c r="L18" s="117"/>
    </row>
    <row r="19" spans="1:12" ht="66" customHeight="1">
      <c r="A19" s="110" t="s">
        <v>253</v>
      </c>
      <c r="B19" s="110"/>
      <c r="C19" s="110"/>
      <c r="D19" s="110"/>
      <c r="E19" s="110"/>
      <c r="F19" s="14"/>
      <c r="G19" s="49"/>
      <c r="H19" s="40">
        <v>0.2</v>
      </c>
      <c r="I19" s="40">
        <v>0</v>
      </c>
      <c r="J19" s="117"/>
      <c r="K19" s="117"/>
      <c r="L19" s="117"/>
    </row>
    <row r="20" spans="1:12" ht="66" customHeight="1">
      <c r="A20" s="110" t="s">
        <v>254</v>
      </c>
      <c r="B20" s="110"/>
      <c r="C20" s="110"/>
      <c r="D20" s="110"/>
      <c r="E20" s="110"/>
      <c r="F20" s="14"/>
      <c r="G20" s="49"/>
      <c r="H20" s="40">
        <v>0.2</v>
      </c>
      <c r="I20" s="40">
        <v>0</v>
      </c>
      <c r="J20" s="117"/>
      <c r="K20" s="117"/>
      <c r="L20" s="117"/>
    </row>
    <row r="21" spans="1:12" ht="63" customHeight="1">
      <c r="A21" s="110" t="s">
        <v>255</v>
      </c>
      <c r="B21" s="110"/>
      <c r="C21" s="110"/>
      <c r="D21" s="110"/>
      <c r="E21" s="110"/>
      <c r="F21" s="14"/>
      <c r="G21" s="49"/>
      <c r="H21" s="40">
        <v>0.2</v>
      </c>
      <c r="I21" s="40">
        <v>0</v>
      </c>
      <c r="J21" s="117"/>
      <c r="K21" s="117"/>
      <c r="L21" s="117"/>
    </row>
    <row r="22" spans="1:12">
      <c r="A22" s="43"/>
      <c r="B22" s="43"/>
      <c r="C22" s="43"/>
      <c r="D22" s="43"/>
      <c r="E22" s="43"/>
      <c r="F22" s="43"/>
      <c r="G22" s="69" t="s">
        <v>33</v>
      </c>
      <c r="H22" s="70">
        <v>1</v>
      </c>
      <c r="I22" s="71">
        <f>SUM(I17:I21)</f>
        <v>0</v>
      </c>
      <c r="J22" s="43"/>
      <c r="K22" s="116"/>
      <c r="L22" s="116"/>
    </row>
    <row r="23" spans="1:12" ht="15.75" thickBo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15.75" thickBot="1">
      <c r="A24" s="43"/>
      <c r="B24" s="43"/>
      <c r="C24" s="43"/>
      <c r="D24" s="43"/>
      <c r="E24" s="43"/>
      <c r="F24" s="113" t="s">
        <v>47</v>
      </c>
      <c r="G24" s="113"/>
      <c r="H24" s="113"/>
      <c r="I24" s="60">
        <f>AVERAGE(I14,I22)</f>
        <v>0</v>
      </c>
      <c r="J24" s="43"/>
      <c r="K24" s="43"/>
      <c r="L24" s="43"/>
    </row>
    <row r="25" spans="1:1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2" ht="20.100000000000001" customHeight="1">
      <c r="A26" s="107" t="s">
        <v>48</v>
      </c>
      <c r="B26" s="108"/>
      <c r="C26" s="108"/>
      <c r="D26" s="108"/>
      <c r="E26" s="55"/>
      <c r="F26" s="43"/>
      <c r="G26" s="43"/>
      <c r="H26" s="43"/>
      <c r="I26" s="43"/>
      <c r="J26" s="43"/>
      <c r="K26" s="43"/>
      <c r="L26" s="43"/>
    </row>
    <row r="27" spans="1:12" ht="20.100000000000001" customHeight="1" thickBot="1">
      <c r="A27" s="57">
        <v>1</v>
      </c>
      <c r="B27" s="106" t="s">
        <v>49</v>
      </c>
      <c r="C27" s="106"/>
      <c r="D27" s="58"/>
      <c r="E27" s="56"/>
      <c r="F27" s="43"/>
      <c r="G27" s="105" t="s">
        <v>50</v>
      </c>
      <c r="H27" s="105"/>
      <c r="I27" s="105"/>
      <c r="J27" s="105"/>
      <c r="K27" s="53"/>
      <c r="L27" s="53"/>
    </row>
    <row r="28" spans="1:12" ht="20.100000000000001" customHeight="1">
      <c r="A28" s="57">
        <v>2</v>
      </c>
      <c r="B28" s="106" t="s">
        <v>51</v>
      </c>
      <c r="C28" s="106"/>
      <c r="D28" s="57"/>
      <c r="E28" s="56"/>
      <c r="F28" s="43"/>
      <c r="G28" s="62"/>
      <c r="H28" s="62"/>
      <c r="I28" s="62"/>
      <c r="J28" s="62"/>
      <c r="K28" s="43"/>
      <c r="L28" s="43"/>
    </row>
    <row r="29" spans="1:12" ht="20.100000000000001" customHeight="1" thickBot="1">
      <c r="A29" s="57">
        <v>3</v>
      </c>
      <c r="B29" s="106" t="s">
        <v>52</v>
      </c>
      <c r="C29" s="106"/>
      <c r="D29" s="57"/>
      <c r="E29" s="56"/>
      <c r="F29" s="43"/>
      <c r="G29" s="104" t="s">
        <v>53</v>
      </c>
      <c r="H29" s="104"/>
      <c r="I29" s="104"/>
      <c r="J29" s="104"/>
      <c r="K29" s="52"/>
      <c r="L29" s="53"/>
    </row>
    <row r="30" spans="1:12" ht="20.100000000000001" customHeight="1">
      <c r="A30" s="57">
        <v>4</v>
      </c>
      <c r="B30" s="106" t="s">
        <v>54</v>
      </c>
      <c r="C30" s="106"/>
      <c r="D30" s="57"/>
      <c r="E30" s="56"/>
      <c r="F30" s="43"/>
      <c r="G30" s="62"/>
      <c r="H30" s="62"/>
      <c r="I30" s="62"/>
      <c r="J30" s="62"/>
      <c r="K30" s="43"/>
      <c r="L30" s="43"/>
    </row>
    <row r="31" spans="1:12" ht="20.100000000000001" customHeight="1" thickBot="1">
      <c r="A31" s="57">
        <v>5</v>
      </c>
      <c r="B31" s="106" t="s">
        <v>55</v>
      </c>
      <c r="C31" s="106"/>
      <c r="D31" s="57"/>
      <c r="E31" s="43"/>
      <c r="F31" s="43"/>
      <c r="G31" s="104" t="s">
        <v>56</v>
      </c>
      <c r="H31" s="104"/>
      <c r="I31" s="104"/>
      <c r="J31" s="104"/>
      <c r="K31" s="53"/>
      <c r="L31" s="53"/>
    </row>
    <row r="32" spans="1:12" ht="20.100000000000001" customHeight="1">
      <c r="A32" s="59">
        <v>6</v>
      </c>
      <c r="B32" s="106" t="s">
        <v>57</v>
      </c>
      <c r="C32" s="106"/>
      <c r="D32" s="57"/>
      <c r="E32" s="43"/>
      <c r="F32" s="43"/>
      <c r="G32" s="61" t="s">
        <v>36</v>
      </c>
      <c r="H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61"/>
      <c r="H33" s="61"/>
      <c r="I33" s="61"/>
      <c r="J33" s="61"/>
      <c r="K33" s="61"/>
      <c r="L33" s="61"/>
    </row>
    <row r="34" spans="1:12">
      <c r="A34" s="43"/>
      <c r="B34" s="43"/>
      <c r="C34" s="43"/>
      <c r="D34" s="43"/>
      <c r="E34" s="43"/>
      <c r="F34" s="43"/>
      <c r="G34" s="61"/>
      <c r="H34" s="61"/>
      <c r="I34" s="61"/>
      <c r="J34" s="61"/>
      <c r="K34" s="61"/>
      <c r="L34" s="61"/>
    </row>
    <row r="35" spans="1:12">
      <c r="A35" s="43"/>
      <c r="B35" s="43"/>
      <c r="C35" s="43"/>
      <c r="D35" s="43"/>
      <c r="E35" s="43"/>
      <c r="F35" s="43"/>
      <c r="G35" s="61"/>
      <c r="H35" s="61"/>
      <c r="I35" s="61"/>
      <c r="J35" s="61"/>
      <c r="K35" s="61"/>
      <c r="L35" s="61"/>
    </row>
    <row r="36" spans="1:1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</sheetData>
  <mergeCells count="38">
    <mergeCell ref="B32:C32"/>
    <mergeCell ref="A20:E20"/>
    <mergeCell ref="J18:L18"/>
    <mergeCell ref="A19:E19"/>
    <mergeCell ref="J19:L19"/>
    <mergeCell ref="A18:E18"/>
    <mergeCell ref="B28:C28"/>
    <mergeCell ref="B29:C29"/>
    <mergeCell ref="G29:J29"/>
    <mergeCell ref="B30:C30"/>
    <mergeCell ref="A17:E17"/>
    <mergeCell ref="J17:L17"/>
    <mergeCell ref="J20:L20"/>
    <mergeCell ref="B31:C31"/>
    <mergeCell ref="G31:J31"/>
    <mergeCell ref="A21:E21"/>
    <mergeCell ref="J21:L21"/>
    <mergeCell ref="K22:L22"/>
    <mergeCell ref="F24:H24"/>
    <mergeCell ref="A26:D26"/>
    <mergeCell ref="B27:C27"/>
    <mergeCell ref="G27:J27"/>
    <mergeCell ref="A13:E13"/>
    <mergeCell ref="J13:L13"/>
    <mergeCell ref="J14:L14"/>
    <mergeCell ref="A16:E16"/>
    <mergeCell ref="J16:L16"/>
    <mergeCell ref="A10:E10"/>
    <mergeCell ref="J10:L10"/>
    <mergeCell ref="A11:E11"/>
    <mergeCell ref="J11:L11"/>
    <mergeCell ref="A12:E12"/>
    <mergeCell ref="J12:L12"/>
    <mergeCell ref="A5:L7"/>
    <mergeCell ref="A8:E8"/>
    <mergeCell ref="J8:L8"/>
    <mergeCell ref="A9:E9"/>
    <mergeCell ref="J9:L9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32F5-2764-4A20-86CB-ABBD1D4EC0BD}">
  <sheetPr>
    <tabColor rgb="FF00FF00"/>
  </sheetPr>
  <dimension ref="A1:L36"/>
  <sheetViews>
    <sheetView zoomScale="106" zoomScaleNormal="106" zoomScaleSheetLayoutView="90" zoomScalePageLayoutView="90" workbookViewId="0">
      <selection activeCell="J11" sqref="J11:L11"/>
    </sheetView>
  </sheetViews>
  <sheetFormatPr baseColWidth="10" defaultColWidth="9.140625" defaultRowHeight="15"/>
  <cols>
    <col min="1" max="5" width="10.7109375" customWidth="1"/>
    <col min="6" max="6" width="9.85546875" customWidth="1"/>
    <col min="7" max="9" width="11.42578125" customWidth="1"/>
    <col min="10" max="10" width="6.5703125" customWidth="1"/>
    <col min="11" max="11" width="20.7109375" customWidth="1"/>
    <col min="12" max="12" width="18.5703125" customWidth="1"/>
    <col min="13" max="256" width="11.42578125" customWidth="1"/>
  </cols>
  <sheetData>
    <row r="1" spans="1:1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ht="26.25">
      <c r="A4" s="67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11.25" customHeight="1">
      <c r="A5" s="109" t="s">
        <v>256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1.25" customHeight="1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</row>
    <row r="7" spans="1:12" ht="11.25" customHeight="1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</row>
    <row r="8" spans="1:12">
      <c r="A8" s="121" t="s">
        <v>23</v>
      </c>
      <c r="B8" s="121"/>
      <c r="C8" s="121"/>
      <c r="D8" s="121"/>
      <c r="E8" s="121"/>
      <c r="F8" s="63" t="s">
        <v>24</v>
      </c>
      <c r="G8" s="63" t="s">
        <v>25</v>
      </c>
      <c r="H8" s="63" t="s">
        <v>26</v>
      </c>
      <c r="I8" s="63" t="s">
        <v>27</v>
      </c>
      <c r="J8" s="121" t="s">
        <v>28</v>
      </c>
      <c r="K8" s="121"/>
      <c r="L8" s="121"/>
    </row>
    <row r="9" spans="1:12" ht="48" customHeight="1">
      <c r="A9" s="110" t="s">
        <v>257</v>
      </c>
      <c r="B9" s="110"/>
      <c r="C9" s="110"/>
      <c r="D9" s="110"/>
      <c r="E9" s="110"/>
      <c r="F9" s="6"/>
      <c r="G9" s="36"/>
      <c r="H9" s="73">
        <v>0.33329999999999999</v>
      </c>
      <c r="I9" s="73">
        <f>IF(F9&gt;0,H9,0%)</f>
        <v>0</v>
      </c>
      <c r="J9" s="119"/>
      <c r="K9" s="119"/>
      <c r="L9" s="119"/>
    </row>
    <row r="10" spans="1:12" ht="42.75" customHeight="1">
      <c r="A10" s="110" t="s">
        <v>258</v>
      </c>
      <c r="B10" s="110"/>
      <c r="C10" s="110"/>
      <c r="D10" s="110"/>
      <c r="E10" s="110"/>
      <c r="F10" s="6"/>
      <c r="G10" s="36"/>
      <c r="H10" s="73">
        <v>0.33329999999999999</v>
      </c>
      <c r="I10" s="73">
        <f>IF(F10&gt;0,H10,0%)</f>
        <v>0</v>
      </c>
      <c r="J10" s="119"/>
      <c r="K10" s="119"/>
      <c r="L10" s="119"/>
    </row>
    <row r="11" spans="1:12" ht="50.25" customHeight="1">
      <c r="A11" s="110" t="s">
        <v>259</v>
      </c>
      <c r="B11" s="110"/>
      <c r="C11" s="110"/>
      <c r="D11" s="110"/>
      <c r="E11" s="110"/>
      <c r="F11" s="6"/>
      <c r="G11" s="36"/>
      <c r="H11" s="73">
        <v>0.33329999999999999</v>
      </c>
      <c r="I11" s="73">
        <f>IF(F11&gt;0,H11,0%)</f>
        <v>0</v>
      </c>
      <c r="J11" s="119"/>
      <c r="K11" s="119"/>
      <c r="L11" s="119"/>
    </row>
    <row r="12" spans="1:12">
      <c r="A12" s="43"/>
      <c r="B12" s="43"/>
      <c r="C12" s="43"/>
      <c r="D12" s="43"/>
      <c r="E12" s="43"/>
      <c r="F12" s="43"/>
      <c r="G12" s="72" t="s">
        <v>33</v>
      </c>
      <c r="H12" s="70">
        <v>1</v>
      </c>
      <c r="I12" s="71">
        <f>SUM(I9:I11)</f>
        <v>0</v>
      </c>
      <c r="J12" s="116"/>
      <c r="K12" s="116"/>
      <c r="L12" s="116"/>
    </row>
    <row r="13" spans="1:12">
      <c r="A13" s="43"/>
      <c r="B13" s="43"/>
      <c r="C13" s="43"/>
      <c r="D13" s="43"/>
      <c r="E13" s="43"/>
      <c r="F13" s="43"/>
      <c r="H13" s="43"/>
      <c r="I13" s="51"/>
      <c r="J13" s="54"/>
      <c r="K13" s="54"/>
      <c r="L13" s="54"/>
    </row>
    <row r="14" spans="1:12">
      <c r="A14" s="121" t="s">
        <v>34</v>
      </c>
      <c r="B14" s="121"/>
      <c r="C14" s="121"/>
      <c r="D14" s="121"/>
      <c r="E14" s="121"/>
      <c r="F14" s="64" t="s">
        <v>24</v>
      </c>
      <c r="G14" s="64" t="s">
        <v>25</v>
      </c>
      <c r="H14" s="64" t="s">
        <v>26</v>
      </c>
      <c r="I14" s="64" t="s">
        <v>27</v>
      </c>
      <c r="J14" s="121" t="s">
        <v>28</v>
      </c>
      <c r="K14" s="121"/>
      <c r="L14" s="121"/>
    </row>
    <row r="15" spans="1:12" ht="66" customHeight="1">
      <c r="A15" s="110" t="s">
        <v>260</v>
      </c>
      <c r="B15" s="110"/>
      <c r="C15" s="110"/>
      <c r="D15" s="110"/>
      <c r="E15" s="110"/>
      <c r="F15" s="14"/>
      <c r="G15" s="49"/>
      <c r="H15" s="40">
        <v>0.1429</v>
      </c>
      <c r="I15" s="40">
        <v>0</v>
      </c>
      <c r="J15" s="117"/>
      <c r="K15" s="117"/>
      <c r="L15" s="117"/>
    </row>
    <row r="16" spans="1:12" ht="66" customHeight="1">
      <c r="A16" s="110" t="s">
        <v>261</v>
      </c>
      <c r="B16" s="110"/>
      <c r="C16" s="110"/>
      <c r="D16" s="110"/>
      <c r="E16" s="110"/>
      <c r="F16" s="14"/>
      <c r="G16" s="49"/>
      <c r="H16" s="40">
        <v>0.1429</v>
      </c>
      <c r="I16" s="40">
        <v>0</v>
      </c>
      <c r="J16" s="117"/>
      <c r="K16" s="117"/>
      <c r="L16" s="117"/>
    </row>
    <row r="17" spans="1:12" ht="66" customHeight="1">
      <c r="A17" s="110" t="s">
        <v>262</v>
      </c>
      <c r="B17" s="110"/>
      <c r="C17" s="110"/>
      <c r="D17" s="110"/>
      <c r="E17" s="110"/>
      <c r="F17" s="14"/>
      <c r="G17" s="49"/>
      <c r="H17" s="40">
        <v>0.1429</v>
      </c>
      <c r="I17" s="40">
        <v>0</v>
      </c>
      <c r="J17" s="117"/>
      <c r="K17" s="117"/>
      <c r="L17" s="117"/>
    </row>
    <row r="18" spans="1:12" ht="66" customHeight="1">
      <c r="A18" s="110" t="s">
        <v>263</v>
      </c>
      <c r="B18" s="110"/>
      <c r="C18" s="110"/>
      <c r="D18" s="110"/>
      <c r="E18" s="110"/>
      <c r="F18" s="14"/>
      <c r="G18" s="49"/>
      <c r="H18" s="40">
        <v>0.1429</v>
      </c>
      <c r="I18" s="40">
        <v>0</v>
      </c>
      <c r="J18" s="117"/>
      <c r="K18" s="117"/>
      <c r="L18" s="117"/>
    </row>
    <row r="19" spans="1:12" ht="66" customHeight="1">
      <c r="A19" s="110" t="s">
        <v>264</v>
      </c>
      <c r="B19" s="110"/>
      <c r="C19" s="110"/>
      <c r="D19" s="110"/>
      <c r="E19" s="110"/>
      <c r="F19" s="14"/>
      <c r="G19" s="49"/>
      <c r="H19" s="40">
        <v>0.1429</v>
      </c>
      <c r="I19" s="40">
        <v>0</v>
      </c>
      <c r="J19" s="117"/>
      <c r="K19" s="117"/>
      <c r="L19" s="117"/>
    </row>
    <row r="20" spans="1:12" ht="66" customHeight="1">
      <c r="A20" s="110" t="s">
        <v>265</v>
      </c>
      <c r="B20" s="110"/>
      <c r="C20" s="110"/>
      <c r="D20" s="110"/>
      <c r="E20" s="110"/>
      <c r="F20" s="14"/>
      <c r="G20" s="49"/>
      <c r="H20" s="40">
        <v>0.1429</v>
      </c>
      <c r="I20" s="40">
        <v>0</v>
      </c>
      <c r="J20" s="117"/>
      <c r="K20" s="117"/>
      <c r="L20" s="117"/>
    </row>
    <row r="21" spans="1:12" ht="63" customHeight="1">
      <c r="A21" s="110" t="s">
        <v>266</v>
      </c>
      <c r="B21" s="110"/>
      <c r="C21" s="110"/>
      <c r="D21" s="110"/>
      <c r="E21" s="110"/>
      <c r="F21" s="14"/>
      <c r="G21" s="49"/>
      <c r="H21" s="40">
        <v>0.1429</v>
      </c>
      <c r="I21" s="40">
        <v>0</v>
      </c>
      <c r="J21" s="117"/>
      <c r="K21" s="117"/>
      <c r="L21" s="117"/>
    </row>
    <row r="22" spans="1:12">
      <c r="A22" s="43"/>
      <c r="B22" s="43"/>
      <c r="C22" s="43"/>
      <c r="D22" s="43"/>
      <c r="E22" s="43"/>
      <c r="F22" s="43"/>
      <c r="G22" s="69" t="s">
        <v>33</v>
      </c>
      <c r="H22" s="70">
        <v>1</v>
      </c>
      <c r="I22" s="71">
        <f>SUM(I15:I21)</f>
        <v>0</v>
      </c>
      <c r="J22" s="43"/>
      <c r="K22" s="116"/>
      <c r="L22" s="116"/>
    </row>
    <row r="23" spans="1:12" ht="15.75" thickBo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1:12" ht="15.75" thickBot="1">
      <c r="A24" s="43"/>
      <c r="B24" s="43"/>
      <c r="C24" s="43"/>
      <c r="D24" s="43"/>
      <c r="E24" s="43"/>
      <c r="F24" s="113" t="s">
        <v>47</v>
      </c>
      <c r="G24" s="113"/>
      <c r="H24" s="113"/>
      <c r="I24" s="60">
        <f>AVERAGE(I12,I22)</f>
        <v>0</v>
      </c>
      <c r="J24" s="43"/>
      <c r="K24" s="43"/>
      <c r="L24" s="43"/>
    </row>
    <row r="25" spans="1:1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</row>
    <row r="26" spans="1:12" ht="20.100000000000001" customHeight="1">
      <c r="A26" s="107" t="s">
        <v>48</v>
      </c>
      <c r="B26" s="108"/>
      <c r="C26" s="108"/>
      <c r="D26" s="108"/>
      <c r="E26" s="55"/>
      <c r="F26" s="43"/>
      <c r="G26" s="43"/>
      <c r="H26" s="43"/>
      <c r="I26" s="43"/>
      <c r="J26" s="43"/>
      <c r="K26" s="43"/>
      <c r="L26" s="43"/>
    </row>
    <row r="27" spans="1:12" ht="20.100000000000001" customHeight="1" thickBot="1">
      <c r="A27" s="57">
        <v>1</v>
      </c>
      <c r="B27" s="106" t="s">
        <v>49</v>
      </c>
      <c r="C27" s="106"/>
      <c r="D27" s="58"/>
      <c r="E27" s="56"/>
      <c r="F27" s="43"/>
      <c r="G27" s="105" t="s">
        <v>50</v>
      </c>
      <c r="H27" s="105"/>
      <c r="I27" s="105"/>
      <c r="J27" s="105"/>
      <c r="K27" s="53"/>
      <c r="L27" s="53"/>
    </row>
    <row r="28" spans="1:12" ht="20.100000000000001" customHeight="1">
      <c r="A28" s="57">
        <v>2</v>
      </c>
      <c r="B28" s="106" t="s">
        <v>51</v>
      </c>
      <c r="C28" s="106"/>
      <c r="D28" s="57"/>
      <c r="E28" s="56"/>
      <c r="F28" s="43"/>
      <c r="G28" s="62"/>
      <c r="H28" s="62"/>
      <c r="I28" s="62"/>
      <c r="J28" s="62"/>
      <c r="K28" s="43"/>
      <c r="L28" s="43"/>
    </row>
    <row r="29" spans="1:12" ht="20.100000000000001" customHeight="1" thickBot="1">
      <c r="A29" s="57">
        <v>3</v>
      </c>
      <c r="B29" s="106" t="s">
        <v>52</v>
      </c>
      <c r="C29" s="106"/>
      <c r="D29" s="57"/>
      <c r="E29" s="56"/>
      <c r="F29" s="43"/>
      <c r="G29" s="104" t="s">
        <v>53</v>
      </c>
      <c r="H29" s="104"/>
      <c r="I29" s="104"/>
      <c r="J29" s="104"/>
      <c r="K29" s="52"/>
      <c r="L29" s="53"/>
    </row>
    <row r="30" spans="1:12" ht="20.100000000000001" customHeight="1">
      <c r="A30" s="57">
        <v>4</v>
      </c>
      <c r="B30" s="106" t="s">
        <v>54</v>
      </c>
      <c r="C30" s="106"/>
      <c r="D30" s="57"/>
      <c r="E30" s="56"/>
      <c r="F30" s="43"/>
      <c r="G30" s="62"/>
      <c r="H30" s="62"/>
      <c r="I30" s="62"/>
      <c r="J30" s="62"/>
      <c r="K30" s="43"/>
      <c r="L30" s="43"/>
    </row>
    <row r="31" spans="1:12" ht="20.100000000000001" customHeight="1" thickBot="1">
      <c r="A31" s="57">
        <v>5</v>
      </c>
      <c r="B31" s="106" t="s">
        <v>55</v>
      </c>
      <c r="C31" s="106"/>
      <c r="D31" s="57"/>
      <c r="E31" s="43"/>
      <c r="F31" s="43"/>
      <c r="G31" s="104" t="s">
        <v>56</v>
      </c>
      <c r="H31" s="104"/>
      <c r="I31" s="104"/>
      <c r="J31" s="104"/>
      <c r="K31" s="53"/>
      <c r="L31" s="53"/>
    </row>
    <row r="32" spans="1:12" ht="20.100000000000001" customHeight="1">
      <c r="A32" s="59">
        <v>6</v>
      </c>
      <c r="B32" s="106" t="s">
        <v>57</v>
      </c>
      <c r="C32" s="106"/>
      <c r="D32" s="57"/>
      <c r="E32" s="43"/>
      <c r="F32" s="43"/>
      <c r="G32" s="61" t="s">
        <v>36</v>
      </c>
      <c r="H32" s="61"/>
      <c r="J32" s="61"/>
      <c r="K32" s="61"/>
      <c r="L32" s="61"/>
    </row>
    <row r="33" spans="1:12">
      <c r="A33" s="43"/>
      <c r="B33" s="43"/>
      <c r="C33" s="43"/>
      <c r="D33" s="43"/>
      <c r="E33" s="43"/>
      <c r="F33" s="43"/>
      <c r="G33" s="61"/>
      <c r="H33" s="61"/>
      <c r="I33" s="61"/>
      <c r="J33" s="61"/>
      <c r="K33" s="61"/>
      <c r="L33" s="61"/>
    </row>
    <row r="34" spans="1:12">
      <c r="A34" s="43"/>
      <c r="B34" s="43"/>
      <c r="C34" s="43"/>
      <c r="D34" s="43"/>
      <c r="E34" s="43"/>
      <c r="F34" s="43"/>
      <c r="G34" s="61"/>
      <c r="H34" s="61"/>
      <c r="I34" s="61"/>
      <c r="J34" s="61"/>
      <c r="K34" s="61"/>
      <c r="L34" s="61"/>
    </row>
    <row r="35" spans="1:12">
      <c r="A35" s="43"/>
      <c r="B35" s="43"/>
      <c r="C35" s="43"/>
      <c r="D35" s="43"/>
      <c r="E35" s="43"/>
      <c r="F35" s="43"/>
      <c r="G35" s="61"/>
      <c r="H35" s="61"/>
      <c r="I35" s="61"/>
      <c r="J35" s="61"/>
      <c r="K35" s="61"/>
      <c r="L35" s="61"/>
    </row>
    <row r="36" spans="1:12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</row>
  </sheetData>
  <mergeCells count="38">
    <mergeCell ref="B32:C32"/>
    <mergeCell ref="B28:C28"/>
    <mergeCell ref="B29:C29"/>
    <mergeCell ref="G29:J29"/>
    <mergeCell ref="B30:C30"/>
    <mergeCell ref="B31:C31"/>
    <mergeCell ref="G31:J31"/>
    <mergeCell ref="K22:L22"/>
    <mergeCell ref="F24:H24"/>
    <mergeCell ref="A26:D26"/>
    <mergeCell ref="B27:C27"/>
    <mergeCell ref="G27:J27"/>
    <mergeCell ref="A21:E21"/>
    <mergeCell ref="J21:L21"/>
    <mergeCell ref="A19:E19"/>
    <mergeCell ref="J19:L19"/>
    <mergeCell ref="A20:E20"/>
    <mergeCell ref="J20:L20"/>
    <mergeCell ref="A16:E16"/>
    <mergeCell ref="J16:L16"/>
    <mergeCell ref="A17:E17"/>
    <mergeCell ref="J17:L17"/>
    <mergeCell ref="A18:E18"/>
    <mergeCell ref="J18:L18"/>
    <mergeCell ref="J12:L12"/>
    <mergeCell ref="A14:E14"/>
    <mergeCell ref="J14:L14"/>
    <mergeCell ref="A15:E15"/>
    <mergeCell ref="J15:L15"/>
    <mergeCell ref="A11:E11"/>
    <mergeCell ref="J11:L11"/>
    <mergeCell ref="A5:L7"/>
    <mergeCell ref="A8:E8"/>
    <mergeCell ref="J8:L8"/>
    <mergeCell ref="A9:E9"/>
    <mergeCell ref="J9:L9"/>
    <mergeCell ref="A10:E10"/>
    <mergeCell ref="J10:L10"/>
  </mergeCells>
  <printOptions horizontalCentered="1"/>
  <pageMargins left="0.47244094488188981" right="0.47244094488188981" top="0.3125" bottom="0.71875" header="0.31496062992125984" footer="0.31496062992125984"/>
  <pageSetup scale="89" orientation="landscape" r:id="rId1"/>
  <headerFooter>
    <oddFooter>&amp;R&amp;"Abadi Extra Light,Normal"ACF26 - Primera - 22/05/2024             Página &amp;P de 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C545-FEE3-4815-B1F0-660470D267D5}">
  <dimension ref="A1:L39"/>
  <sheetViews>
    <sheetView showGridLines="0" topLeftCell="A13" zoomScale="90" zoomScaleNormal="90" workbookViewId="0">
      <selection activeCell="E13" sqref="E13"/>
    </sheetView>
  </sheetViews>
  <sheetFormatPr baseColWidth="10" defaultColWidth="9.140625" defaultRowHeight="15"/>
  <cols>
    <col min="1" max="256" width="11.42578125" customWidth="1"/>
  </cols>
  <sheetData>
    <row r="1" spans="1:12">
      <c r="A1" s="224"/>
      <c r="B1" s="133"/>
      <c r="C1" s="134"/>
      <c r="D1" s="134"/>
      <c r="E1" s="134"/>
      <c r="F1" s="134"/>
      <c r="G1" s="134"/>
      <c r="H1" s="134"/>
      <c r="I1" s="134"/>
      <c r="J1" s="134"/>
      <c r="K1" s="135"/>
      <c r="L1" s="136"/>
    </row>
    <row r="2" spans="1:12">
      <c r="A2" s="225"/>
      <c r="B2" s="227" t="s">
        <v>267</v>
      </c>
      <c r="C2" s="228"/>
      <c r="D2" s="228"/>
      <c r="E2" s="228"/>
      <c r="F2" s="228"/>
      <c r="G2" s="228"/>
      <c r="H2" s="228"/>
      <c r="I2" s="228"/>
      <c r="J2" s="228"/>
      <c r="K2" s="229"/>
      <c r="L2" s="137"/>
    </row>
    <row r="3" spans="1:12">
      <c r="A3" s="225"/>
      <c r="B3" s="230" t="s">
        <v>268</v>
      </c>
      <c r="C3" s="231"/>
      <c r="D3" s="231"/>
      <c r="E3" s="231"/>
      <c r="F3" s="231"/>
      <c r="G3" s="231"/>
      <c r="H3" s="231"/>
      <c r="I3" s="231"/>
      <c r="J3" s="231"/>
      <c r="K3" s="232"/>
      <c r="L3" s="137"/>
    </row>
    <row r="4" spans="1:12">
      <c r="A4" s="226"/>
      <c r="B4" s="233" t="s">
        <v>269</v>
      </c>
      <c r="C4" s="234"/>
      <c r="D4" s="234"/>
      <c r="E4" s="234"/>
      <c r="F4" s="234"/>
      <c r="G4" s="234"/>
      <c r="H4" s="234"/>
      <c r="I4" s="234"/>
      <c r="J4" s="234"/>
      <c r="K4" s="235"/>
      <c r="L4" s="138"/>
    </row>
    <row r="5" spans="1:12" ht="15.75" thickBot="1">
      <c r="E5" s="23"/>
      <c r="F5" s="23"/>
      <c r="G5" s="23"/>
      <c r="H5" s="23"/>
    </row>
    <row r="6" spans="1:12">
      <c r="A6" s="161" t="s">
        <v>84</v>
      </c>
      <c r="B6" s="162"/>
      <c r="C6" s="162"/>
      <c r="D6" s="162"/>
      <c r="E6" s="5" t="s">
        <v>24</v>
      </c>
      <c r="F6" s="5" t="s">
        <v>25</v>
      </c>
      <c r="G6" s="5" t="s">
        <v>26</v>
      </c>
      <c r="H6" s="5" t="s">
        <v>27</v>
      </c>
      <c r="I6" s="5" t="s">
        <v>270</v>
      </c>
      <c r="J6" s="162" t="s">
        <v>85</v>
      </c>
      <c r="K6" s="162"/>
      <c r="L6" s="163"/>
    </row>
    <row r="7" spans="1:12" ht="54.75" customHeight="1">
      <c r="A7" s="204" t="s">
        <v>271</v>
      </c>
      <c r="B7" s="205"/>
      <c r="C7" s="205"/>
      <c r="D7" s="206"/>
      <c r="E7" s="24"/>
      <c r="F7" s="24"/>
      <c r="G7" s="1">
        <v>0.04</v>
      </c>
      <c r="H7" s="4"/>
      <c r="I7" s="4"/>
      <c r="J7" s="212"/>
      <c r="K7" s="222"/>
      <c r="L7" s="223"/>
    </row>
    <row r="8" spans="1:12" ht="56.25" customHeight="1">
      <c r="A8" s="204" t="s">
        <v>272</v>
      </c>
      <c r="B8" s="205"/>
      <c r="C8" s="205"/>
      <c r="D8" s="206"/>
      <c r="E8" s="24"/>
      <c r="F8" s="24"/>
      <c r="G8" s="1">
        <v>0.04</v>
      </c>
      <c r="H8" s="4"/>
      <c r="I8" s="4"/>
      <c r="J8" s="189"/>
      <c r="K8" s="189"/>
      <c r="L8" s="190"/>
    </row>
    <row r="9" spans="1:12" ht="48" customHeight="1">
      <c r="A9" s="151" t="s">
        <v>273</v>
      </c>
      <c r="B9" s="152"/>
      <c r="C9" s="152"/>
      <c r="D9" s="152"/>
      <c r="E9" s="24"/>
      <c r="F9" s="24"/>
      <c r="G9" s="1">
        <v>0.04</v>
      </c>
      <c r="H9" s="4"/>
      <c r="I9" s="4"/>
      <c r="J9" s="212"/>
      <c r="K9" s="222"/>
      <c r="L9" s="223"/>
    </row>
    <row r="10" spans="1:12" ht="45.75" customHeight="1">
      <c r="A10" s="204" t="s">
        <v>274</v>
      </c>
      <c r="B10" s="205"/>
      <c r="C10" s="205"/>
      <c r="D10" s="206"/>
      <c r="E10" s="24"/>
      <c r="F10" s="24"/>
      <c r="G10" s="1">
        <v>0.04</v>
      </c>
      <c r="H10" s="4"/>
      <c r="I10" s="4"/>
      <c r="J10" s="212"/>
      <c r="K10" s="210"/>
      <c r="L10" s="211"/>
    </row>
    <row r="11" spans="1:12" ht="67.5" customHeight="1">
      <c r="A11" s="204" t="s">
        <v>275</v>
      </c>
      <c r="B11" s="205"/>
      <c r="C11" s="205"/>
      <c r="D11" s="206"/>
      <c r="E11" s="24"/>
      <c r="F11" s="24"/>
      <c r="G11" s="1">
        <v>0.04</v>
      </c>
      <c r="H11" s="4"/>
      <c r="I11" s="4"/>
      <c r="J11" s="212"/>
      <c r="K11" s="210"/>
      <c r="L11" s="211"/>
    </row>
    <row r="12" spans="1:12" ht="54" customHeight="1">
      <c r="A12" s="204" t="s">
        <v>276</v>
      </c>
      <c r="B12" s="205"/>
      <c r="C12" s="205"/>
      <c r="D12" s="206"/>
      <c r="E12" s="24"/>
      <c r="F12" s="24"/>
      <c r="G12" s="1">
        <v>0.04</v>
      </c>
      <c r="H12" s="4"/>
      <c r="I12" s="4"/>
      <c r="J12" s="212"/>
      <c r="K12" s="210"/>
      <c r="L12" s="211"/>
    </row>
    <row r="13" spans="1:12" ht="56.25" customHeight="1">
      <c r="A13" s="204" t="s">
        <v>277</v>
      </c>
      <c r="B13" s="205"/>
      <c r="C13" s="205"/>
      <c r="D13" s="206"/>
      <c r="E13" s="24"/>
      <c r="F13" s="24"/>
      <c r="G13" s="1">
        <v>0.04</v>
      </c>
      <c r="H13" s="4"/>
      <c r="I13" s="4"/>
      <c r="J13" s="212"/>
      <c r="K13" s="210"/>
      <c r="L13" s="211"/>
    </row>
    <row r="14" spans="1:12" ht="64.5" customHeight="1">
      <c r="A14" s="204" t="s">
        <v>278</v>
      </c>
      <c r="B14" s="205"/>
      <c r="C14" s="205"/>
      <c r="D14" s="206"/>
      <c r="E14" s="24"/>
      <c r="F14" s="24"/>
      <c r="G14" s="1">
        <v>0.04</v>
      </c>
      <c r="H14" s="4"/>
      <c r="I14" s="4"/>
      <c r="J14" s="212"/>
      <c r="K14" s="210"/>
      <c r="L14" s="211"/>
    </row>
    <row r="15" spans="1:12" ht="39.75" customHeight="1">
      <c r="A15" s="151" t="s">
        <v>279</v>
      </c>
      <c r="B15" s="152"/>
      <c r="C15" s="152"/>
      <c r="D15" s="152"/>
      <c r="E15" s="24"/>
      <c r="F15" s="24"/>
      <c r="G15" s="1">
        <v>0.04</v>
      </c>
      <c r="H15" s="4"/>
      <c r="I15" s="4"/>
      <c r="J15" s="189"/>
      <c r="K15" s="189"/>
      <c r="L15" s="190"/>
    </row>
    <row r="16" spans="1:12" ht="60" customHeight="1" thickBot="1">
      <c r="A16" s="196" t="s">
        <v>280</v>
      </c>
      <c r="B16" s="197"/>
      <c r="C16" s="197"/>
      <c r="D16" s="198"/>
      <c r="E16" s="25"/>
      <c r="F16" s="25"/>
      <c r="G16" s="18">
        <v>0.04</v>
      </c>
      <c r="H16" s="21"/>
      <c r="I16" s="21"/>
      <c r="J16" s="218"/>
      <c r="K16" s="219"/>
      <c r="L16" s="220"/>
    </row>
    <row r="17" spans="1:12" ht="15.75" thickBot="1">
      <c r="E17" s="23"/>
      <c r="F17" s="9" t="s">
        <v>33</v>
      </c>
      <c r="G17" s="2">
        <v>0.4</v>
      </c>
      <c r="H17" s="19"/>
      <c r="I17" s="19"/>
      <c r="J17" s="202"/>
      <c r="K17" s="202"/>
      <c r="L17" s="203"/>
    </row>
    <row r="18" spans="1:12" ht="15.75" thickBot="1">
      <c r="E18" s="23"/>
      <c r="F18" s="23"/>
      <c r="G18" s="23"/>
      <c r="H18" s="23"/>
      <c r="J18" s="29"/>
      <c r="K18" s="29"/>
      <c r="L18" s="29"/>
    </row>
    <row r="19" spans="1:12">
      <c r="A19" s="161"/>
      <c r="B19" s="162"/>
      <c r="C19" s="162"/>
      <c r="D19" s="162"/>
      <c r="E19" s="5" t="s">
        <v>24</v>
      </c>
      <c r="F19" s="5" t="s">
        <v>25</v>
      </c>
      <c r="G19" s="5" t="s">
        <v>26</v>
      </c>
      <c r="H19" s="5" t="s">
        <v>27</v>
      </c>
      <c r="I19" s="5" t="s">
        <v>270</v>
      </c>
      <c r="J19" s="162" t="s">
        <v>85</v>
      </c>
      <c r="K19" s="162"/>
      <c r="L19" s="163"/>
    </row>
    <row r="20" spans="1:12" ht="32.25" customHeight="1">
      <c r="A20" s="204" t="s">
        <v>281</v>
      </c>
      <c r="B20" s="205"/>
      <c r="C20" s="205"/>
      <c r="D20" s="206"/>
      <c r="E20" s="24"/>
      <c r="F20" s="24"/>
      <c r="G20" s="1">
        <v>0.06</v>
      </c>
      <c r="H20" s="1"/>
      <c r="I20" s="4"/>
      <c r="J20" s="212"/>
      <c r="K20" s="210"/>
      <c r="L20" s="211"/>
    </row>
    <row r="21" spans="1:12" ht="36.75" customHeight="1">
      <c r="A21" s="204" t="s">
        <v>282</v>
      </c>
      <c r="B21" s="205"/>
      <c r="C21" s="205"/>
      <c r="D21" s="206"/>
      <c r="E21" s="24"/>
      <c r="F21" s="24"/>
      <c r="G21" s="1">
        <v>0.06</v>
      </c>
      <c r="H21" s="1"/>
      <c r="I21" s="4"/>
      <c r="J21" s="221"/>
      <c r="K21" s="189"/>
      <c r="L21" s="190"/>
    </row>
    <row r="22" spans="1:12" ht="51" customHeight="1">
      <c r="A22" s="204" t="s">
        <v>283</v>
      </c>
      <c r="B22" s="205"/>
      <c r="C22" s="205"/>
      <c r="D22" s="206"/>
      <c r="E22" s="24"/>
      <c r="F22" s="24"/>
      <c r="G22" s="1">
        <v>0.06</v>
      </c>
      <c r="H22" s="1"/>
      <c r="I22" s="4"/>
      <c r="J22" s="213"/>
      <c r="K22" s="214"/>
      <c r="L22" s="214"/>
    </row>
    <row r="23" spans="1:12" ht="40.5" customHeight="1">
      <c r="A23" s="204" t="s">
        <v>284</v>
      </c>
      <c r="B23" s="207"/>
      <c r="C23" s="207"/>
      <c r="D23" s="208"/>
      <c r="E23" s="24"/>
      <c r="F23" s="24"/>
      <c r="G23" s="1">
        <v>0.06</v>
      </c>
      <c r="H23" s="1"/>
      <c r="I23" s="4"/>
      <c r="J23" s="215"/>
      <c r="K23" s="216"/>
      <c r="L23" s="217"/>
    </row>
    <row r="24" spans="1:12" ht="88.5" customHeight="1">
      <c r="A24" s="204" t="s">
        <v>285</v>
      </c>
      <c r="B24" s="207"/>
      <c r="C24" s="207"/>
      <c r="D24" s="208"/>
      <c r="E24" s="24"/>
      <c r="F24" s="24"/>
      <c r="G24" s="1">
        <v>0.06</v>
      </c>
      <c r="H24" s="1"/>
      <c r="I24" s="4"/>
      <c r="J24" s="212"/>
      <c r="K24" s="210"/>
      <c r="L24" s="211"/>
    </row>
    <row r="25" spans="1:12" ht="67.5" customHeight="1">
      <c r="A25" s="204" t="s">
        <v>286</v>
      </c>
      <c r="B25" s="207"/>
      <c r="C25" s="207"/>
      <c r="D25" s="208"/>
      <c r="E25" s="24"/>
      <c r="F25" s="24"/>
      <c r="G25" s="1">
        <v>0.06</v>
      </c>
      <c r="H25" s="1"/>
      <c r="I25" s="4"/>
      <c r="J25" s="209"/>
      <c r="K25" s="210"/>
      <c r="L25" s="211"/>
    </row>
    <row r="26" spans="1:12" ht="36.75" customHeight="1">
      <c r="A26" s="204" t="s">
        <v>287</v>
      </c>
      <c r="B26" s="207"/>
      <c r="C26" s="207"/>
      <c r="D26" s="208"/>
      <c r="E26" s="24"/>
      <c r="F26" s="24"/>
      <c r="G26" s="1">
        <v>0.06</v>
      </c>
      <c r="H26" s="1"/>
      <c r="I26" s="4"/>
      <c r="J26" s="212"/>
      <c r="K26" s="210"/>
      <c r="L26" s="211"/>
    </row>
    <row r="27" spans="1:12" ht="59.25" customHeight="1">
      <c r="A27" s="204" t="s">
        <v>288</v>
      </c>
      <c r="B27" s="205"/>
      <c r="C27" s="205"/>
      <c r="D27" s="206"/>
      <c r="E27" s="24"/>
      <c r="F27" s="24"/>
      <c r="G27" s="1">
        <v>0.06</v>
      </c>
      <c r="H27" s="1"/>
      <c r="I27" s="4"/>
      <c r="J27" s="191"/>
      <c r="K27" s="192"/>
      <c r="L27" s="193"/>
    </row>
    <row r="28" spans="1:12" ht="45.75" customHeight="1">
      <c r="A28" s="204" t="s">
        <v>289</v>
      </c>
      <c r="B28" s="205"/>
      <c r="C28" s="205"/>
      <c r="D28" s="206"/>
      <c r="E28" s="24"/>
      <c r="F28" s="24"/>
      <c r="G28" s="1">
        <v>0.06</v>
      </c>
      <c r="H28" s="1"/>
      <c r="I28" s="4"/>
      <c r="J28" s="189"/>
      <c r="K28" s="189"/>
      <c r="L28" s="190"/>
    </row>
    <row r="29" spans="1:12" ht="102.75" customHeight="1" thickBot="1">
      <c r="A29" s="196" t="s">
        <v>290</v>
      </c>
      <c r="B29" s="197"/>
      <c r="C29" s="197"/>
      <c r="D29" s="198"/>
      <c r="E29" s="25"/>
      <c r="F29" s="25"/>
      <c r="G29" s="1">
        <v>0.06</v>
      </c>
      <c r="H29" s="1"/>
      <c r="I29" s="21"/>
      <c r="J29" s="199"/>
      <c r="K29" s="200"/>
      <c r="L29" s="201"/>
    </row>
    <row r="30" spans="1:12" ht="15.75" thickBot="1">
      <c r="E30" s="23"/>
      <c r="F30" s="9" t="s">
        <v>33</v>
      </c>
      <c r="G30" s="10">
        <v>0.6</v>
      </c>
      <c r="H30" s="19"/>
      <c r="I30" s="19"/>
      <c r="J30" s="202"/>
      <c r="K30" s="202"/>
      <c r="L30" s="203"/>
    </row>
    <row r="31" spans="1:12" ht="15.75" thickBot="1">
      <c r="E31" s="23"/>
      <c r="F31" s="23"/>
      <c r="G31" s="23"/>
      <c r="H31" s="23"/>
    </row>
    <row r="32" spans="1:12" ht="15.75" thickBot="1">
      <c r="E32" s="23"/>
      <c r="F32" s="178" t="s">
        <v>107</v>
      </c>
      <c r="G32" s="179"/>
      <c r="H32" s="20">
        <f>H30+H17</f>
        <v>0</v>
      </c>
    </row>
    <row r="33" spans="1:12" ht="15.75" thickBot="1">
      <c r="E33" s="23"/>
      <c r="F33" s="23"/>
      <c r="G33" s="23"/>
      <c r="H33" s="23"/>
    </row>
    <row r="34" spans="1:12" ht="15.75" thickBot="1">
      <c r="E34" s="23"/>
      <c r="F34" s="178" t="s">
        <v>291</v>
      </c>
      <c r="G34" s="179"/>
      <c r="H34" s="28"/>
    </row>
    <row r="35" spans="1:12" ht="15.75" thickBot="1">
      <c r="A35" s="17" t="s">
        <v>108</v>
      </c>
      <c r="B35" s="26"/>
      <c r="C35" s="22"/>
      <c r="E35" s="23"/>
      <c r="F35" s="23"/>
      <c r="G35" s="23"/>
      <c r="H35" s="23"/>
    </row>
    <row r="36" spans="1:12">
      <c r="A36" s="27"/>
      <c r="B36" s="27"/>
      <c r="E36" s="23"/>
      <c r="F36" s="23"/>
      <c r="G36" s="23"/>
      <c r="H36" s="23"/>
    </row>
    <row r="37" spans="1:12" ht="15.75" thickBot="1">
      <c r="A37" s="194" t="s">
        <v>292</v>
      </c>
      <c r="B37" s="194"/>
      <c r="C37" s="195"/>
      <c r="D37" s="195"/>
      <c r="E37" s="23"/>
      <c r="F37" s="23"/>
      <c r="G37" s="23"/>
      <c r="H37" s="185"/>
      <c r="I37" s="185"/>
      <c r="J37" s="185"/>
      <c r="K37" s="185"/>
      <c r="L37" s="185"/>
    </row>
    <row r="38" spans="1:12">
      <c r="A38" s="27"/>
      <c r="B38" s="27"/>
      <c r="E38" s="23"/>
      <c r="F38" s="23"/>
      <c r="G38" s="23"/>
      <c r="H38" s="23"/>
    </row>
    <row r="39" spans="1:12" ht="15.75" thickBot="1">
      <c r="A39" s="194" t="s">
        <v>293</v>
      </c>
      <c r="B39" s="194"/>
      <c r="C39" s="195"/>
      <c r="D39" s="195"/>
      <c r="E39" s="23"/>
      <c r="F39" s="23"/>
      <c r="G39" s="23"/>
      <c r="H39" s="185"/>
      <c r="I39" s="185"/>
      <c r="J39" s="185"/>
      <c r="K39" s="185"/>
      <c r="L39" s="185"/>
    </row>
  </sheetData>
  <mergeCells count="62">
    <mergeCell ref="A1:A4"/>
    <mergeCell ref="B1:K1"/>
    <mergeCell ref="L1:L4"/>
    <mergeCell ref="B2:K2"/>
    <mergeCell ref="B3:K3"/>
    <mergeCell ref="B4:K4"/>
    <mergeCell ref="A6:D6"/>
    <mergeCell ref="J6:L6"/>
    <mergeCell ref="A7:D7"/>
    <mergeCell ref="J7:L7"/>
    <mergeCell ref="A8:D8"/>
    <mergeCell ref="J8:L8"/>
    <mergeCell ref="A9:D9"/>
    <mergeCell ref="J9:L9"/>
    <mergeCell ref="A10:D10"/>
    <mergeCell ref="J10:L10"/>
    <mergeCell ref="A11:D11"/>
    <mergeCell ref="J11:L11"/>
    <mergeCell ref="A12:D12"/>
    <mergeCell ref="J12:L12"/>
    <mergeCell ref="A13:D13"/>
    <mergeCell ref="J13:L13"/>
    <mergeCell ref="A14:D14"/>
    <mergeCell ref="J14:L14"/>
    <mergeCell ref="J15:L15"/>
    <mergeCell ref="A16:D16"/>
    <mergeCell ref="J16:L16"/>
    <mergeCell ref="J17:L17"/>
    <mergeCell ref="A24:D24"/>
    <mergeCell ref="J24:L24"/>
    <mergeCell ref="J21:L21"/>
    <mergeCell ref="A20:D20"/>
    <mergeCell ref="A19:D19"/>
    <mergeCell ref="J19:L19"/>
    <mergeCell ref="A15:D15"/>
    <mergeCell ref="J20:L20"/>
    <mergeCell ref="A22:D22"/>
    <mergeCell ref="J22:L22"/>
    <mergeCell ref="A23:D23"/>
    <mergeCell ref="J23:L23"/>
    <mergeCell ref="A21:D21"/>
    <mergeCell ref="A28:D28"/>
    <mergeCell ref="A25:D25"/>
    <mergeCell ref="J25:L25"/>
    <mergeCell ref="A26:D26"/>
    <mergeCell ref="J26:L26"/>
    <mergeCell ref="J28:L28"/>
    <mergeCell ref="J27:L27"/>
    <mergeCell ref="A39:B39"/>
    <mergeCell ref="C39:D39"/>
    <mergeCell ref="H39:J39"/>
    <mergeCell ref="K39:L39"/>
    <mergeCell ref="A29:D29"/>
    <mergeCell ref="J29:L29"/>
    <mergeCell ref="J30:L30"/>
    <mergeCell ref="F32:G32"/>
    <mergeCell ref="F34:G34"/>
    <mergeCell ref="A27:D27"/>
    <mergeCell ref="A37:B37"/>
    <mergeCell ref="C37:D37"/>
    <mergeCell ref="H37:J37"/>
    <mergeCell ref="K37:L3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211D62-562E-4E3F-846F-476ABCBEE6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62DD44-3D8A-4058-9CE2-0A4B507C7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22</vt:i4>
      </vt:variant>
    </vt:vector>
  </HeadingPairs>
  <TitlesOfParts>
    <vt:vector size="45" baseType="lpstr">
      <vt:lpstr>Resultados</vt:lpstr>
      <vt:lpstr>Global</vt:lpstr>
      <vt:lpstr>Documentación</vt:lpstr>
      <vt:lpstr>Piso</vt:lpstr>
      <vt:lpstr>Doc+Piso</vt:lpstr>
      <vt:lpstr>1.BPM´s </vt:lpstr>
      <vt:lpstr>2.Limpieza</vt:lpstr>
      <vt:lpstr>3. Químicos</vt:lpstr>
      <vt:lpstr>1.BPM´s (almacenes)</vt:lpstr>
      <vt:lpstr>1.BPM´s (producción)</vt:lpstr>
      <vt:lpstr>4.Plagas</vt:lpstr>
      <vt:lpstr>5.Microbiología</vt:lpstr>
      <vt:lpstr>6.MTTO</vt:lpstr>
      <vt:lpstr>7.Vidrio y plástico</vt:lpstr>
      <vt:lpstr>8. Materia extraña</vt:lpstr>
      <vt:lpstr>9.Alérgenos</vt:lpstr>
      <vt:lpstr>10. Recuperación y trazabilidad</vt:lpstr>
      <vt:lpstr>11.Calibración</vt:lpstr>
      <vt:lpstr>12. Almacenamiento.</vt:lpstr>
      <vt:lpstr>13. Compras</vt:lpstr>
      <vt:lpstr>14. Defensa</vt:lpstr>
      <vt:lpstr>15. Residuos</vt:lpstr>
      <vt:lpstr>HACCP</vt:lpstr>
      <vt:lpstr>'1.BPM´s '!Área_de_impresión</vt:lpstr>
      <vt:lpstr>'1.BPM´s (almacenes)'!Área_de_impresión</vt:lpstr>
      <vt:lpstr>'1.BPM´s (producción)'!Área_de_impresión</vt:lpstr>
      <vt:lpstr>'10. Recuperación y trazabilidad'!Área_de_impresión</vt:lpstr>
      <vt:lpstr>'11.Calibración'!Área_de_impresión</vt:lpstr>
      <vt:lpstr>'12. Almacenamiento.'!Área_de_impresión</vt:lpstr>
      <vt:lpstr>'13. Compras'!Área_de_impresión</vt:lpstr>
      <vt:lpstr>'14. Defensa'!Área_de_impresión</vt:lpstr>
      <vt:lpstr>'15. Residuos'!Área_de_impresión</vt:lpstr>
      <vt:lpstr>'2.Limpieza'!Área_de_impresión</vt:lpstr>
      <vt:lpstr>'3. Químicos'!Área_de_impresión</vt:lpstr>
      <vt:lpstr>'4.Plagas'!Área_de_impresión</vt:lpstr>
      <vt:lpstr>'5.Microbiología'!Área_de_impresión</vt:lpstr>
      <vt:lpstr>'6.MTTO'!Área_de_impresión</vt:lpstr>
      <vt:lpstr>'7.Vidrio y plástico'!Área_de_impresión</vt:lpstr>
      <vt:lpstr>'8. Materia extraña'!Área_de_impresión</vt:lpstr>
      <vt:lpstr>'9.Alérgenos'!Área_de_impresión</vt:lpstr>
      <vt:lpstr>'Doc+Piso'!Área_de_impresión</vt:lpstr>
      <vt:lpstr>Documentación!Área_de_impresión</vt:lpstr>
      <vt:lpstr>Global!Área_de_impresión</vt:lpstr>
      <vt:lpstr>Piso!Área_de_impresión</vt:lpstr>
      <vt:lpstr>Resultados!Área_de_impresión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ESPE</dc:creator>
  <cp:keywords/>
  <dc:description/>
  <cp:lastModifiedBy>Alfonso Hernandez</cp:lastModifiedBy>
  <cp:revision/>
  <cp:lastPrinted>2025-09-30T16:57:10Z</cp:lastPrinted>
  <dcterms:created xsi:type="dcterms:W3CDTF">2010-05-31T17:29:38Z</dcterms:created>
  <dcterms:modified xsi:type="dcterms:W3CDTF">2025-09-30T16:57:12Z</dcterms:modified>
  <cp:category/>
  <cp:contentStatus/>
</cp:coreProperties>
</file>