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biotecsamexico.sharepoint.com/sites/SistemadeGestindeCalidadeInocuidad9/Documentos compartidos/General/SGIA 22000_2024/Aseguramiento de calidad/Formatos/"/>
    </mc:Choice>
  </mc:AlternateContent>
  <xr:revisionPtr revIDLastSave="92" documentId="8_{B176E04C-C568-4E39-A5A0-CEDF1CDF3732}" xr6:coauthVersionLast="47" xr6:coauthVersionMax="47" xr10:uidLastSave="{4A4C73A7-9595-4A4F-9E7F-9E7BF5549A49}"/>
  <bookViews>
    <workbookView xWindow="-120" yWindow="-120" windowWidth="29040" windowHeight="15840" xr2:uid="{00000000-000D-0000-FFFF-FFFF00000000}"/>
  </bookViews>
  <sheets>
    <sheet name="REGISTRO" sheetId="1" r:id="rId1"/>
    <sheet name="BASE DE DATOS" sheetId="2" r:id="rId2"/>
    <sheet name="Gráficos incidencias" sheetId="5" r:id="rId3"/>
    <sheet name="Status General de No conforme" sheetId="7" r:id="rId4"/>
    <sheet name="LISTADO" sheetId="3" r:id="rId5"/>
  </sheets>
  <definedNames>
    <definedName name="_xlnm._FilterDatabase" localSheetId="1" hidden="1">'BASE DE DATOS'!$A$2:$V$8</definedName>
    <definedName name="_xlnm.Print_Area" localSheetId="1">'BASE DE DATOS'!$A$1:$V$9</definedName>
  </definedNames>
  <calcPr calcId="191028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<sst xmlns="http://schemas.openxmlformats.org/spreadsheetml/2006/main" count="169" uniqueCount="98">
  <si>
    <t xml:space="preserve">REGISTRO </t>
  </si>
  <si>
    <t xml:space="preserve">FECHA </t>
  </si>
  <si>
    <t>FOLIO</t>
  </si>
  <si>
    <t>NOMBRE DEL PROVEEDOR / CLIENTE/ INTERNO</t>
  </si>
  <si>
    <t>ORIGEN DE PNC</t>
  </si>
  <si>
    <t>Proveedor</t>
  </si>
  <si>
    <t xml:space="preserve">PRODUCTO NO CONFORME </t>
  </si>
  <si>
    <t>STATUS INICIAL</t>
  </si>
  <si>
    <t xml:space="preserve">Rechazado </t>
  </si>
  <si>
    <t>MOTIVO</t>
  </si>
  <si>
    <t>Parámetros fuera de especificación</t>
  </si>
  <si>
    <t>DOCUMENTOS DE REFERENCIA</t>
  </si>
  <si>
    <t>DESCRIPCIÓN DEL PNC/PNI</t>
  </si>
  <si>
    <t>LOTE</t>
  </si>
  <si>
    <t>CANTIDAD</t>
  </si>
  <si>
    <t>DIVISIÓN</t>
  </si>
  <si>
    <t>Textil</t>
  </si>
  <si>
    <t>MATERIAL</t>
  </si>
  <si>
    <t>PROCESO DONDE IDENTIFICA PNC/PNI</t>
  </si>
  <si>
    <t>Recepción</t>
  </si>
  <si>
    <t>CLASIFICACIÓN DE NO CONFORME</t>
  </si>
  <si>
    <t>PNC</t>
  </si>
  <si>
    <t>FECHA IDENTIFICACIÓN</t>
  </si>
  <si>
    <t>MES</t>
  </si>
  <si>
    <t>PRODUCTO NO CONFORME</t>
  </si>
  <si>
    <t>DESCRIPCIÓN DE PNC/PNI</t>
  </si>
  <si>
    <t>CANTIDAD (KG)</t>
  </si>
  <si>
    <t xml:space="preserve">DIVISIÓN </t>
  </si>
  <si>
    <t>PROCESO DONDE SE IDENTIFICA EL PNC/PNI</t>
  </si>
  <si>
    <t>CLASIFICACIÓN DEL PNC</t>
  </si>
  <si>
    <t>Origen del PNC/PNI</t>
  </si>
  <si>
    <t>RIESGO IDENTIFICADO</t>
  </si>
  <si>
    <t>CONTENCIÓN/ ACCIÓN CORRECTIVA</t>
  </si>
  <si>
    <t>COMENTARIOS DEL CAMBIO DE STATUS</t>
  </si>
  <si>
    <t xml:space="preserve">DISPOSICIÓN FINAL </t>
  </si>
  <si>
    <t>FECHA DE DISPOSICIÓN FINAL</t>
  </si>
  <si>
    <t>DÍAS DE SEGUIMIENTO</t>
  </si>
  <si>
    <t>Interno</t>
  </si>
  <si>
    <t>Producto con empaque primario roto o dañado</t>
  </si>
  <si>
    <t>Alimentos</t>
  </si>
  <si>
    <t>Almacén</t>
  </si>
  <si>
    <t>PNI</t>
  </si>
  <si>
    <t>GRÁFICOS DE INCIDENCIAS</t>
  </si>
  <si>
    <t>Cuenta de PROCESO DONDE SE IDENTIFICA EL PNC/PNI</t>
  </si>
  <si>
    <t>Etiquetas de columna</t>
  </si>
  <si>
    <t>Etiquetas de fila</t>
  </si>
  <si>
    <t>Total general</t>
  </si>
  <si>
    <t>Cuenta de Origen del PNC/PNI</t>
  </si>
  <si>
    <t>Cuenta de CLASIFICACIÓN DEL PNC</t>
  </si>
  <si>
    <t>Cuenta de PRODUCTO NO CONFORME</t>
  </si>
  <si>
    <t xml:space="preserve">Cuenta de DISPOSICIÓN FINAL </t>
  </si>
  <si>
    <t>Cuenta de STATUS FINAL DEL NO CONFORME</t>
  </si>
  <si>
    <t>Cuenta de MOTIVO</t>
  </si>
  <si>
    <t>DESCRIPCIÓN PNC/PNI</t>
  </si>
  <si>
    <t>Materia Prima</t>
  </si>
  <si>
    <t>Biológico</t>
  </si>
  <si>
    <t>Cuarentena</t>
  </si>
  <si>
    <t>Producto con empaque secundario roto o dañado</t>
  </si>
  <si>
    <t>Bacterias</t>
  </si>
  <si>
    <t>Producto Terminado</t>
  </si>
  <si>
    <t>Cliente</t>
  </si>
  <si>
    <t>Físico</t>
  </si>
  <si>
    <t>Empaque</t>
  </si>
  <si>
    <t>Producción</t>
  </si>
  <si>
    <t>Químico</t>
  </si>
  <si>
    <t>Curtiduría</t>
  </si>
  <si>
    <t>Embarque</t>
  </si>
  <si>
    <t>Producto con empaque incompleto</t>
  </si>
  <si>
    <t xml:space="preserve">Mal Etiquetado </t>
  </si>
  <si>
    <t>Presencia de materia extraña</t>
  </si>
  <si>
    <t>Producto defectuoso</t>
  </si>
  <si>
    <t>Presencia de plaga</t>
  </si>
  <si>
    <t>Mal desempeño en el producto</t>
  </si>
  <si>
    <t xml:space="preserve">Peso incorrecto de MP </t>
  </si>
  <si>
    <t xml:space="preserve">Peso incorrecto de PT </t>
  </si>
  <si>
    <t>Uso distinto a producción de lote</t>
  </si>
  <si>
    <t>Derrame de producto</t>
  </si>
  <si>
    <t>Producto con fecha de caducidad vencida</t>
  </si>
  <si>
    <t>Error en la formulación del producto</t>
  </si>
  <si>
    <t>Liberado</t>
  </si>
  <si>
    <t>Bunsan PNS Na+</t>
  </si>
  <si>
    <t>Termamyl SC DS</t>
  </si>
  <si>
    <t>CERRADO</t>
  </si>
  <si>
    <t>(Varios elementos)</t>
  </si>
  <si>
    <t>Rechazado</t>
  </si>
  <si>
    <t>INTERNO</t>
  </si>
  <si>
    <t>Cerrado</t>
  </si>
  <si>
    <t>DIOXIDO DE SILICIO</t>
  </si>
  <si>
    <t>201909625A</t>
  </si>
  <si>
    <t>F-005</t>
  </si>
  <si>
    <t>Nota de entrada. 8820</t>
  </si>
  <si>
    <t>Producto almacenado en condiciones no inocuos (mal sellado, empaque roto, almacenado en área de producto industrial  y con fecha de caducidad vencida.</t>
  </si>
  <si>
    <t>Inocuidad</t>
  </si>
  <si>
    <t>Identificación y segregación del producto como rechazado en sistema SAE y almacén.</t>
  </si>
  <si>
    <t>Producto no conforme o potencialmente no inocuo.</t>
  </si>
  <si>
    <t xml:space="preserve">NOMBRE DEL PROVEEDOR/ CLIENTE/ INTERNO </t>
  </si>
  <si>
    <t>STATUS FINAL DEL PRODUCTO NO CONFORME</t>
  </si>
  <si>
    <t>F-006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</si>
</sst>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badi"/>
      <family val="2"/>
    </font>
    <font>
      <b/>
      <sz val="11"/>
      <color theme="0"/>
      <name val="Abadi"/>
      <family val="2"/>
    </font>
    <font>
      <b/>
      <sz val="20"/>
      <name val="Arial."/>
    </font>
    <font>
      <b/>
      <sz val="14"/>
      <color theme="1"/>
      <name val="Abadi"/>
      <family val="2"/>
    </font>
    <font>
      <sz val="10"/>
      <name val="Abadi"/>
      <family val="2"/>
    </font>
    <font>
      <sz val="10"/>
      <color theme="1"/>
      <name val="Abadi"/>
      <family val="2"/>
    </font>
    <font>
      <sz val="10"/>
      <color theme="1"/>
      <name val="Calibri"/>
      <family val="2"/>
      <scheme val="minor"/>
    </font>
    <font>
      <sz val="11"/>
      <color theme="1"/>
      <name val="Abadi Extra Light"/>
      <family val="2"/>
    </font>
    <font>
      <b/>
      <sz val="2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1798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7" fillId="0" borderId="0"/>
    <xf numFmtId="9" fontId="7" fillId="0" borderId="0" applyFont="0" applyFill="0" applyBorder="0" applyAlignment="0" applyProtection="0"/>
  </cellStyleXfs>
  <cellXfs count="59">
    <xf numFmtId="0" fontId="0" fillId="0" borderId="0" xfId="0"/>
    <xf numFmtId="0" fontId="1" fillId="2" borderId="1" xfId="0" applyFont="1" applyFill="1" applyBorder="1"/>
    <xf numFmtId="0" fontId="0" fillId="2" borderId="1" xfId="0" applyFill="1" applyBorder="1"/>
    <xf numFmtId="0" fontId="0" fillId="2" borderId="0" xfId="0" applyFill="1"/>
    <xf numFmtId="0" fontId="1" fillId="2" borderId="0" xfId="0" applyFont="1" applyFill="1"/>
    <xf numFmtId="14" fontId="0" fillId="0" borderId="0" xfId="0" applyNumberFormat="1"/>
    <xf numFmtId="0" fontId="4" fillId="2" borderId="0" xfId="0" applyFont="1" applyFill="1"/>
    <xf numFmtId="0" fontId="0" fillId="0" borderId="0" xfId="0" applyAlignment="1">
      <alignment wrapText="1"/>
    </xf>
    <xf numFmtId="0" fontId="2" fillId="3" borderId="4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wrapText="1"/>
    </xf>
    <xf numFmtId="0" fontId="0" fillId="0" borderId="0" xfId="0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0" fillId="2" borderId="0" xfId="0" applyFill="1" applyAlignment="1">
      <alignment wrapText="1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14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14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0" xfId="0" applyFont="1" applyFill="1" applyAlignment="1">
      <alignment horizontal="left" vertical="center" wrapText="1"/>
    </xf>
    <xf numFmtId="0" fontId="9" fillId="4" borderId="1" xfId="0" applyFont="1" applyFill="1" applyBorder="1"/>
    <xf numFmtId="0" fontId="9" fillId="4" borderId="0" xfId="0" applyFont="1" applyFill="1" applyAlignment="1">
      <alignment vertical="center"/>
    </xf>
    <xf numFmtId="0" fontId="10" fillId="3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 wrapText="1"/>
    </xf>
    <xf numFmtId="0" fontId="10" fillId="3" borderId="3" xfId="0" applyFont="1" applyFill="1" applyBorder="1" applyAlignment="1">
      <alignment vertical="center"/>
    </xf>
    <xf numFmtId="0" fontId="10" fillId="3" borderId="3" xfId="0" applyFont="1" applyFill="1" applyBorder="1" applyAlignment="1">
      <alignment vertical="center" wrapText="1"/>
    </xf>
    <xf numFmtId="0" fontId="10" fillId="3" borderId="1" xfId="0" applyFont="1" applyFill="1" applyBorder="1" applyAlignment="1">
      <alignment wrapText="1"/>
    </xf>
    <xf numFmtId="0" fontId="11" fillId="2" borderId="0" xfId="0" applyFont="1" applyFill="1"/>
    <xf numFmtId="0" fontId="9" fillId="4" borderId="1" xfId="0" applyFont="1" applyFill="1" applyBorder="1" applyAlignment="1">
      <alignment horizontal="left" vertical="center" wrapText="1"/>
    </xf>
    <xf numFmtId="0" fontId="9" fillId="4" borderId="0" xfId="0" applyFont="1" applyFill="1" applyAlignment="1">
      <alignment horizontal="left" vertical="center"/>
    </xf>
    <xf numFmtId="0" fontId="12" fillId="4" borderId="1" xfId="0" applyFont="1" applyFill="1" applyBorder="1" applyAlignment="1">
      <alignment horizontal="center" vertical="center"/>
    </xf>
    <xf numFmtId="14" fontId="9" fillId="4" borderId="1" xfId="0" applyNumberFormat="1" applyFont="1" applyFill="1" applyBorder="1" applyAlignment="1">
      <alignment horizontal="left" vertical="center"/>
    </xf>
    <xf numFmtId="164" fontId="13" fillId="7" borderId="5" xfId="0" applyNumberFormat="1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14" fontId="13" fillId="2" borderId="4" xfId="0" applyNumberFormat="1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justify" vertical="center" wrapText="1"/>
    </xf>
    <xf numFmtId="0" fontId="13" fillId="2" borderId="4" xfId="0" applyFont="1" applyFill="1" applyBorder="1" applyAlignment="1">
      <alignment horizontal="left" vertical="center" wrapText="1"/>
    </xf>
    <xf numFmtId="14" fontId="14" fillId="2" borderId="4" xfId="0" applyNumberFormat="1" applyFont="1" applyFill="1" applyBorder="1" applyAlignment="1">
      <alignment horizontal="left" vertical="center" wrapText="1"/>
    </xf>
    <xf numFmtId="0" fontId="14" fillId="2" borderId="4" xfId="0" applyFont="1" applyFill="1" applyBorder="1" applyAlignment="1">
      <alignment horizontal="center" vertical="center"/>
    </xf>
    <xf numFmtId="14" fontId="14" fillId="2" borderId="4" xfId="0" applyNumberFormat="1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5" fillId="0" borderId="0" xfId="0" applyFont="1" applyAlignment="1">
      <alignment wrapText="1"/>
    </xf>
    <xf numFmtId="14" fontId="14" fillId="2" borderId="4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wrapText="1"/>
    </xf>
    <xf numFmtId="14" fontId="13" fillId="7" borderId="2" xfId="0" applyNumberFormat="1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5" fillId="6" borderId="0" xfId="0" applyFont="1" applyFill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Porcentual 2" xfId="2" xr:uid="{00000000-0005-0000-0000-000002000000}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bad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33"/>
      <color rgb="FF21798B"/>
      <color rgb="FFE7F6FF"/>
      <color rgb="FF0099CC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INOCUO.xlsm]Gráficos incidencias!Tabla 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#</a:t>
            </a:r>
            <a:r>
              <a:rPr lang="es-MX" b="1" baseline="0"/>
              <a:t> Eventos por área donde se detecta</a:t>
            </a:r>
            <a:endParaRPr lang="es-MX" b="1"/>
          </a:p>
        </c:rich>
      </c:tx>
      <c:layout>
        <c:manualLayout>
          <c:xMode val="edge"/>
          <c:yMode val="edge"/>
          <c:x val="0.3252263147955432"/>
          <c:y val="8.73933727034120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4827923124265913E-2"/>
          <c:y val="0.16830793727334212"/>
          <c:w val="0.70297397219733415"/>
          <c:h val="0.67010267564843584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'Gráficos incidencias'!$B$4:$B$5</c:f>
              <c:strCache>
                <c:ptCount val="1"/>
                <c:pt idx="0">
                  <c:v>Recepción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incidencias'!$A$6:$A$8</c:f>
              <c:strCache>
                <c:ptCount val="2"/>
                <c:pt idx="0">
                  <c:v>4</c:v>
                </c:pt>
                <c:pt idx="1">
                  <c:v>2</c:v>
                </c:pt>
              </c:strCache>
            </c:strRef>
          </c:cat>
          <c:val>
            <c:numRef>
              <c:f>'Gráficos incidencias'!$B$6:$B$8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7-4009-B4C4-F4C57E9CB195}"/>
            </c:ext>
          </c:extLst>
        </c:ser>
        <c:ser>
          <c:idx val="1"/>
          <c:order val="1"/>
          <c:tx>
            <c:strRef>
              <c:f>'Gráficos incidencias'!$C$4:$C$5</c:f>
              <c:strCache>
                <c:ptCount val="1"/>
                <c:pt idx="0">
                  <c:v>Almacén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incidencias'!$A$6:$A$8</c:f>
              <c:strCache>
                <c:ptCount val="2"/>
                <c:pt idx="0">
                  <c:v>4</c:v>
                </c:pt>
                <c:pt idx="1">
                  <c:v>2</c:v>
                </c:pt>
              </c:strCache>
            </c:strRef>
          </c:cat>
          <c:val>
            <c:numRef>
              <c:f>'Gráficos incidencias'!$C$6:$C$8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C-41AE-86C2-FC4EAF4CC0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21934816"/>
        <c:axId val="421935208"/>
        <c:axId val="0"/>
      </c:bar3DChart>
      <c:catAx>
        <c:axId val="42193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>
            <c:manualLayout>
              <c:xMode val="edge"/>
              <c:yMode val="edge"/>
              <c:x val="0.36159910390947969"/>
              <c:y val="0.911657234251968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1935208"/>
        <c:crosses val="autoZero"/>
        <c:auto val="0"/>
        <c:lblAlgn val="ctr"/>
        <c:lblOffset val="100"/>
        <c:noMultiLvlLbl val="0"/>
      </c:catAx>
      <c:valAx>
        <c:axId val="42193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#</a:t>
                </a:r>
                <a:r>
                  <a:rPr lang="es-MX" baseline="0"/>
                  <a:t> de Eventos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1.3787074084093916E-2"/>
              <c:y val="0.38400385498687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193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72723346290572"/>
          <c:y val="0.17320004921259843"/>
          <c:w val="0.23827281183531518"/>
          <c:h val="0.251457103018372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accent1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INOCUO.xlsm]Gráficos incidencias!Tabla 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#</a:t>
            </a:r>
            <a:r>
              <a:rPr lang="es-MX" b="1" baseline="0"/>
              <a:t> de Eventos por Origen de PNC/PNI</a:t>
            </a:r>
            <a:endParaRPr lang="es-MX" b="1"/>
          </a:p>
        </c:rich>
      </c:tx>
      <c:layout>
        <c:manualLayout>
          <c:xMode val="edge"/>
          <c:yMode val="edge"/>
          <c:x val="0.27815792878728973"/>
          <c:y val="0.137868183143773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'Gráficos incidencias'!$B$33:$B$34</c:f>
              <c:strCache>
                <c:ptCount val="1"/>
                <c:pt idx="0">
                  <c:v>Proveedor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incidencias'!$A$35:$A$37</c:f>
              <c:strCache>
                <c:ptCount val="2"/>
                <c:pt idx="0">
                  <c:v>2</c:v>
                </c:pt>
                <c:pt idx="1">
                  <c:v>4</c:v>
                </c:pt>
              </c:strCache>
            </c:strRef>
          </c:cat>
          <c:val>
            <c:numRef>
              <c:f>'Gráficos incidencias'!$B$35:$B$37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6-49E7-BA6F-EC6E63537D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26486376"/>
        <c:axId val="426487160"/>
        <c:axId val="0"/>
      </c:bar3DChart>
      <c:catAx>
        <c:axId val="426486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>
            <c:manualLayout>
              <c:xMode val="edge"/>
              <c:yMode val="edge"/>
              <c:x val="0.39039026409567557"/>
              <c:y val="0.79858778069407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6487160"/>
        <c:crosses val="autoZero"/>
        <c:auto val="1"/>
        <c:lblAlgn val="ctr"/>
        <c:lblOffset val="100"/>
        <c:noMultiLvlLbl val="0"/>
      </c:catAx>
      <c:valAx>
        <c:axId val="42648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#</a:t>
                </a:r>
                <a:r>
                  <a:rPr lang="es-MX" baseline="0"/>
                  <a:t> de Eventos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648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INOCUO.xlsm]Gráficos incidencias!Tabla 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RIESGO IDENTIFICADO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'Gráficos incidencias'!$B$63:$B$65</c:f>
              <c:strCache>
                <c:ptCount val="1"/>
                <c:pt idx="0">
                  <c:v>Total general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incidencias'!$A$66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'Gráficos incidencias'!$B$66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1E5-4C2B-8048-F72C2B739A6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26487944"/>
        <c:axId val="426488336"/>
      </c:barChart>
      <c:catAx>
        <c:axId val="426487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6488336"/>
        <c:crosses val="autoZero"/>
        <c:auto val="1"/>
        <c:lblAlgn val="ctr"/>
        <c:lblOffset val="100"/>
        <c:noMultiLvlLbl val="0"/>
      </c:catAx>
      <c:valAx>
        <c:axId val="4264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 # de eventos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6487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INOCUO.xlsm]Gráficos incidencias!Tabla 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INCIDENCIA</a:t>
            </a:r>
            <a:r>
              <a:rPr lang="en-US" b="1" baseline="0">
                <a:solidFill>
                  <a:sysClr val="windowText" lastClr="000000"/>
                </a:solidFill>
              </a:rPr>
              <a:t>S POR PRODUCTO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4755376508169045"/>
          <c:y val="9.5180810731991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rgbClr val="FF99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99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'Gráficos incidencias'!$B$97:$B$98</c:f>
              <c:strCache>
                <c:ptCount val="1"/>
                <c:pt idx="0">
                  <c:v>Proveedor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incidencias'!$A$99:$A$101</c:f>
              <c:strCache>
                <c:ptCount val="2"/>
                <c:pt idx="0">
                  <c:v>Bunsan PNS Na+</c:v>
                </c:pt>
                <c:pt idx="1">
                  <c:v>Termamyl SC DS</c:v>
                </c:pt>
              </c:strCache>
            </c:strRef>
          </c:cat>
          <c:val>
            <c:numRef>
              <c:f>'Gráficos incidencias'!$B$99:$B$101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4B-4A30-8EC9-E387AA0D61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0601048"/>
        <c:axId val="490603792"/>
      </c:barChart>
      <c:catAx>
        <c:axId val="49060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0603792"/>
        <c:crosses val="autoZero"/>
        <c:auto val="1"/>
        <c:lblAlgn val="ctr"/>
        <c:lblOffset val="100"/>
        <c:noMultiLvlLbl val="0"/>
      </c:catAx>
      <c:valAx>
        <c:axId val="49060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060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32435513128771"/>
          <c:y val="0.26691455302030759"/>
          <c:w val="0.12524656129116893"/>
          <c:h val="0.14580519911948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INOCUO.xlsm]Gráficos incidencias!Tabla 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Disposición</a:t>
            </a:r>
            <a:r>
              <a:rPr lang="es-MX" baseline="0"/>
              <a:t> final del pnc/pni</a:t>
            </a:r>
          </a:p>
        </c:rich>
      </c:tx>
      <c:layout>
        <c:manualLayout>
          <c:xMode val="edge"/>
          <c:yMode val="edge"/>
          <c:x val="0.38096522309711284"/>
          <c:y val="9.5180810731991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0"/>
              <c:y val="-0.12037037037037036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2.7777777777777779E-3"/>
              <c:y val="-0.25000000000000006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layout>
            <c:manualLayout>
              <c:x val="-1.213960546282245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-1.011633788568530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'Gráficos incidencias'!$B$143:$B$144</c:f>
              <c:strCache>
                <c:ptCount val="1"/>
                <c:pt idx="0">
                  <c:v>Liberado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6D6-4656-B3D6-50CAE2BEED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incidencias'!$A$145:$A$146</c:f>
              <c:strCache>
                <c:ptCount val="1"/>
                <c:pt idx="0">
                  <c:v>Proveedor</c:v>
                </c:pt>
              </c:strCache>
            </c:strRef>
          </c:cat>
          <c:val>
            <c:numRef>
              <c:f>'Gráficos incidencias'!$B$145:$B$146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D6-4656-B3D6-50CAE2BEED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490604576"/>
        <c:axId val="490604968"/>
        <c:axId val="0"/>
      </c:bar3DChart>
      <c:catAx>
        <c:axId val="49060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0604968"/>
        <c:crosses val="autoZero"/>
        <c:auto val="1"/>
        <c:lblAlgn val="ctr"/>
        <c:lblOffset val="100"/>
        <c:noMultiLvlLbl val="0"/>
      </c:catAx>
      <c:valAx>
        <c:axId val="4906049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9060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INOCUO.xlsm]Gráficos incidencias!Tabla 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Incidencias</a:t>
            </a:r>
            <a:r>
              <a:rPr lang="en-US" baseline="0"/>
              <a:t> por producto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'Gráficos incidencias'!$B$97:$B$98</c:f>
              <c:strCache>
                <c:ptCount val="1"/>
                <c:pt idx="0">
                  <c:v>Proveedor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'Gráficos incidencias'!$A$99:$A$101</c:f>
              <c:strCache>
                <c:ptCount val="2"/>
                <c:pt idx="0">
                  <c:v>Bunsan PNS Na+</c:v>
                </c:pt>
                <c:pt idx="1">
                  <c:v>Termamyl SC DS</c:v>
                </c:pt>
              </c:strCache>
            </c:strRef>
          </c:cat>
          <c:val>
            <c:numRef>
              <c:f>'Gráficos incidencias'!$B$99:$B$101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2-4563-9C75-CA904125F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6752376"/>
        <c:axId val="496752704"/>
        <c:axId val="712593520"/>
      </c:bar3DChart>
      <c:catAx>
        <c:axId val="49675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6752704"/>
        <c:crosses val="autoZero"/>
        <c:auto val="1"/>
        <c:lblAlgn val="ctr"/>
        <c:lblOffset val="100"/>
        <c:noMultiLvlLbl val="0"/>
      </c:catAx>
      <c:valAx>
        <c:axId val="496752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6752376"/>
        <c:crosses val="autoZero"/>
        <c:crossBetween val="between"/>
        <c:majorUnit val="1"/>
      </c:valAx>
      <c:serAx>
        <c:axId val="712593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6752704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INOCUO.xlsm]Status General de No conforme!Tabla 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Motivo del PNC</a:t>
            </a:r>
          </a:p>
        </c:rich>
      </c:tx>
      <c:layout>
        <c:manualLayout>
          <c:xMode val="edge"/>
          <c:yMode val="edge"/>
          <c:x val="0.42607879441426411"/>
          <c:y val="0.12618399498206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9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5487504399859204E-2"/>
          <c:y val="0.24409497536705824"/>
          <c:w val="0.96204421968403986"/>
          <c:h val="0.38666569231050296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'Status General de No conforme'!$B$21:$B$22</c:f>
              <c:strCache>
                <c:ptCount val="1"/>
                <c:pt idx="0">
                  <c:v>Proveedor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'Status General de No conforme'!$A$23:$A$25</c:f>
              <c:strCache>
                <c:ptCount val="2"/>
                <c:pt idx="0">
                  <c:v>Producto con empaque incompleto</c:v>
                </c:pt>
                <c:pt idx="1">
                  <c:v>Producto con empaque primario roto o dañado</c:v>
                </c:pt>
              </c:strCache>
            </c:strRef>
          </c:cat>
          <c:val>
            <c:numRef>
              <c:f>'Status General de No conforme'!$B$23:$B$25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8-4063-BDD3-324F29EB0F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90599872"/>
        <c:axId val="490605360"/>
        <c:axId val="0"/>
      </c:bar3DChart>
      <c:catAx>
        <c:axId val="49059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0605360"/>
        <c:crosses val="autoZero"/>
        <c:auto val="0"/>
        <c:lblAlgn val="ctr"/>
        <c:lblOffset val="90"/>
        <c:tickLblSkip val="1"/>
        <c:noMultiLvlLbl val="0"/>
      </c:catAx>
      <c:valAx>
        <c:axId val="490605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05998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385874246339363"/>
          <c:y val="1.7447308645584036E-2"/>
          <c:w val="0.16408268733850129"/>
          <c:h val="0.14210376038338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[ACF34 MACRO PRODUCTO NO CONFORME O POTENCIALMENTE NO INOCUO.xlsm]Status General de No conforme!Tabla 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# de incidencias abiertas/cerradas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layout>
            <c:manualLayout>
              <c:x val="8.0685829551185081E-3"/>
              <c:y val="-7.877888998683090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'Status General de No conforme'!$B$4:$B$5</c:f>
              <c:strCache>
                <c:ptCount val="1"/>
                <c:pt idx="0">
                  <c:v>Proveedor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A4-4255-81FE-6683C1ABA1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'Status General de No conforme'!$A$6:$A$7</c:f>
              <c:strCache>
                <c:ptCount val="1"/>
                <c:pt idx="0">
                  <c:v>CERRADO</c:v>
                </c:pt>
              </c:strCache>
            </c:strRef>
          </c:cat>
          <c:val>
            <c:numRef>
              <c:f>'Status General de No conforme'!$B$6:$B$7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87-41A5-9EC3-C0A439BAA26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90602224"/>
        <c:axId val="490606928"/>
        <c:axId val="0"/>
      </c:bar3DChart>
      <c:catAx>
        <c:axId val="49060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0606928"/>
        <c:crosses val="autoZero"/>
        <c:auto val="1"/>
        <c:lblAlgn val="ctr"/>
        <c:lblOffset val="100"/>
        <c:noMultiLvlLbl val="0"/>
      </c:catAx>
      <c:valAx>
        <c:axId val="490606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060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837060702875404"/>
          <c:y val="0.3731653668149818"/>
          <c:w val="0.19213313161875945"/>
          <c:h val="0.190171309968879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311150</xdr:colOff>
      <xdr:row>0</xdr:row>
      <xdr:rowOff>106363</xdr:rowOff>
    </xdr:from>
    <xdr:to>
      <xdr:col>4</xdr:col>
      <xdr:colOff>1619380</xdr:colOff>
      <xdr:row>2</xdr:row>
      <xdr:rowOff>173931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26D9BD3-591F-4308-B0E8-51405EB36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675" y="106363"/>
          <a:ext cx="1308230" cy="543818"/>
        </a:xfrm>
        <a:prstGeom prst="rect">
          <a:avLst/>
        </a:prstGeom>
      </xdr:spPr>
    </xdr:pic>
    <xdr:clientData/>
  </xdr:twoCellAnchor>
  <xdr:twoCellAnchor editAs="oneCell">
    <xdr:from>
      <xdr:col>3</xdr:col>
      <xdr:colOff>184150</xdr:colOff>
      <xdr:row>19</xdr:row>
      <xdr:rowOff>275165</xdr:rowOff>
    </xdr:from>
    <xdr:to>
      <xdr:col>3</xdr:col>
      <xdr:colOff>1223553</xdr:colOff>
      <xdr:row>24</xdr:row>
      <xdr:rowOff>70904</xdr:rowOff>
    </xdr:to>
    <xdr:pic macro="[0]!Guardar">
      <xdr:nvPicPr>
        <xdr:cNvPr id="7" name="Imagen 6">
          <a:extLst>
            <a:ext uri="{FF2B5EF4-FFF2-40B4-BE49-F238E27FC236}">
              <a16:creationId xmlns:a16="http://schemas.microsoft.com/office/drawing/2014/main" id="{BC537AE1-22FB-4986-A819-A04B4AC0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6567" y="4646082"/>
          <a:ext cx="1039403" cy="906989"/>
        </a:xfrm>
        <a:prstGeom prst="rect">
          <a:avLst/>
        </a:prstGeom>
      </xdr:spPr>
    </xdr:pic>
    <xdr:clientData/>
  </xdr:twoCellAnchor>
  <xdr:twoCellAnchor>
    <xdr:from>
      <xdr:col>4</xdr:col>
      <xdr:colOff>814917</xdr:colOff>
      <xdr:row>25</xdr:row>
      <xdr:rowOff>21166</xdr:rowOff>
    </xdr:from>
    <xdr:to>
      <xdr:col>4</xdr:col>
      <xdr:colOff>1693335</xdr:colOff>
      <xdr:row>25</xdr:row>
      <xdr:rowOff>338665</xdr:rowOff>
    </xdr:to>
    <xdr:sp macro="[0]!NUEVO" textlink="">
      <xdr:nvSpPr>
        <xdr:cNvPr id="4" name="Rectángulo: biselado 3">
          <a:extLst>
            <a:ext uri="{FF2B5EF4-FFF2-40B4-BE49-F238E27FC236}">
              <a16:creationId xmlns:a16="http://schemas.microsoft.com/office/drawing/2014/main" id="{6FFDDC34-A16F-5EB5-5898-154D5E0E8BE4}"/>
            </a:ext>
          </a:extLst>
        </xdr:cNvPr>
        <xdr:cNvSpPr/>
      </xdr:nvSpPr>
      <xdr:spPr>
        <a:xfrm>
          <a:off x="7990417" y="5577416"/>
          <a:ext cx="878418" cy="3174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NUEVO</a:t>
          </a:r>
        </a:p>
      </xdr:txBody>
    </xdr:sp>
    <xdr:clientData/>
  </xdr:twoCellAnchor>
  <xdr:twoCellAnchor>
    <xdr:from>
      <xdr:col>3</xdr:col>
      <xdr:colOff>179917</xdr:colOff>
      <xdr:row>25</xdr:row>
      <xdr:rowOff>10583</xdr:rowOff>
    </xdr:from>
    <xdr:to>
      <xdr:col>3</xdr:col>
      <xdr:colOff>1333501</xdr:colOff>
      <xdr:row>25</xdr:row>
      <xdr:rowOff>296332</xdr:rowOff>
    </xdr:to>
    <xdr:sp macro="[0]!Guardar" textlink="">
      <xdr:nvSpPr>
        <xdr:cNvPr id="5" name="Rectángulo: biselado 4">
          <a:extLst>
            <a:ext uri="{FF2B5EF4-FFF2-40B4-BE49-F238E27FC236}">
              <a16:creationId xmlns:a16="http://schemas.microsoft.com/office/drawing/2014/main" id="{C47208BB-1157-4FD9-885F-E6803A358F6D}"/>
            </a:ext>
          </a:extLst>
        </xdr:cNvPr>
        <xdr:cNvSpPr/>
      </xdr:nvSpPr>
      <xdr:spPr>
        <a:xfrm>
          <a:off x="5122334" y="5566833"/>
          <a:ext cx="1153584" cy="28574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GUARDAR</a:t>
          </a:r>
        </a:p>
      </xdr:txBody>
    </xdr:sp>
    <xdr:clientData/>
  </xdr:twoCellAnchor>
  <xdr:twoCellAnchor>
    <xdr:from>
      <xdr:col>3</xdr:col>
      <xdr:colOff>1524001</xdr:colOff>
      <xdr:row>25</xdr:row>
      <xdr:rowOff>42333</xdr:rowOff>
    </xdr:from>
    <xdr:to>
      <xdr:col>4</xdr:col>
      <xdr:colOff>622918</xdr:colOff>
      <xdr:row>25</xdr:row>
      <xdr:rowOff>328082</xdr:rowOff>
    </xdr:to>
    <xdr:sp macro="[0]!IRABASEDEDATOS" textlink="">
      <xdr:nvSpPr>
        <xdr:cNvPr id="9" name="Rectángulo: biselado 8">
          <a:extLst>
            <a:ext uri="{FF2B5EF4-FFF2-40B4-BE49-F238E27FC236}">
              <a16:creationId xmlns:a16="http://schemas.microsoft.com/office/drawing/2014/main" id="{40B0256B-87E1-4735-A818-3CE5F5E380CF}"/>
            </a:ext>
          </a:extLst>
        </xdr:cNvPr>
        <xdr:cNvSpPr/>
      </xdr:nvSpPr>
      <xdr:spPr>
        <a:xfrm>
          <a:off x="6466418" y="5598583"/>
          <a:ext cx="1332000" cy="28574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/>
            <a:t>IR A BASE DE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657225</xdr:colOff>
      <xdr:row>0</xdr:row>
      <xdr:rowOff>338138</xdr:rowOff>
    </xdr:from>
    <xdr:to>
      <xdr:col>5</xdr:col>
      <xdr:colOff>1989225</xdr:colOff>
      <xdr:row>0</xdr:row>
      <xdr:rowOff>623887</xdr:rowOff>
    </xdr:to>
    <xdr:sp macro="[0]!IRAREGISTR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F68D7F0C-8BC2-49F2-8645-A6F1CD2572EB}"/>
            </a:ext>
          </a:extLst>
        </xdr:cNvPr>
        <xdr:cNvSpPr/>
      </xdr:nvSpPr>
      <xdr:spPr>
        <a:xfrm>
          <a:off x="7543800" y="338138"/>
          <a:ext cx="1332000" cy="28574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/>
            <a:t>IR A REGISTRO</a:t>
          </a:r>
        </a:p>
      </xdr:txBody>
    </xdr:sp>
    <xdr:clientData/>
  </xdr:twoCellAnchor>
  <xdr:twoCellAnchor editAs="oneCell">
    <xdr:from>
      <xdr:col>20</xdr:col>
      <xdr:colOff>1793875</xdr:colOff>
      <xdr:row>0</xdr:row>
      <xdr:rowOff>98425</xdr:rowOff>
    </xdr:from>
    <xdr:to>
      <xdr:col>21</xdr:col>
      <xdr:colOff>1041530</xdr:colOff>
      <xdr:row>0</xdr:row>
      <xdr:rowOff>642243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1354E07-8209-4A2C-AAD8-BA61C58B3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35500" y="98425"/>
          <a:ext cx="1562230" cy="5438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133351</xdr:rowOff>
    </xdr:from>
    <xdr:to>
      <xdr:col>7</xdr:col>
      <xdr:colOff>828675</xdr:colOff>
      <xdr:row>28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266700</xdr:colOff>
      <xdr:row>40</xdr:row>
      <xdr:rowOff>95249</xdr:rowOff>
    </xdr:from>
    <xdr:to>
      <xdr:col>14</xdr:col>
      <xdr:colOff>495299</xdr:colOff>
      <xdr:row>54</xdr:row>
      <xdr:rowOff>52386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76</xdr:row>
      <xdr:rowOff>33336</xdr:rowOff>
    </xdr:from>
    <xdr:to>
      <xdr:col>9</xdr:col>
      <xdr:colOff>28575</xdr:colOff>
      <xdr:row>91</xdr:row>
      <xdr:rowOff>171449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66675</xdr:colOff>
      <xdr:row>95</xdr:row>
      <xdr:rowOff>4761</xdr:rowOff>
    </xdr:from>
    <xdr:to>
      <xdr:col>19</xdr:col>
      <xdr:colOff>104774</xdr:colOff>
      <xdr:row>117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19050</xdr:colOff>
      <xdr:row>128</xdr:row>
      <xdr:rowOff>176212</xdr:rowOff>
    </xdr:from>
    <xdr:to>
      <xdr:col>14</xdr:col>
      <xdr:colOff>752475</xdr:colOff>
      <xdr:row>148</xdr:row>
      <xdr:rowOff>61912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600074</xdr:colOff>
      <xdr:row>108</xdr:row>
      <xdr:rowOff>47626</xdr:rowOff>
    </xdr:from>
    <xdr:to>
      <xdr:col>7</xdr:col>
      <xdr:colOff>9525</xdr:colOff>
      <xdr:row>127</xdr:row>
      <xdr:rowOff>57150</xdr:rowOff>
    </xdr:to>
    <xdr:graphicFrame macro="">
      <xdr:nvGraphicFramePr>
        <xdr:cNvPr id="12" name="Gráfico 6">
          <a:extLst>
            <a:ext uri="{FF2B5EF4-FFF2-40B4-BE49-F238E27FC236}">
              <a16:creationId xmlns:a16="http://schemas.microsoft.com/office/drawing/2014/main" id="{3B51AC5E-76B1-D39D-6F7C-BAA39C7EE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676275</xdr:colOff>
      <xdr:row>18</xdr:row>
      <xdr:rowOff>152399</xdr:rowOff>
    </xdr:from>
    <xdr:to>
      <xdr:col>9</xdr:col>
      <xdr:colOff>228600</xdr:colOff>
      <xdr:row>41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628650</xdr:colOff>
      <xdr:row>0</xdr:row>
      <xdr:rowOff>4761</xdr:rowOff>
    </xdr:from>
    <xdr:to>
      <xdr:col>8</xdr:col>
      <xdr:colOff>104775</xdr:colOff>
      <xdr:row>16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a Martínez" refreshedDate="45414.531634953702" createdVersion="5" refreshedVersion="8" minRefreshableVersion="3" recordCount="177" xr:uid="{00000000-000A-0000-FFFF-FFFF17000000}">
  <cacheSource type="worksheet">
    <worksheetSource ref="A1:V1048576" sheet="BASE DE DATOS"/>
  </cacheSource>
  <cacheFields count="24">
    <cacheField name="FECHA IDENTIFICACIÓN" numFmtId="0">
      <sharedItems containsNonDate="0" containsDate="1" containsString="0" containsBlank="1" minDate="2024-02-20T00:00:00" maxDate="2024-04-10T00:00:00"/>
    </cacheField>
    <cacheField name="MES" numFmtId="0">
      <sharedItems containsString="0" containsBlank="1" containsNumber="1" containsInteger="1" minValue="2" maxValue="9" count="5">
        <m/>
        <n v="4"/>
        <n v="2"/>
        <n v="9" u="1"/>
        <n v="7" u="1"/>
      </sharedItems>
    </cacheField>
    <cacheField name="FOLIO" numFmtId="0">
      <sharedItems containsBlank="1"/>
    </cacheField>
    <cacheField name="NOMBRE " numFmtId="0">
      <sharedItems containsBlank="1"/>
    </cacheField>
    <cacheField name="PRODUCTO NO CONFORME" numFmtId="0">
      <sharedItems containsBlank="1"/>
    </cacheField>
    <cacheField name="MOTIVO" numFmtId="0">
      <sharedItems containsBlank="1" count="38">
        <m/>
        <s v="Producto con empaque incompleto"/>
        <s v="Producto con empaque primario roto o dañado"/>
        <s v="Error en la formulación del producto" u="1"/>
        <s v="Peso incorrecto de MP " u="1"/>
        <s v="Derrame de producto" u="1"/>
        <s v="Parámetros fuera de especificación" u="1"/>
        <s v="Presencia de plaga sin vida" u="1"/>
        <s v="datos de etiqueta incompleta" u="1"/>
        <s v="Empaque secundario roto/ Dañado" u="1"/>
        <s v="Mal Etiquetado" u="1"/>
        <s v="Presencia de plaga" u="1"/>
        <s v="Peso alto " u="1"/>
        <s v="Mal desempeño en el producto final" u="1"/>
        <s v="Producto con empaque secundario roto o dañado" u="1"/>
        <s v="Producto dañado " u="1"/>
        <s v="Producto obsoleto en almacén" u="1"/>
        <s v="Empaque secundario roto/empaque primario intacto" u="1"/>
        <s v="Mal desempeño en el producto" u="1"/>
        <s v="Mal Etiquetado " u="1"/>
        <s v="Empaque secundario dañado" u="1"/>
        <s v="Codificación incompleta" u="1"/>
        <s v="Mal desempeño en el producto " u="1"/>
        <s v="Mal Etiquetado _x000a_Párametros fuera de especificación" u="1"/>
        <s v="Producto contaminado" u="1"/>
        <s v="Producto con empaque primario dañado" u="1"/>
        <s v="Producto con fecha de caducidad vencida" u="1"/>
        <s v="Peso incorrecto de MP / Empaque dañado" u="1"/>
        <s v="Uso distinto a producción de lote" u="1"/>
        <s v="Fórmula desactualizada" u="1"/>
        <s v="Materia Extraña" u="1"/>
        <s v="Producto defectuoso" u="1"/>
        <s v="Producto dañado" u="1"/>
        <s v="Enmpaque secundario dañado / evidencia de plaga" u="1"/>
        <s v="Peso bajo" u="1"/>
        <s v="Presencia de materia extraña" u="1"/>
        <s v="Empaque incompleto" u="1"/>
        <s v="Peso incorrecto de PT " u="1"/>
      </sharedItems>
    </cacheField>
    <cacheField name="DESCRIPCIÓN DE PNC/PNI" numFmtId="0">
      <sharedItems containsBlank="1"/>
    </cacheField>
    <cacheField name="LOTE" numFmtId="0">
      <sharedItems containsBlank="1"/>
    </cacheField>
    <cacheField name="CANTIDAD (KG)" numFmtId="0">
      <sharedItems containsString="0" containsBlank="1" containsNumber="1" containsInteger="1" minValue="25" maxValue="1200"/>
    </cacheField>
    <cacheField name="DIVISIÓN " numFmtId="0">
      <sharedItems containsBlank="1" count="6">
        <m/>
        <s v="Alimentos"/>
        <s v="Textil"/>
        <s v="Industrial" u="1"/>
        <s v="Bacterias" u="1"/>
        <s v="Curtiduría" u="1"/>
      </sharedItems>
    </cacheField>
    <cacheField name="MATERIAL" numFmtId="0">
      <sharedItems containsBlank="1"/>
    </cacheField>
    <cacheField name="PROCESO DONDE SE IDENTIFICA EL PNC/PNI" numFmtId="0">
      <sharedItems containsBlank="1"/>
    </cacheField>
    <cacheField name="CLASIFICACIÓN DEL PNC" numFmtId="0">
      <sharedItems containsBlank="1"/>
    </cacheField>
    <cacheField name="Origen del PNC/PNI" numFmtId="0">
      <sharedItems containsBlank="1" count="4">
        <m/>
        <s v="Proveedor"/>
        <s v="Interno" u="1"/>
        <s v="Cliente" u="1"/>
      </sharedItems>
    </cacheField>
    <cacheField name="RIESGO IDENTIFICADO" numFmtId="0">
      <sharedItems containsBlank="1"/>
    </cacheField>
    <cacheField name="STATUS INICIAL" numFmtId="0">
      <sharedItems containsBlank="1"/>
    </cacheField>
    <cacheField name="CONTENCIÓN/ ACCIÓN CORRECTIVA" numFmtId="0">
      <sharedItems containsBlank="1"/>
    </cacheField>
    <cacheField name="COMENTARIOS DEL CAMBIO DE STATUS" numFmtId="0">
      <sharedItems containsBlank="1"/>
    </cacheField>
    <cacheField name="DISPOSICIÓN FINAL " numFmtId="0">
      <sharedItems containsBlank="1"/>
    </cacheField>
    <cacheField name="FECHA DE DISPOSICIÓN FINAL" numFmtId="0">
      <sharedItems containsNonDate="0" containsDate="1" containsString="0" containsBlank="1" minDate="2024-02-21T00:00:00" maxDate="2024-04-13T00:00:00"/>
    </cacheField>
    <cacheField name="DÍAS DE SEGUIMIENTO" numFmtId="0">
      <sharedItems containsString="0" containsBlank="1" containsNumber="1" containsInteger="1" minValue="1" maxValue="3"/>
    </cacheField>
    <cacheField name="DOCUMENTOS DE REFERENCIA" numFmtId="0">
      <sharedItems containsBlank="1"/>
    </cacheField>
    <cacheField name="COSTO_x000a_DLLS" numFmtId="0">
      <sharedItems containsNonDate="0" containsString="0" containsBlank="1"/>
    </cacheField>
    <cacheField name="STATUS FINAL DEL NO CONFORME" numFmtId="0">
      <sharedItems containsBlank="1" count="6">
        <m/>
        <s v="CERRADO"/>
        <s v="Abierto" u="1"/>
        <s v="Abierto " u="1"/>
        <s v="En proceso " u="1"/>
        <s v="Cerrado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a Martínez" refreshedDate="45414.531635648149" createdVersion="5" refreshedVersion="8" minRefreshableVersion="3" recordCount="177" xr:uid="{00000000-000A-0000-FFFF-FFFF10000000}">
  <cacheSource type="worksheet">
    <worksheetSource ref="A1:U1048576" sheet="BASE DE DATOS"/>
  </cacheSource>
  <cacheFields count="23">
    <cacheField name="FECHA IDENTIFICACIÓN" numFmtId="0">
      <sharedItems containsNonDate="0" containsDate="1" containsString="0" containsBlank="1" minDate="2024-02-20T00:00:00" maxDate="2024-04-10T00:00:00"/>
    </cacheField>
    <cacheField name="MES" numFmtId="0">
      <sharedItems containsString="0" containsBlank="1" containsNumber="1" containsInteger="1" minValue="2" maxValue="9" count="5">
        <m/>
        <n v="4"/>
        <n v="2"/>
        <n v="9" u="1"/>
        <n v="7" u="1"/>
      </sharedItems>
    </cacheField>
    <cacheField name="FOLIO" numFmtId="0">
      <sharedItems containsBlank="1"/>
    </cacheField>
    <cacheField name="NOMBRE " numFmtId="0">
      <sharedItems containsBlank="1"/>
    </cacheField>
    <cacheField name="PRODUCTO NO CONFORME" numFmtId="0">
      <sharedItems containsBlank="1" count="67">
        <m/>
        <s v="Termamyl SC DS"/>
        <s v="Bunsan PNS Na+"/>
        <s v="Suavizante en escamas" u="1"/>
        <s v="Cellusoft combi" u="1"/>
        <s v="Attenuzyme Pro" u="1"/>
        <s v="BioEase 2305" u="1"/>
        <s v="Sorbitol en polvo" u="1"/>
        <s v="Antidher PO" u="1"/>
        <s v="SUAVISANTE EN ESCAMAS" u="1"/>
        <s v="Caja de tortilla" u="1"/>
        <s v="MICRO 100" u="1"/>
        <s v="NEUTRASE 1.5 MG" u="1"/>
        <s v="MATERIAL PARA REFORMULAR" u="1"/>
        <s v="PECTINEX ULTRA SPL" u="1"/>
        <s v="NEOSORB P 60W SORBITOL" u="1"/>
        <s v="BONTEX" u="1"/>
        <s v="BIOTEC KL 25" u="1"/>
        <s v="BIOSCOUR PLUS 700" u="1"/>
        <s v="BIOPREP FUSION" u="1"/>
        <s v="NOVOPRIME F 258" u="1"/>
        <s v="RESINEL PV" u="1"/>
        <s v="BIOREMOVE 5100/ BIOREMOVE 3200" u="1"/>
        <s v="CLORURO DE MAGNESIO" u="1"/>
        <s v="CEREMIX PLUS" u="1"/>
        <s v="DENIZYME HD 1000" u="1"/>
        <s v="BIOSTONE COMBI 400" u="1"/>
        <s v="Nota Entrada MP: 9033 (CARGAMENTO NOVOZYMES)" u="1"/>
        <s v="BIOZYME GMA PLUS" u="1"/>
        <s v="BOLSA AZUL DE POLIETILENO" u="1"/>
        <s v="AMG 1100/ NOOPAZYME" u="1"/>
        <s v="Maturex Pro" u="1"/>
        <s v="CEREMIX PLUS MG" u="1"/>
        <s v="PECTINEX ULTRA COLOR" u="1"/>
        <s v="NOOPAZYME " u="1"/>
        <s v="BIOPREP 3000L" u="1"/>
        <s v="ZYMASE 2KX" u="1"/>
        <s v="BIOAMIL SUPER" u="1"/>
        <s v="AFILAN LSS Liq." u="1"/>
        <s v="MEZCLA PARA VALIDACIÓN DE PPRO's" u="1"/>
        <s v="GREASEX ULTRA G" u="1"/>
        <s v="Grease Guard Herbal" u="1"/>
        <s v="VERON 191" u="1"/>
        <s v="CELLUSOFT LT 19500L" u="1"/>
        <s v="BIOAID 5310" u="1"/>
        <s v="NOVOSHAPE" u="1"/>
        <s v="BIOREMOVE AM" u="1"/>
        <s v="NOVOPRIME A 868 " u="1"/>
        <s v="BIOZYME GMA PLUS (SIMULACRO)" u="1"/>
        <s v="LIGANTE PRINTOFRIX MB.MX liq 35" u="1"/>
        <s v="NOVOBATE 100 T" u="1"/>
        <s v="TRIPOLIFOSFATO DE SODIO" u="1"/>
        <s v="LESS STONE" u="1"/>
        <s v="CLORURO DE AMONIO" u="1"/>
        <s v="Ultraflo Max" u="1"/>
        <s v="ALCALASE 3.0 T" u="1"/>
        <s v="CARGAMENTO NOVOZYMES " u="1"/>
        <s v="SULFATO DE SODIO" u="1"/>
        <s v="MATUREX PRO " u="1"/>
        <s v="SORBITOL" u="1"/>
        <s v="Flavourzyme 500 MG" u="1"/>
        <s v="BIOSTONE COLD C 100" u="1"/>
        <s v="Attenuzyme" u="1"/>
        <s v="CELLUSOFT CR" u="1"/>
        <s v="PECTINEX YIELDMASH PLUS" u="1"/>
        <s v="PANZEA BG" u="1"/>
        <s v="AMG 1100 BG" u="1"/>
      </sharedItems>
    </cacheField>
    <cacheField name="MOTIVO" numFmtId="0">
      <sharedItems containsBlank="1"/>
    </cacheField>
    <cacheField name="DESCRIPCIÓN DE PNC/PNI" numFmtId="0">
      <sharedItems containsBlank="1"/>
    </cacheField>
    <cacheField name="LOTE" numFmtId="0">
      <sharedItems containsBlank="1"/>
    </cacheField>
    <cacheField name="CANTIDAD (KG)" numFmtId="0">
      <sharedItems containsString="0" containsBlank="1" containsNumber="1" containsInteger="1" minValue="25" maxValue="1200"/>
    </cacheField>
    <cacheField name="DIVISIÓN " numFmtId="0">
      <sharedItems containsBlank="1" count="6">
        <m/>
        <s v="Alimentos"/>
        <s v="Textil"/>
        <s v="Industrial" u="1"/>
        <s v="Bacterias" u="1"/>
        <s v="Curtiduría" u="1"/>
      </sharedItems>
    </cacheField>
    <cacheField name="MATERIAL" numFmtId="0">
      <sharedItems containsBlank="1"/>
    </cacheField>
    <cacheField name="PROCESO DONDE SE IDENTIFICA EL PNC/PNI" numFmtId="0">
      <sharedItems containsBlank="1"/>
    </cacheField>
    <cacheField name="CLASIFICACIÓN DEL PNC" numFmtId="0">
      <sharedItems containsBlank="1" count="3">
        <m/>
        <s v="PNC"/>
        <s v="PNI" u="1"/>
      </sharedItems>
    </cacheField>
    <cacheField name="Origen del PNC/PNI" numFmtId="0">
      <sharedItems containsBlank="1" count="4">
        <m/>
        <s v="Proveedor"/>
        <s v="Interno" u="1"/>
        <s v="Cliente" u="1"/>
      </sharedItems>
    </cacheField>
    <cacheField name="RIESGO IDENTIFICADO" numFmtId="0">
      <sharedItems containsBlank="1"/>
    </cacheField>
    <cacheField name="STATUS INICIAL" numFmtId="0">
      <sharedItems containsBlank="1"/>
    </cacheField>
    <cacheField name="CONTENCIÓN/ ACCIÓN CORRECTIVA" numFmtId="0">
      <sharedItems containsBlank="1"/>
    </cacheField>
    <cacheField name="COMENTARIOS DEL CAMBIO DE STATUS" numFmtId="0">
      <sharedItems containsBlank="1"/>
    </cacheField>
    <cacheField name="DISPOSICIÓN FINAL " numFmtId="0">
      <sharedItems containsBlank="1" count="9">
        <m/>
        <s v="Liberado"/>
        <s v="Rechazado" u="1"/>
        <s v="DESTRUCCIÓN" u="1"/>
        <s v="CAMBIO FÍSICO" u="1"/>
        <s v="6L RECHAZADO_x000a_25L LIBERADO" u="1"/>
        <s v="ACEPTADO" u="1"/>
        <s v="cuarentena" u="1"/>
        <s v="DEVOLUCIÓN" u="1"/>
      </sharedItems>
    </cacheField>
    <cacheField name="FECHA DE DISPOSICIÓN FINAL" numFmtId="0">
      <sharedItems containsNonDate="0" containsDate="1" containsString="0" containsBlank="1" minDate="2024-02-21T00:00:00" maxDate="2024-04-13T00:00:00"/>
    </cacheField>
    <cacheField name="DÍAS DE SEGUIMIENTO" numFmtId="0">
      <sharedItems containsString="0" containsBlank="1" containsNumber="1" containsInteger="1" minValue="1" maxValue="3"/>
    </cacheField>
    <cacheField name="DOCUMENTOS DE REFERENCIA" numFmtId="0">
      <sharedItems containsBlank="1"/>
    </cacheField>
    <cacheField name="COSTO_x000a_DLL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a Martínez" refreshedDate="45414.531635995372" createdVersion="5" refreshedVersion="8" minRefreshableVersion="3" recordCount="177" xr:uid="{00000000-000A-0000-FFFF-FFFF08000000}">
  <cacheSource type="worksheet">
    <worksheetSource ref="A2:V232" sheet="BASE DE DATOS"/>
  </cacheSource>
  <cacheFields count="24">
    <cacheField name="FECHA IDENTIFICACIÓN" numFmtId="0">
      <sharedItems containsNonDate="0" containsDate="1" containsString="0" containsBlank="1" minDate="2024-02-20T00:00:00" maxDate="2024-04-10T00:00:00"/>
    </cacheField>
    <cacheField name="MES" numFmtId="0">
      <sharedItems containsString="0" containsBlank="1" containsNumber="1" containsInteger="1" minValue="2" maxValue="9" count="5">
        <m/>
        <n v="4"/>
        <n v="2"/>
        <n v="9" u="1"/>
        <n v="7" u="1"/>
      </sharedItems>
    </cacheField>
    <cacheField name="FOLIO" numFmtId="0">
      <sharedItems containsBlank="1"/>
    </cacheField>
    <cacheField name="NOMBRE " numFmtId="0">
      <sharedItems containsBlank="1"/>
    </cacheField>
    <cacheField name="PRODUCTO NO CONFORME" numFmtId="0">
      <sharedItems containsBlank="1"/>
    </cacheField>
    <cacheField name="MOTIVO" numFmtId="0">
      <sharedItems containsBlank="1"/>
    </cacheField>
    <cacheField name="DESCRIPCIÓN DE PNC/PNI" numFmtId="0">
      <sharedItems containsBlank="1"/>
    </cacheField>
    <cacheField name="LOTE" numFmtId="0">
      <sharedItems containsBlank="1"/>
    </cacheField>
    <cacheField name="CANTIDAD (KG)" numFmtId="0">
      <sharedItems containsString="0" containsBlank="1" containsNumber="1" containsInteger="1" minValue="25" maxValue="1200"/>
    </cacheField>
    <cacheField name="DIVISIÓN " numFmtId="0">
      <sharedItems containsBlank="1" count="6">
        <m/>
        <s v="Alimentos"/>
        <s v="Textil"/>
        <s v="Industrial" u="1"/>
        <s v="Bacterias" u="1"/>
        <s v="Curtiduría" u="1"/>
      </sharedItems>
    </cacheField>
    <cacheField name="MATERIAL" numFmtId="0">
      <sharedItems containsBlank="1"/>
    </cacheField>
    <cacheField name="PROCESO DONDE SE IDENTIFICA EL PNC/PNI" numFmtId="0">
      <sharedItems containsBlank="1" count="5">
        <m/>
        <s v="Almacén"/>
        <s v="Recepción"/>
        <s v="Recpeción" u="1"/>
        <s v="Producción" u="1"/>
      </sharedItems>
    </cacheField>
    <cacheField name="CLASIFICACIÓN DEL PNC" numFmtId="0">
      <sharedItems containsBlank="1"/>
    </cacheField>
    <cacheField name="Origen del PNC/PNI" numFmtId="0">
      <sharedItems containsBlank="1" count="4">
        <m/>
        <s v="Proveedor"/>
        <s v="Interno" u="1"/>
        <s v="Cliente" u="1"/>
      </sharedItems>
    </cacheField>
    <cacheField name="RIESGO IDENTIFICADO" numFmtId="0">
      <sharedItems containsBlank="1"/>
    </cacheField>
    <cacheField name="STATUS INICIAL" numFmtId="0">
      <sharedItems containsBlank="1"/>
    </cacheField>
    <cacheField name="CONTENCIÓN/ ACCIÓN CORRECTIVA" numFmtId="0">
      <sharedItems containsBlank="1"/>
    </cacheField>
    <cacheField name="COMENTARIOS DEL CAMBIO DE STATUS" numFmtId="0">
      <sharedItems containsBlank="1"/>
    </cacheField>
    <cacheField name="DISPOSICIÓN FINAL " numFmtId="0">
      <sharedItems containsBlank="1"/>
    </cacheField>
    <cacheField name="FECHA DE DISPOSICIÓN FINAL" numFmtId="0">
      <sharedItems containsNonDate="0" containsDate="1" containsString="0" containsBlank="1" minDate="2024-02-21T00:00:00" maxDate="2024-04-13T00:00:00"/>
    </cacheField>
    <cacheField name="DÍAS DE SEGUIMIENTO" numFmtId="0">
      <sharedItems containsString="0" containsBlank="1" containsNumber="1" containsInteger="1" minValue="1" maxValue="3"/>
    </cacheField>
    <cacheField name="DOCUMENTOS DE REFERENCIA" numFmtId="0">
      <sharedItems containsBlank="1"/>
    </cacheField>
    <cacheField name="COSTO_x000a_DLLS" numFmtId="0">
      <sharedItems containsNonDate="0" containsString="0" containsBlank="1"/>
    </cacheField>
    <cacheField name="STATUS FINAL DEL NO CONFOR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">
  <r>
    <m/>
    <x v="0"/>
    <m/>
    <m/>
    <m/>
    <x v="0"/>
    <m/>
    <m/>
    <m/>
    <x v="0"/>
    <m/>
    <m/>
    <m/>
    <x v="0"/>
    <m/>
    <m/>
    <m/>
    <m/>
    <m/>
    <m/>
    <m/>
    <m/>
    <m/>
    <x v="0"/>
  </r>
  <r>
    <d v="2024-04-09T00:00:00"/>
    <x v="1"/>
    <s v="F-002"/>
    <s v="Novozymes Mexico"/>
    <s v="Termamyl SC DS"/>
    <x v="1"/>
    <s v="Se observa cincho de seguridad de la tapa roto."/>
    <s v="AUP50704"/>
    <n v="1200"/>
    <x v="1"/>
    <s v="Materia Prima"/>
    <s v="Almacén"/>
    <s v="PNC"/>
    <x v="1"/>
    <m/>
    <s v="Rechazado "/>
    <s v="1. Rechazo del material.  2. Se notifica al área de compras."/>
    <s v="Se realiza cambio físico del contenedor, el día 12/04/2024"/>
    <s v="Liberado"/>
    <d v="2024-04-12T00:00:00"/>
    <n v="3"/>
    <s v="Remisión 70380873"/>
    <m/>
    <x v="1"/>
  </r>
  <r>
    <d v="2024-02-20T00:00:00"/>
    <x v="2"/>
    <s v="F-001"/>
    <s v="ESCOTELL"/>
    <s v="Bunsan PNS Na+"/>
    <x v="2"/>
    <s v="Durante la recepción de la materia prima se observo que uno de los sacos se encontraba roto en la parte inferior, además de contener un trozo de playo a modo de tapón para disminuir la fuga de producto"/>
    <s v="SESC-3184-POCH-2310002-231104-BT240213"/>
    <n v="25"/>
    <x v="2"/>
    <s v="Materia Prima"/>
    <s v="Recepción"/>
    <s v="PNC"/>
    <x v="1"/>
    <s v="Calidad"/>
    <s v="Rechazado "/>
    <s v="1. Rechazo del material.  2. Se notifica al área de compras."/>
    <s v="El proveedor realiza cambio físico el día 21/02/2024."/>
    <s v="Liberado"/>
    <d v="2024-02-21T00:00:00"/>
    <n v="1"/>
    <s v="08/07/1904 / NOTA DE SALIDA CON FOLIO 0812"/>
    <m/>
    <x v="1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  <r>
    <m/>
    <x v="0"/>
    <m/>
    <m/>
    <m/>
    <x v="0"/>
    <m/>
    <m/>
    <m/>
    <x v="0"/>
    <m/>
    <m/>
    <m/>
    <x v="0"/>
    <m/>
    <m/>
    <m/>
    <m/>
    <m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">
  <r>
    <m/>
    <x v="0"/>
    <m/>
    <m/>
    <x v="0"/>
    <m/>
    <m/>
    <m/>
    <m/>
    <x v="0"/>
    <m/>
    <m/>
    <x v="0"/>
    <x v="0"/>
    <m/>
    <m/>
    <m/>
    <m/>
    <x v="0"/>
    <m/>
    <m/>
    <m/>
    <m/>
  </r>
  <r>
    <d v="2024-04-09T00:00:00"/>
    <x v="1"/>
    <s v="F-002"/>
    <s v="Novozymes Mexico"/>
    <x v="1"/>
    <s v="Producto con empaque incompleto"/>
    <s v="Se observa cincho de seguridad de la tapa roto."/>
    <s v="AUP50704"/>
    <n v="1200"/>
    <x v="1"/>
    <s v="Materia Prima"/>
    <s v="Almacén"/>
    <x v="1"/>
    <x v="1"/>
    <m/>
    <s v="Rechazado "/>
    <s v="1. Rechazo del material.  2. Se notifica al área de compras."/>
    <s v="Se realiza cambio físico del contenedor, el día 12/04/2024"/>
    <x v="1"/>
    <d v="2024-04-12T00:00:00"/>
    <n v="3"/>
    <s v="Remisión 70380873"/>
    <m/>
  </r>
  <r>
    <d v="2024-02-20T00:00:00"/>
    <x v="2"/>
    <s v="F-001"/>
    <s v="ESCOTELL"/>
    <x v="2"/>
    <s v="Producto con empaque primario roto o dañado"/>
    <s v="Durante la recepción de la materia prima se observo que uno de los sacos se encontraba roto en la parte inferior, además de contener un trozo de playo a modo de tapón para disminuir la fuga de producto"/>
    <s v="SESC-3184-POCH-2310002-231104-BT240213"/>
    <n v="25"/>
    <x v="2"/>
    <s v="Materia Prima"/>
    <s v="Recepción"/>
    <x v="1"/>
    <x v="1"/>
    <s v="Calidad"/>
    <s v="Rechazado "/>
    <s v="1. Rechazo del material.  2. Se notifica al área de compras."/>
    <s v="El proveedor realiza cambio físico el día 21/02/2024."/>
    <x v="1"/>
    <d v="2024-02-21T00:00:00"/>
    <n v="1"/>
    <s v="08/07/1904 / NOTA DE SALIDA CON FOLIO 0812"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  <r>
    <m/>
    <x v="0"/>
    <m/>
    <m/>
    <x v="0"/>
    <m/>
    <m/>
    <m/>
    <m/>
    <x v="0"/>
    <m/>
    <m/>
    <x v="0"/>
    <x v="0"/>
    <m/>
    <m/>
    <m/>
    <m/>
    <x v="0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">
  <r>
    <m/>
    <x v="0"/>
    <m/>
    <m/>
    <m/>
    <m/>
    <m/>
    <m/>
    <m/>
    <x v="0"/>
    <m/>
    <x v="0"/>
    <m/>
    <x v="0"/>
    <m/>
    <m/>
    <m/>
    <m/>
    <m/>
    <m/>
    <m/>
    <m/>
    <m/>
    <m/>
  </r>
  <r>
    <d v="2024-04-09T00:00:00"/>
    <x v="1"/>
    <s v="F-002"/>
    <s v="Novozymes Mexico"/>
    <s v="Termamyl SC DS"/>
    <s v="Producto con empaque incompleto"/>
    <s v="Se observa cincho de seguridad de la tapa roto."/>
    <s v="AUP50704"/>
    <n v="1200"/>
    <x v="1"/>
    <s v="Materia Prima"/>
    <x v="1"/>
    <s v="PNC"/>
    <x v="1"/>
    <m/>
    <s v="Rechazado "/>
    <s v="1. Rechazo del material.  2. Se notifica al área de compras."/>
    <s v="Se realiza cambio físico del contenedor, el día 12/04/2024"/>
    <s v="Liberado"/>
    <d v="2024-04-12T00:00:00"/>
    <n v="3"/>
    <s v="Remisión 70380873"/>
    <m/>
    <s v="CERRADO"/>
  </r>
  <r>
    <d v="2024-02-20T00:00:00"/>
    <x v="2"/>
    <s v="F-001"/>
    <s v="ESCOTELL"/>
    <s v="Bunsan PNS Na+"/>
    <s v="Producto con empaque primario roto o dañado"/>
    <s v="Durante la recepción de la materia prima se observo que uno de los sacos se encontraba roto en la parte inferior, además de contener un trozo de playo a modo de tapón para disminuir la fuga de producto"/>
    <s v="SESC-3184-POCH-2310002-231104-BT240213"/>
    <n v="25"/>
    <x v="2"/>
    <s v="Materia Prima"/>
    <x v="2"/>
    <s v="PNC"/>
    <x v="1"/>
    <s v="Calidad"/>
    <s v="Rechazado "/>
    <s v="1. Rechazo del material.  2. Se notifica al área de compras."/>
    <s v="El proveedor realiza cambio físico el día 21/02/2024."/>
    <s v="Liberado"/>
    <d v="2024-02-21T00:00:00"/>
    <n v="1"/>
    <s v="08/07/1904 / NOTA DE SALIDA CON FOLIO 0812"/>
    <m/>
    <s v="CERRADO"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  <r>
    <m/>
    <x v="0"/>
    <m/>
    <m/>
    <m/>
    <m/>
    <m/>
    <m/>
    <m/>
    <x v="0"/>
    <m/>
    <x v="0"/>
    <m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la diná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8">
  <location ref="A33:C37" firstHeaderRow="1" firstDataRow="2" firstDataCol="1" rowPageCount="1" colPageCount="1"/>
  <pivotFields count="24">
    <pivotField showAll="0"/>
    <pivotField axis="axisRow" showAll="0" sortType="ascending">
      <items count="6">
        <item x="2"/>
        <item x="1"/>
        <item m="1" x="4"/>
        <item m="1" x="3"/>
        <item x="0"/>
        <item t="default"/>
      </items>
    </pivotField>
    <pivotField showAll="0"/>
    <pivotField showAll="0"/>
    <pivotField showAll="0"/>
    <pivotField showAll="0" defaultSubtotal="0"/>
    <pivotField showAll="0"/>
    <pivotField showAll="0"/>
    <pivotField showAll="0"/>
    <pivotField axis="axisPage" multipleItemSelectionAllowed="1" showAll="0">
      <items count="7">
        <item h="1" x="0"/>
        <item x="1"/>
        <item x="2"/>
        <item m="1" x="5"/>
        <item m="1" x="3"/>
        <item m="1" x="4"/>
        <item t="default"/>
      </items>
    </pivotField>
    <pivotField showAll="0"/>
    <pivotField showAll="0"/>
    <pivotField showAll="0"/>
    <pivotField axis="axisCol" dataField="1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3">
    <i>
      <x/>
    </i>
    <i>
      <x v="1"/>
    </i>
    <i t="grand">
      <x/>
    </i>
  </rowItems>
  <colFields count="1">
    <field x="13"/>
  </colFields>
  <colItems count="2">
    <i>
      <x/>
    </i>
    <i t="grand">
      <x/>
    </i>
  </colItems>
  <pageFields count="1">
    <pageField fld="9" hier="-1"/>
  </pageFields>
  <dataFields count="1">
    <dataField name="Cuenta de Origen del PNC/PNI" fld="13" subtotal="count" baseField="0" baseItem="0"/>
  </dataFields>
  <chartFormats count="6"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Tabla diná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12">
  <location ref="A143:C146" firstHeaderRow="1" firstDataRow="2" firstDataCol="1" rowPageCount="1" colPageCount="1"/>
  <pivotFields count="23">
    <pivotField showAll="0"/>
    <pivotField axis="axisPage" multipleItemSelectionAllowed="1" showAll="0">
      <items count="6">
        <item h="1" x="0"/>
        <item x="1"/>
        <item x="2"/>
        <item m="1" x="4"/>
        <item m="1" x="3"/>
        <item t="default"/>
      </items>
    </pivotField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m="1" x="3"/>
        <item m="1" x="2"/>
        <item x="1"/>
        <item h="1" x="0"/>
        <item t="default"/>
      </items>
    </pivotField>
    <pivotField showAll="0"/>
    <pivotField showAll="0"/>
    <pivotField showAll="0" defaultSubtotal="0"/>
    <pivotField showAll="0"/>
    <pivotField axis="axisCol" dataField="1" showAll="0">
      <items count="10">
        <item m="1" x="4"/>
        <item m="1" x="3"/>
        <item m="1" x="8"/>
        <item x="1"/>
        <item h="1" x="0"/>
        <item m="1" x="2"/>
        <item m="1" x="6"/>
        <item m="1" x="5"/>
        <item m="1" x="7"/>
        <item t="default"/>
      </items>
    </pivotField>
    <pivotField showAll="0"/>
    <pivotField showAll="0"/>
    <pivotField showAll="0"/>
    <pivotField showAll="0" defaultSubtotal="0"/>
  </pivotFields>
  <rowFields count="1">
    <field x="13"/>
  </rowFields>
  <rowItems count="2">
    <i>
      <x v="2"/>
    </i>
    <i t="grand">
      <x/>
    </i>
  </rowItems>
  <colFields count="1">
    <field x="18"/>
  </colFields>
  <colItems count="2">
    <i>
      <x v="3"/>
    </i>
    <i t="grand">
      <x/>
    </i>
  </colItems>
  <pageFields count="1">
    <pageField fld="1" hier="-1"/>
  </pageFields>
  <dataFields count="1">
    <dataField name="Cuenta de DISPOSICIÓN FINAL " fld="18" subtotal="count" baseField="0" baseItem="0"/>
  </dataFields>
  <chartFormats count="13">
    <chartFormat chart="0" format="7" series="1">
      <pivotArea type="data" outline="0" fieldPosition="0">
        <references count="1">
          <reference field="18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18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18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18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18" count="1" selected="0">
            <x v="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18" count="1" selected="0">
            <x v="1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13" count="1" selected="0">
            <x v="2"/>
          </reference>
          <reference field="18" count="1" selected="0">
            <x v="0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Tabla diná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17">
  <location ref="A97:C101" firstHeaderRow="1" firstDataRow="2" firstDataCol="1" rowPageCount="2" colPageCount="1"/>
  <pivotFields count="23">
    <pivotField showAll="0"/>
    <pivotField axis="axisPage" multipleItemSelectionAllowed="1" showAll="0">
      <items count="6">
        <item h="1" x="0"/>
        <item x="1"/>
        <item x="2"/>
        <item m="1" x="4"/>
        <item m="1" x="3"/>
        <item t="default"/>
      </items>
    </pivotField>
    <pivotField showAll="0"/>
    <pivotField showAll="0"/>
    <pivotField axis="axisRow" dataField="1" showAll="0" sortType="descending">
      <items count="68">
        <item m="1" x="66"/>
        <item m="1" x="5"/>
        <item m="1" x="18"/>
        <item m="1" x="43"/>
        <item m="1" x="32"/>
        <item m="1" x="40"/>
        <item m="1" x="34"/>
        <item m="1" x="64"/>
        <item m="1" x="57"/>
        <item x="1"/>
        <item x="0"/>
        <item m="1" x="62"/>
        <item m="1" x="59"/>
        <item m="1" x="39"/>
        <item m="1" x="65"/>
        <item m="1" x="12"/>
        <item m="1" x="55"/>
        <item m="1" x="33"/>
        <item m="1" x="13"/>
        <item m="1" x="24"/>
        <item m="1" x="16"/>
        <item m="1" x="22"/>
        <item m="1" x="44"/>
        <item m="1" x="17"/>
        <item m="1" x="54"/>
        <item m="1" x="56"/>
        <item m="1" x="63"/>
        <item m="1" x="48"/>
        <item m="1" x="27"/>
        <item m="1" x="37"/>
        <item m="1" x="36"/>
        <item m="1" x="58"/>
        <item m="1" x="14"/>
        <item m="1" x="38"/>
        <item m="1" x="28"/>
        <item m="1" x="25"/>
        <item m="1" x="47"/>
        <item m="1" x="53"/>
        <item m="1" x="19"/>
        <item m="1" x="29"/>
        <item m="1" x="45"/>
        <item m="1" x="51"/>
        <item m="1" x="49"/>
        <item m="1" x="30"/>
        <item m="1" x="11"/>
        <item m="1" x="21"/>
        <item m="1" x="42"/>
        <item m="1" x="23"/>
        <item m="1" x="26"/>
        <item m="1" x="35"/>
        <item m="1" x="31"/>
        <item m="1" x="61"/>
        <item m="1" x="46"/>
        <item m="1" x="50"/>
        <item m="1" x="10"/>
        <item m="1" x="52"/>
        <item m="1" x="20"/>
        <item m="1" x="15"/>
        <item m="1" x="9"/>
        <item m="1" x="41"/>
        <item m="1" x="60"/>
        <item m="1" x="3"/>
        <item m="1" x="7"/>
        <item m="1" x="8"/>
        <item m="1" x="6"/>
        <item m="1"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axis="axisPage" multipleItemSelectionAllowed="1" showAll="0">
      <items count="7">
        <item x="1"/>
        <item m="1" x="5"/>
        <item x="2"/>
        <item h="1" x="0"/>
        <item h="1" m="1" x="3"/>
        <item h="1" m="1" x="4"/>
        <item t="default"/>
      </items>
    </pivotField>
    <pivotField showAll="0"/>
    <pivotField showAll="0"/>
    <pivotField showAll="0"/>
    <pivotField axis="axisCol" multipleItemSelectionAllowed="1" showAll="0">
      <items count="5">
        <item m="1" x="3"/>
        <item m="1" x="2"/>
        <item x="1"/>
        <item h="1" x="0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4"/>
  </rowFields>
  <rowItems count="3">
    <i>
      <x v="66"/>
    </i>
    <i>
      <x v="9"/>
    </i>
    <i t="grand">
      <x/>
    </i>
  </rowItems>
  <colFields count="1">
    <field x="13"/>
  </colFields>
  <colItems count="2">
    <i>
      <x v="2"/>
    </i>
    <i t="grand">
      <x/>
    </i>
  </colItems>
  <pageFields count="2">
    <pageField fld="1" hier="-1"/>
    <pageField fld="9" hier="-1"/>
  </pageFields>
  <dataFields count="1">
    <dataField name="Cuenta de PRODUCTO NO CONFORME" fld="4" subtotal="count" baseField="0" baseItem="0"/>
  </dataFields>
  <chartFormats count="2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4" count="1" selected="0">
            <x v="61"/>
          </reference>
          <reference field="13" count="1" selected="0">
            <x v="2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13" count="1" selected="0">
            <x v="2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65"/>
          </reference>
          <reference field="13" count="1" selected="0">
            <x v="1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13" count="1" selected="0">
            <x v="1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4" count="1" selected="0">
            <x v="63"/>
          </reference>
          <reference field="13" count="1" selected="0">
            <x v="2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4" count="1" selected="0">
            <x v="64"/>
          </reference>
          <reference field="13" count="1" selected="0">
            <x v="2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4" count="1" selected="0">
            <x v="62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2">
  <location ref="A63:B66" firstHeaderRow="1" firstDataRow="3" firstDataCol="1" rowPageCount="1" colPageCount="1"/>
  <pivotFields count="23">
    <pivotField showAll="0"/>
    <pivotField axis="axisRow" showAll="0">
      <items count="6">
        <item x="0"/>
        <item h="1" x="1"/>
        <item h="1" x="2"/>
        <item h="1" m="1" x="4"/>
        <item h="1" m="1" x="3"/>
        <item t="default"/>
      </items>
    </pivotField>
    <pivotField showAll="0"/>
    <pivotField showAll="0"/>
    <pivotField showAll="0"/>
    <pivotField showAll="0" defaultSubtotal="0"/>
    <pivotField showAll="0"/>
    <pivotField showAll="0"/>
    <pivotField showAll="0"/>
    <pivotField axis="axisPage" multipleItemSelectionAllowed="1" showAll="0">
      <items count="7">
        <item x="1"/>
        <item m="1" x="5"/>
        <item x="2"/>
        <item h="1" x="0"/>
        <item h="1" m="1" x="3"/>
        <item h="1" m="1" x="4"/>
        <item t="default"/>
      </items>
    </pivotField>
    <pivotField showAll="0"/>
    <pivotField showAll="0"/>
    <pivotField axis="axisCol" dataField="1" showAll="0">
      <items count="4">
        <item x="1"/>
        <item m="1" x="2"/>
        <item h="1" x="0"/>
        <item t="default"/>
      </items>
    </pivotField>
    <pivotField axis="axisCol" showAll="0">
      <items count="5">
        <item m="1" x="3"/>
        <item m="1" x="2"/>
        <item x="1"/>
        <item h="1" x="0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1"/>
  </rowFields>
  <rowItems count="1">
    <i t="grand">
      <x/>
    </i>
  </rowItems>
  <colFields count="2">
    <field x="13"/>
    <field x="12"/>
  </colFields>
  <colItems count="1">
    <i t="grand">
      <x/>
    </i>
  </colItems>
  <pageFields count="1">
    <pageField fld="9" hier="-1"/>
  </pageFields>
  <dataFields count="1">
    <dataField name="Cuenta de CLASIFICACIÓN DEL PNC" fld="12" subtotal="count" baseField="0" baseItem="0"/>
  </dataFields>
  <chartFormats count="9">
    <chartFormat chart="0" format="12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13" count="1" selected="0">
            <x v="2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</references>
      </pivotArea>
    </chartFormat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5">
  <location ref="A4:D8" firstHeaderRow="1" firstDataRow="2" firstDataCol="1"/>
  <pivotFields count="24">
    <pivotField showAll="0"/>
    <pivotField axis="axisRow" showAll="0">
      <items count="6">
        <item h="1" x="0"/>
        <item x="1"/>
        <item x="2"/>
        <item m="1" x="4"/>
        <item m="1" x="3"/>
        <item t="default"/>
      </items>
    </pivotField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2"/>
        <item m="1" x="4"/>
        <item x="1"/>
        <item m="1" x="3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3">
    <i>
      <x v="1"/>
    </i>
    <i>
      <x v="2"/>
    </i>
    <i t="grand">
      <x/>
    </i>
  </rowItems>
  <colFields count="1">
    <field x="11"/>
  </colFields>
  <colItems count="3">
    <i>
      <x v="1"/>
    </i>
    <i>
      <x v="3"/>
    </i>
    <i t="grand">
      <x/>
    </i>
  </colItems>
  <dataFields count="1">
    <dataField name="Cuenta de PROCESO DONDE SE IDENTIFICA EL PNC/PNI" fld="11" subtotal="count" baseField="0" baseItem="0"/>
  </dataFields>
  <chartFormats count="6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54">
  <location ref="A21:C25" firstHeaderRow="1" firstDataRow="2" firstDataCol="1" rowPageCount="2" colPageCount="1"/>
  <pivotFields count="24">
    <pivotField showAll="0"/>
    <pivotField axis="axisPage" multipleItemSelectionAllowed="1" showAll="0">
      <items count="6">
        <item h="1" x="0"/>
        <item x="1"/>
        <item x="2"/>
        <item m="1" x="4"/>
        <item m="1" x="3"/>
        <item t="default"/>
      </items>
    </pivotField>
    <pivotField showAll="0"/>
    <pivotField showAll="0"/>
    <pivotField showAll="0"/>
    <pivotField axis="axisRow" dataField="1" showAll="0" sortType="descending">
      <items count="39">
        <item m="1" x="21"/>
        <item m="1" x="8"/>
        <item m="1" x="20"/>
        <item m="1" x="9"/>
        <item m="1" x="33"/>
        <item m="1" x="29"/>
        <item m="1" x="13"/>
        <item m="1" x="30"/>
        <item m="1" x="6"/>
        <item m="1" x="12"/>
        <item m="1" x="32"/>
        <item x="0"/>
        <item m="1" x="19"/>
        <item m="1" x="34"/>
        <item m="1" x="10"/>
        <item m="1" x="4"/>
        <item m="1" x="28"/>
        <item m="1" x="17"/>
        <item m="1" x="15"/>
        <item m="1" x="3"/>
        <item m="1" x="36"/>
        <item m="1" x="14"/>
        <item x="2"/>
        <item x="1"/>
        <item m="1" x="25"/>
        <item m="1" x="22"/>
        <item m="1" x="35"/>
        <item m="1" x="16"/>
        <item m="1" x="11"/>
        <item m="1" x="24"/>
        <item m="1" x="5"/>
        <item m="1" x="18"/>
        <item m="1" x="31"/>
        <item m="1" x="7"/>
        <item m="1" x="26"/>
        <item m="1" x="37"/>
        <item m="1" x="23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Page" multipleItemSelectionAllowed="1" showAll="0">
      <items count="7">
        <item x="1"/>
        <item m="1" x="5"/>
        <item x="2"/>
        <item h="1" x="0"/>
        <item m="1" x="3"/>
        <item m="1" x="4"/>
        <item t="default"/>
      </items>
    </pivotField>
    <pivotField showAll="0"/>
    <pivotField showAll="0"/>
    <pivotField showAll="0"/>
    <pivotField axis="axisCol" multipleItemSelectionAllowed="1" showAll="0">
      <items count="5">
        <item m="1" x="3"/>
        <item m="1"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5"/>
  </rowFields>
  <rowItems count="3">
    <i>
      <x v="23"/>
    </i>
    <i>
      <x v="22"/>
    </i>
    <i t="grand">
      <x/>
    </i>
  </rowItems>
  <colFields count="1">
    <field x="13"/>
  </colFields>
  <colItems count="2">
    <i>
      <x v="2"/>
    </i>
    <i t="grand">
      <x/>
    </i>
  </colItems>
  <pageFields count="2">
    <pageField fld="9" hier="-1"/>
    <pageField fld="1" hier="-1"/>
  </pageFields>
  <dataFields count="1">
    <dataField name="Cuenta de MOTIVO" fld="5" subtotal="count" baseField="5" baseItem="14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38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8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9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9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8">
  <location ref="A4:C7" firstHeaderRow="1" firstDataRow="2" firstDataCol="1" rowPageCount="1" colPageCount="1"/>
  <pivotFields count="24">
    <pivotField showAll="0"/>
    <pivotField axis="axisPage" multipleItemSelectionAllowed="1" showAll="0">
      <items count="6">
        <item h="1" x="0"/>
        <item x="1"/>
        <item x="2"/>
        <item m="1" x="4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m="1" x="3"/>
        <item m="1"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6">
        <item h="1" m="1" x="5"/>
        <item h="1" m="1" x="4"/>
        <item h="1" x="0"/>
        <item m="1" x="2"/>
        <item x="1"/>
        <item h="1" m="1" x="3"/>
      </items>
    </pivotField>
  </pivotFields>
  <rowFields count="1">
    <field x="23"/>
  </rowFields>
  <rowItems count="2">
    <i>
      <x v="4"/>
    </i>
    <i t="grand">
      <x/>
    </i>
  </rowItems>
  <colFields count="1">
    <field x="13"/>
  </colFields>
  <colItems count="2">
    <i>
      <x v="2"/>
    </i>
    <i t="grand">
      <x/>
    </i>
  </colItems>
  <pageFields count="1">
    <pageField fld="1" hier="-1"/>
  </pageFields>
  <dataFields count="1">
    <dataField name="Cuenta de STATUS FINAL DEL NO CONFORME" fld="23" subtotal="count" baseField="0" baseItem="0"/>
  </dataFields>
  <chartFormats count="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FCDF61-70E3-4CB5-B54A-123330418B6B}" name="BD" displayName="BD" ref="A2:V3" totalsRowShown="0" headerRowDxfId="24" dataDxfId="23" tableBorderDxfId="22">
  <autoFilter ref="A2:V3" xr:uid="{26FCDF61-70E3-4CB5-B54A-123330418B6B}"/>
  <tableColumns count="22">
    <tableColumn id="1" xr3:uid="{B2E94E32-EC68-4559-B79F-9677F0FCD603}" name="FECHA IDENTIFICACIÓN" dataDxfId="21"/>
    <tableColumn id="3" xr3:uid="{7BD3FC02-BD6A-49DA-839B-DBF70AB58BC8}" name="FOLIO" dataDxfId="20"/>
    <tableColumn id="4" xr3:uid="{62CD620A-39E5-40A7-B20D-B21DB35483BB}" name="NOMBRE DEL PROVEEDOR/ CLIENTE/ INTERNO " dataDxfId="19"/>
    <tableColumn id="5" xr3:uid="{188203C0-6BAD-40B7-8614-1BC0CEBC46DA}" name="PRODUCTO NO CONFORME" dataDxfId="18"/>
    <tableColumn id="6" xr3:uid="{737A76F3-4108-437B-85DF-F023B2C68E62}" name="MOTIVO" dataDxfId="17"/>
    <tableColumn id="7" xr3:uid="{ACA26803-74AC-472D-98B3-4E696F661FD3}" name="DESCRIPCIÓN DE PNC/PNI" dataDxfId="16"/>
    <tableColumn id="8" xr3:uid="{DE37AEFF-0522-4405-93BB-B01A84436547}" name="LOTE" dataDxfId="15"/>
    <tableColumn id="9" xr3:uid="{65F7F3EF-D44E-4EDA-AF8A-2751E319439D}" name="CANTIDAD (KG)" dataDxfId="14"/>
    <tableColumn id="10" xr3:uid="{3F28240C-B586-4E4B-9A0C-DAB229268D40}" name="DIVISIÓN " dataDxfId="13"/>
    <tableColumn id="11" xr3:uid="{F05ED0F6-1F02-41D4-B307-A86EE24304DC}" name="MATERIAL" dataDxfId="12"/>
    <tableColumn id="12" xr3:uid="{A07F8483-8E56-4331-817A-F20DC2500F72}" name="PROCESO DONDE SE IDENTIFICA EL PNC/PNI" dataDxfId="11"/>
    <tableColumn id="13" xr3:uid="{A59DDA8E-6409-4FD8-B8DB-7F1B6C3BF038}" name="CLASIFICACIÓN DEL PNC" dataDxfId="10"/>
    <tableColumn id="14" xr3:uid="{D70010D1-E32B-43F8-A1C6-B0A34D8FEF27}" name="Origen del PNC/PNI" dataDxfId="9"/>
    <tableColumn id="15" xr3:uid="{C27266E7-6F48-4C37-9613-08CAF2BD7118}" name="RIESGO IDENTIFICADO" dataDxfId="8"/>
    <tableColumn id="16" xr3:uid="{2EABAE40-4C74-42B7-8AF1-35269F0023AC}" name="STATUS INICIAL" dataDxfId="7"/>
    <tableColumn id="17" xr3:uid="{2B267F32-1925-4EA1-A24C-8C27030089DA}" name="CONTENCIÓN/ ACCIÓN CORRECTIVA" dataDxfId="6"/>
    <tableColumn id="18" xr3:uid="{3F9C794B-99A7-4576-AEDE-355A436D34B4}" name="COMENTARIOS DEL CAMBIO DE STATUS" dataDxfId="5"/>
    <tableColumn id="19" xr3:uid="{1BBD3A10-C85F-4FA0-B098-5C877F327C32}" name="DISPOSICIÓN FINAL " dataDxfId="4"/>
    <tableColumn id="20" xr3:uid="{ABAF2683-CDB4-4DED-B5F8-DC5A6D80E373}" name="FECHA DE DISPOSICIÓN FINAL" dataDxfId="3"/>
    <tableColumn id="21" xr3:uid="{3956ACB6-B4EF-43E9-BEAF-5BCF2DA7D7B6}" name="DÍAS DE SEGUIMIENTO" dataDxfId="2"/>
    <tableColumn id="22" xr3:uid="{562949B9-5A94-45FC-A390-D4D1F068E4B4}" name="DOCUMENTOS DE REFERENCIA" dataDxfId="1"/>
    <tableColumn id="23" xr3:uid="{A7E7B4EC-0200-4664-872A-2C7FD792A5D9}" name="STATUS FINAL DEL PRODUCTO NO CONFORME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0"/>
  <sheetViews>
    <sheetView tabSelected="1" zoomScale="90" zoomScaleNormal="90" workbookViewId="0">
      <selection activeCell="H8" sqref="H8"/>
    </sheetView>
  </sheetViews>
  <sheetFormatPr baseColWidth="10" defaultColWidth="11.42578125" defaultRowHeight="15"/>
  <cols>
    <col min="1" max="1" width="30.7109375" customWidth="1"/>
    <col min="2" max="2" width="40.42578125" customWidth="1"/>
    <col min="3" max="3" width="2.85546875" customWidth="1"/>
    <col min="4" max="4" width="33.42578125" customWidth="1"/>
    <col min="5" max="5" width="28.28515625" customWidth="1"/>
    <col min="6" max="6" width="23.42578125" customWidth="1"/>
    <col min="7" max="7" width="32.7109375" customWidth="1"/>
    <col min="8" max="8" width="26.5703125" customWidth="1"/>
  </cols>
  <sheetData>
    <row r="1" spans="1:5" ht="20.25" customHeight="1">
      <c r="A1" s="3"/>
      <c r="B1" s="15"/>
      <c r="C1" s="15"/>
      <c r="D1" s="15"/>
      <c r="E1" s="16"/>
    </row>
    <row r="2" spans="1:5" ht="17.25" customHeight="1">
      <c r="A2" s="3"/>
      <c r="B2" s="15"/>
      <c r="C2" s="15"/>
      <c r="D2" s="15"/>
      <c r="E2" s="3"/>
    </row>
    <row r="3" spans="1:5" ht="20.25" customHeight="1">
      <c r="A3" s="3"/>
      <c r="B3" s="15"/>
      <c r="C3" s="15"/>
      <c r="D3" s="15"/>
      <c r="E3" s="3"/>
    </row>
    <row r="4" spans="1:5" ht="26.25">
      <c r="A4" s="34" t="s">
        <v>94</v>
      </c>
      <c r="B4" s="6"/>
      <c r="C4" s="6"/>
      <c r="D4" s="6"/>
      <c r="E4" s="6"/>
    </row>
    <row r="5" spans="1:5">
      <c r="A5" s="6"/>
      <c r="B5" s="6"/>
      <c r="C5" s="6"/>
      <c r="D5" s="6"/>
      <c r="E5" s="6"/>
    </row>
    <row r="6" spans="1:5" s="18" customFormat="1" ht="30" customHeight="1">
      <c r="A6" s="56" t="s">
        <v>0</v>
      </c>
      <c r="B6" s="56"/>
      <c r="C6" s="56"/>
      <c r="D6" s="56"/>
      <c r="E6" s="56"/>
    </row>
    <row r="7" spans="1:5">
      <c r="A7" s="3"/>
      <c r="B7" s="3"/>
      <c r="C7" s="3"/>
      <c r="D7" s="3"/>
      <c r="E7" s="3"/>
    </row>
    <row r="8" spans="1:5" s="18" customFormat="1" ht="24.95" customHeight="1">
      <c r="A8" s="29" t="s">
        <v>1</v>
      </c>
      <c r="B8" s="38"/>
      <c r="C8" s="17"/>
      <c r="D8" s="29" t="s">
        <v>2</v>
      </c>
      <c r="E8" s="37" t="s">
        <v>97</v>
      </c>
    </row>
    <row r="9" spans="1:5" ht="8.25" customHeight="1">
      <c r="A9" s="1"/>
      <c r="B9" s="2"/>
      <c r="C9" s="3"/>
    </row>
    <row r="10" spans="1:5" s="18" customFormat="1" ht="30" customHeight="1">
      <c r="A10" s="30" t="s">
        <v>3</v>
      </c>
      <c r="B10" s="23"/>
      <c r="C10" s="17"/>
      <c r="D10" s="29" t="s">
        <v>4</v>
      </c>
      <c r="E10" s="28"/>
    </row>
    <row r="11" spans="1:5" ht="8.25" customHeight="1">
      <c r="A11" s="1"/>
      <c r="B11" s="2"/>
      <c r="C11" s="3"/>
    </row>
    <row r="12" spans="1:5" s="18" customFormat="1" ht="24.95" customHeight="1">
      <c r="A12" s="29" t="s">
        <v>6</v>
      </c>
      <c r="B12" s="24"/>
      <c r="C12" s="17"/>
      <c r="D12" s="31" t="s">
        <v>7</v>
      </c>
      <c r="E12" s="28"/>
    </row>
    <row r="13" spans="1:5" ht="6.75" customHeight="1">
      <c r="A13" s="1"/>
      <c r="B13" s="2"/>
      <c r="C13" s="3"/>
      <c r="D13" s="4"/>
      <c r="E13" s="3"/>
    </row>
    <row r="14" spans="1:5" s="18" customFormat="1" ht="24.95" customHeight="1">
      <c r="A14" s="29" t="s">
        <v>9</v>
      </c>
      <c r="B14" s="24"/>
      <c r="C14" s="17"/>
      <c r="D14" s="32" t="s">
        <v>11</v>
      </c>
      <c r="E14" s="36"/>
    </row>
    <row r="15" spans="1:5" ht="8.25" customHeight="1">
      <c r="A15" s="1"/>
      <c r="B15" s="2"/>
      <c r="C15" s="3"/>
      <c r="D15" s="4"/>
      <c r="E15" s="3"/>
    </row>
    <row r="16" spans="1:5" s="18" customFormat="1" ht="24.95" customHeight="1">
      <c r="A16" s="29" t="s">
        <v>12</v>
      </c>
      <c r="B16" s="25"/>
      <c r="C16" s="17"/>
      <c r="D16" s="19"/>
      <c r="E16" s="17"/>
    </row>
    <row r="17" spans="1:5" ht="6" customHeight="1">
      <c r="A17" s="1"/>
      <c r="B17" s="13"/>
      <c r="C17" s="3"/>
      <c r="D17" s="3"/>
      <c r="E17" s="3"/>
    </row>
    <row r="18" spans="1:5" s="18" customFormat="1" ht="24.95" customHeight="1">
      <c r="A18" s="29" t="s">
        <v>13</v>
      </c>
      <c r="B18" s="26"/>
      <c r="C18" s="17"/>
      <c r="D18" s="19"/>
      <c r="E18" s="17"/>
    </row>
    <row r="19" spans="1:5" ht="7.5" customHeight="1">
      <c r="A19" s="1"/>
      <c r="B19" s="2"/>
      <c r="C19" s="3"/>
      <c r="D19" s="3"/>
      <c r="E19" s="3"/>
    </row>
    <row r="20" spans="1:5" s="18" customFormat="1" ht="24.95" customHeight="1">
      <c r="A20" s="29" t="s">
        <v>14</v>
      </c>
      <c r="B20" s="35"/>
      <c r="C20" s="17"/>
      <c r="D20" s="19"/>
      <c r="E20" s="17"/>
    </row>
    <row r="21" spans="1:5" ht="6" customHeight="1">
      <c r="A21" s="1"/>
      <c r="B21" s="2"/>
      <c r="C21" s="3"/>
      <c r="D21" s="3"/>
      <c r="E21" s="3"/>
    </row>
    <row r="22" spans="1:5" s="18" customFormat="1" ht="24.95" customHeight="1">
      <c r="A22" s="29" t="s">
        <v>15</v>
      </c>
      <c r="B22" s="24"/>
      <c r="C22" s="17"/>
      <c r="D22" s="19"/>
      <c r="E22" s="17"/>
    </row>
    <row r="23" spans="1:5" ht="6.75" customHeight="1">
      <c r="A23" s="1"/>
      <c r="B23" s="2"/>
      <c r="C23" s="3"/>
      <c r="D23" s="3"/>
      <c r="E23" s="3"/>
    </row>
    <row r="24" spans="1:5" s="18" customFormat="1" ht="24.95" customHeight="1">
      <c r="A24" s="30" t="s">
        <v>17</v>
      </c>
      <c r="B24" s="24"/>
      <c r="C24" s="17"/>
      <c r="D24" s="17"/>
      <c r="E24" s="17"/>
    </row>
    <row r="25" spans="1:5" ht="6" customHeight="1">
      <c r="A25" s="1"/>
      <c r="B25" s="2"/>
      <c r="C25" s="3"/>
      <c r="D25" s="3"/>
      <c r="E25" s="3"/>
    </row>
    <row r="26" spans="1:5" s="18" customFormat="1" ht="30" customHeight="1">
      <c r="A26" s="30" t="s">
        <v>18</v>
      </c>
      <c r="B26" s="24"/>
      <c r="C26" s="17"/>
      <c r="D26" s="17"/>
      <c r="E26" s="17"/>
    </row>
    <row r="27" spans="1:5" ht="6.75" customHeight="1">
      <c r="A27" s="1"/>
      <c r="B27" s="2"/>
      <c r="C27" s="3"/>
      <c r="D27" s="3"/>
      <c r="E27" s="3"/>
    </row>
    <row r="28" spans="1:5" ht="30" customHeight="1">
      <c r="A28" s="33" t="s">
        <v>20</v>
      </c>
      <c r="B28" s="27"/>
      <c r="C28" s="3"/>
      <c r="D28" s="3"/>
      <c r="E28" s="3"/>
    </row>
    <row r="29" spans="1:5">
      <c r="A29" s="3"/>
      <c r="B29" s="3"/>
      <c r="C29" s="3"/>
      <c r="D29" s="3"/>
      <c r="E29" s="3"/>
    </row>
    <row r="30" spans="1:5">
      <c r="A30" s="3"/>
      <c r="B30" s="3"/>
      <c r="C30" s="3"/>
      <c r="D30" s="3"/>
      <c r="E30" s="3"/>
    </row>
  </sheetData>
  <mergeCells count="1">
    <mergeCell ref="A6:E6"/>
  </mergeCells>
  <printOptions horizontalCentered="1" verticalCentered="1"/>
  <pageMargins left="0.43307086614173229" right="0.31496062992125984" top="7.874015748031496E-2" bottom="0.74803149606299213" header="0.31496062992125984" footer="0.31496062992125984"/>
  <pageSetup scale="94" orientation="landscape" r:id="rId1"/>
  <headerFooter>
    <oddFooter>&amp;R&amp;"Abadi Extra Light,Normal"&amp;12ACF34 - Primera - 27/05/2024                          Página: &amp;P de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LISTADO!$B$2:$B$3</xm:f>
          </x14:formula1>
          <xm:sqref>B24</xm:sqref>
        </x14:dataValidation>
        <x14:dataValidation type="list" allowBlank="1" showInputMessage="1" showErrorMessage="1" xr:uid="{00000000-0002-0000-0000-000002000000}">
          <x14:formula1>
            <xm:f>LISTADO!$D$2:$D$3</xm:f>
          </x14:formula1>
          <xm:sqref>B28</xm:sqref>
        </x14:dataValidation>
        <x14:dataValidation type="list" allowBlank="1" showInputMessage="1" showErrorMessage="1" xr:uid="{00000000-0002-0000-0000-000003000000}">
          <x14:formula1>
            <xm:f>LISTADO!$E$2:$E$4</xm:f>
          </x14:formula1>
          <xm:sqref>E10</xm:sqref>
        </x14:dataValidation>
        <x14:dataValidation type="list" allowBlank="1" showInputMessage="1" showErrorMessage="1" xr:uid="{00000000-0002-0000-0000-000004000000}">
          <x14:formula1>
            <xm:f>LISTADO!$G$2:$G$3</xm:f>
          </x14:formula1>
          <xm:sqref>E12</xm:sqref>
        </x14:dataValidation>
        <x14:dataValidation type="list" allowBlank="1" showInputMessage="1" showErrorMessage="1" xr:uid="{00000000-0002-0000-0000-000005000000}">
          <x14:formula1>
            <xm:f>LISTADO!$C$2:$C$13</xm:f>
          </x14:formula1>
          <xm:sqref>B26</xm:sqref>
        </x14:dataValidation>
        <x14:dataValidation type="list" allowBlank="1" showInputMessage="1" showErrorMessage="1" xr:uid="{00000000-0002-0000-0000-000006000000}">
          <x14:formula1>
            <xm:f>LISTADO!$H$2:$H$16</xm:f>
          </x14:formula1>
          <xm:sqref>B14</xm:sqref>
        </x14:dataValidation>
        <x14:dataValidation type="list" allowBlank="1" showInputMessage="1" showErrorMessage="1" xr:uid="{00000000-0002-0000-0000-000000000000}">
          <x14:formula1>
            <xm:f>LISTADO!$A$2:$A$5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72"/>
  <sheetViews>
    <sheetView zoomScaleNormal="100" workbookViewId="0">
      <selection activeCell="F6" sqref="F6"/>
    </sheetView>
  </sheetViews>
  <sheetFormatPr baseColWidth="10" defaultColWidth="11.42578125" defaultRowHeight="15"/>
  <cols>
    <col min="1" max="1" width="17.5703125" customWidth="1"/>
    <col min="2" max="2" width="8.28515625" customWidth="1"/>
    <col min="3" max="3" width="28.42578125" customWidth="1"/>
    <col min="4" max="4" width="23.5703125" customWidth="1"/>
    <col min="5" max="5" width="25.42578125" customWidth="1"/>
    <col min="6" max="6" width="50.7109375" style="10" customWidth="1"/>
    <col min="7" max="7" width="18.7109375" style="11" customWidth="1"/>
    <col min="8" max="8" width="13.140625" style="11" customWidth="1"/>
    <col min="9" max="9" width="14" customWidth="1"/>
    <col min="10" max="10" width="20.28515625" customWidth="1"/>
    <col min="11" max="11" width="21.42578125" customWidth="1"/>
    <col min="12" max="12" width="17.28515625" customWidth="1"/>
    <col min="13" max="13" width="15.42578125" customWidth="1"/>
    <col min="14" max="14" width="15.85546875" customWidth="1"/>
    <col min="15" max="15" width="15.5703125" customWidth="1"/>
    <col min="16" max="16" width="37.28515625" style="10" customWidth="1"/>
    <col min="17" max="17" width="31.7109375" style="10" customWidth="1"/>
    <col min="18" max="18" width="15.28515625" customWidth="1"/>
    <col min="19" max="19" width="17.42578125" customWidth="1"/>
    <col min="20" max="20" width="14.5703125" customWidth="1"/>
    <col min="21" max="21" width="34.7109375" customWidth="1"/>
    <col min="22" max="22" width="18.42578125" customWidth="1"/>
  </cols>
  <sheetData>
    <row r="1" spans="1:22" ht="80.099999999999994" customHeight="1">
      <c r="A1" s="57" t="s">
        <v>94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</row>
    <row r="2" spans="1:22" s="54" customFormat="1" ht="50.1" customHeight="1">
      <c r="A2" s="39" t="s">
        <v>22</v>
      </c>
      <c r="B2" s="40" t="s">
        <v>2</v>
      </c>
      <c r="C2" s="40" t="s">
        <v>95</v>
      </c>
      <c r="D2" s="40" t="s">
        <v>24</v>
      </c>
      <c r="E2" s="40" t="s">
        <v>9</v>
      </c>
      <c r="F2" s="40" t="s">
        <v>25</v>
      </c>
      <c r="G2" s="40" t="s">
        <v>13</v>
      </c>
      <c r="H2" s="40" t="s">
        <v>26</v>
      </c>
      <c r="I2" s="40" t="s">
        <v>27</v>
      </c>
      <c r="J2" s="40" t="s">
        <v>17</v>
      </c>
      <c r="K2" s="40" t="s">
        <v>28</v>
      </c>
      <c r="L2" s="40" t="s">
        <v>29</v>
      </c>
      <c r="M2" s="40" t="s">
        <v>30</v>
      </c>
      <c r="N2" s="40" t="s">
        <v>31</v>
      </c>
      <c r="O2" s="40" t="s">
        <v>7</v>
      </c>
      <c r="P2" s="40" t="s">
        <v>32</v>
      </c>
      <c r="Q2" s="40" t="s">
        <v>33</v>
      </c>
      <c r="R2" s="40" t="s">
        <v>34</v>
      </c>
      <c r="S2" s="40" t="s">
        <v>35</v>
      </c>
      <c r="T2" s="40" t="s">
        <v>36</v>
      </c>
      <c r="U2" s="40" t="s">
        <v>11</v>
      </c>
      <c r="V2" s="41" t="s">
        <v>96</v>
      </c>
    </row>
    <row r="3" spans="1:22" s="54" customFormat="1" ht="50.1" customHeight="1">
      <c r="A3" s="39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55"/>
      <c r="T3" s="40"/>
      <c r="U3" s="40"/>
      <c r="V3" s="41"/>
    </row>
    <row r="4" spans="1:22" s="54" customFormat="1" ht="50.1" hidden="1" customHeight="1">
      <c r="A4" s="42">
        <v>45414</v>
      </c>
      <c r="B4" s="43" t="s">
        <v>89</v>
      </c>
      <c r="C4" s="43" t="s">
        <v>85</v>
      </c>
      <c r="D4" s="43" t="s">
        <v>87</v>
      </c>
      <c r="E4" s="44" t="s">
        <v>67</v>
      </c>
      <c r="F4" s="45" t="s">
        <v>91</v>
      </c>
      <c r="G4" s="44" t="s">
        <v>88</v>
      </c>
      <c r="H4" s="43">
        <v>19.84</v>
      </c>
      <c r="I4" s="43" t="s">
        <v>39</v>
      </c>
      <c r="J4" s="43" t="s">
        <v>54</v>
      </c>
      <c r="K4" s="43" t="s">
        <v>40</v>
      </c>
      <c r="L4" s="43" t="s">
        <v>41</v>
      </c>
      <c r="M4" s="43" t="s">
        <v>37</v>
      </c>
      <c r="N4" s="43" t="s">
        <v>92</v>
      </c>
      <c r="O4" s="43" t="s">
        <v>8</v>
      </c>
      <c r="P4" s="46" t="s">
        <v>93</v>
      </c>
      <c r="Q4" s="47"/>
      <c r="R4" s="48" t="s">
        <v>84</v>
      </c>
      <c r="S4" s="49">
        <v>45414</v>
      </c>
      <c r="T4" s="48">
        <v>1</v>
      </c>
      <c r="U4" s="49" t="s">
        <v>90</v>
      </c>
      <c r="V4" s="50" t="s">
        <v>86</v>
      </c>
    </row>
    <row r="5" spans="1:22" s="54" customFormat="1" ht="50.1" customHeight="1">
      <c r="A5" s="42"/>
      <c r="B5" s="43"/>
      <c r="C5" s="43"/>
      <c r="D5" s="43"/>
      <c r="E5" s="44"/>
      <c r="F5" s="45"/>
      <c r="G5" s="44"/>
      <c r="H5" s="43"/>
      <c r="I5" s="43"/>
      <c r="J5" s="43"/>
      <c r="K5" s="43"/>
      <c r="L5" s="43"/>
      <c r="M5" s="43"/>
      <c r="N5" s="43"/>
      <c r="O5" s="43"/>
      <c r="P5" s="46"/>
      <c r="Q5" s="47"/>
      <c r="R5" s="48"/>
      <c r="S5" s="49"/>
      <c r="T5" s="48"/>
      <c r="U5" s="49"/>
      <c r="V5" s="50"/>
    </row>
    <row r="6" spans="1:22" s="54" customFormat="1" ht="50.1" customHeight="1">
      <c r="A6" s="42"/>
      <c r="B6" s="43"/>
      <c r="C6" s="43"/>
      <c r="D6" s="43"/>
      <c r="E6" s="44"/>
      <c r="F6" s="45"/>
      <c r="G6" s="44"/>
      <c r="H6" s="43"/>
      <c r="I6" s="43"/>
      <c r="J6" s="43"/>
      <c r="K6" s="43"/>
      <c r="L6" s="43"/>
      <c r="M6" s="43"/>
      <c r="N6" s="43"/>
      <c r="O6" s="43"/>
      <c r="P6" s="46"/>
      <c r="Q6" s="47"/>
      <c r="R6" s="48"/>
      <c r="S6" s="49"/>
      <c r="T6" s="48"/>
      <c r="U6" s="52"/>
      <c r="V6" s="50"/>
    </row>
    <row r="7" spans="1:22" s="54" customFormat="1" ht="50.1" customHeight="1">
      <c r="A7" s="42"/>
      <c r="B7" s="43"/>
      <c r="C7" s="43"/>
      <c r="D7" s="43"/>
      <c r="E7" s="44"/>
      <c r="F7" s="45"/>
      <c r="G7" s="44"/>
      <c r="H7" s="43"/>
      <c r="I7" s="43"/>
      <c r="J7" s="43"/>
      <c r="K7" s="43"/>
      <c r="L7" s="43"/>
      <c r="M7" s="43"/>
      <c r="N7" s="43"/>
      <c r="O7" s="43"/>
      <c r="P7" s="46"/>
      <c r="Q7" s="47"/>
      <c r="R7" s="48"/>
      <c r="S7" s="49"/>
      <c r="T7" s="48"/>
      <c r="U7" s="49"/>
      <c r="V7" s="50"/>
    </row>
    <row r="8" spans="1:22" s="54" customFormat="1" ht="50.1" customHeight="1">
      <c r="A8" s="42"/>
      <c r="B8" s="43"/>
      <c r="C8" s="43"/>
      <c r="D8" s="43"/>
      <c r="E8" s="44"/>
      <c r="F8" s="45"/>
      <c r="G8" s="44"/>
      <c r="H8" s="43"/>
      <c r="I8" s="43"/>
      <c r="J8" s="43"/>
      <c r="K8" s="43"/>
      <c r="L8" s="43"/>
      <c r="M8" s="43"/>
      <c r="N8" s="43"/>
      <c r="O8" s="43"/>
      <c r="P8" s="46"/>
      <c r="Q8" s="47"/>
      <c r="R8" s="48"/>
      <c r="S8" s="49"/>
      <c r="T8" s="48"/>
      <c r="U8" s="49"/>
      <c r="V8" s="50"/>
    </row>
    <row r="9" spans="1:22" s="54" customFormat="1" ht="50.1" customHeight="1">
      <c r="A9" s="20"/>
      <c r="B9" s="3"/>
      <c r="C9" s="3"/>
      <c r="D9" s="3"/>
      <c r="E9" s="3"/>
      <c r="F9" s="21"/>
      <c r="G9" s="22"/>
      <c r="H9" s="22"/>
      <c r="I9" s="3"/>
      <c r="J9" s="3"/>
      <c r="K9" s="3"/>
      <c r="L9" s="3"/>
      <c r="M9" s="3"/>
      <c r="N9" s="3"/>
      <c r="O9" s="3"/>
      <c r="P9" s="21"/>
      <c r="Q9" s="21"/>
      <c r="R9" s="3"/>
      <c r="S9" s="3"/>
      <c r="T9" s="3"/>
      <c r="U9" s="3"/>
      <c r="V9" s="3"/>
    </row>
    <row r="10" spans="1:22" s="54" customFormat="1" ht="50.1" customHeight="1">
      <c r="A10" s="20"/>
      <c r="B10" s="3"/>
      <c r="C10" s="3"/>
      <c r="D10" s="3"/>
      <c r="E10" s="3"/>
      <c r="F10" s="21"/>
      <c r="G10" s="22"/>
      <c r="H10" s="22"/>
      <c r="I10" s="3"/>
      <c r="J10" s="3"/>
      <c r="K10" s="3"/>
      <c r="L10" s="3"/>
      <c r="M10" s="3"/>
      <c r="N10" s="3"/>
      <c r="O10" s="3"/>
      <c r="P10" s="21"/>
      <c r="Q10" s="21"/>
      <c r="R10" s="3"/>
      <c r="S10" s="3"/>
      <c r="T10" s="3"/>
      <c r="U10" s="3"/>
      <c r="V10" s="3"/>
    </row>
    <row r="11" spans="1:22" s="54" customFormat="1" ht="50.1" customHeight="1">
      <c r="A11" s="20"/>
      <c r="B11" s="3"/>
      <c r="C11" s="3"/>
      <c r="D11" s="3"/>
      <c r="E11" s="3"/>
      <c r="F11" s="21"/>
      <c r="G11" s="22"/>
      <c r="H11" s="22"/>
      <c r="I11" s="3"/>
      <c r="J11" s="3"/>
      <c r="K11" s="3"/>
      <c r="L11" s="3"/>
      <c r="M11" s="3"/>
      <c r="N11" s="3"/>
      <c r="O11" s="3"/>
      <c r="P11" s="21"/>
      <c r="Q11" s="21"/>
      <c r="R11" s="3"/>
      <c r="S11" s="3"/>
      <c r="T11" s="3"/>
      <c r="U11" s="3"/>
      <c r="V11" s="3"/>
    </row>
    <row r="12" spans="1:22" s="54" customFormat="1" ht="50.1" customHeight="1">
      <c r="A12" s="5"/>
      <c r="B12"/>
      <c r="C12"/>
      <c r="D12"/>
      <c r="E12"/>
      <c r="F12" s="10"/>
      <c r="G12" s="11"/>
      <c r="H12" s="11"/>
      <c r="I12"/>
      <c r="J12"/>
      <c r="K12"/>
      <c r="L12"/>
      <c r="M12"/>
      <c r="N12"/>
      <c r="O12"/>
      <c r="P12" s="10"/>
      <c r="Q12" s="10"/>
      <c r="R12"/>
      <c r="S12"/>
      <c r="T12"/>
      <c r="U12"/>
      <c r="V12"/>
    </row>
    <row r="13" spans="1:22" s="54" customFormat="1" ht="50.1" customHeight="1">
      <c r="A13" s="5"/>
      <c r="B13"/>
      <c r="C13"/>
      <c r="D13"/>
      <c r="E13"/>
      <c r="F13" s="10"/>
      <c r="G13" s="11"/>
      <c r="H13" s="11"/>
      <c r="I13"/>
      <c r="J13"/>
      <c r="K13"/>
      <c r="L13"/>
      <c r="M13"/>
      <c r="N13"/>
      <c r="O13"/>
      <c r="P13" s="10"/>
      <c r="Q13" s="10"/>
      <c r="R13"/>
      <c r="S13"/>
      <c r="T13"/>
      <c r="U13"/>
      <c r="V13"/>
    </row>
    <row r="14" spans="1:22" s="54" customFormat="1" ht="50.1" customHeight="1">
      <c r="A14" s="5"/>
      <c r="B14"/>
      <c r="C14"/>
      <c r="D14"/>
      <c r="E14"/>
      <c r="F14" s="10"/>
      <c r="G14" s="11"/>
      <c r="H14" s="11"/>
      <c r="I14"/>
      <c r="J14"/>
      <c r="K14"/>
      <c r="L14"/>
      <c r="M14"/>
      <c r="N14"/>
      <c r="O14"/>
      <c r="P14" s="10"/>
      <c r="Q14" s="10"/>
      <c r="R14"/>
      <c r="S14"/>
      <c r="T14"/>
      <c r="U14"/>
      <c r="V14"/>
    </row>
    <row r="15" spans="1:22" s="54" customFormat="1" ht="43.5" customHeight="1">
      <c r="A15" s="5"/>
      <c r="B15"/>
      <c r="C15"/>
      <c r="D15"/>
      <c r="E15"/>
      <c r="F15" s="10"/>
      <c r="G15" s="11"/>
      <c r="H15" s="11"/>
      <c r="I15"/>
      <c r="J15"/>
      <c r="K15"/>
      <c r="L15"/>
      <c r="M15"/>
      <c r="N15"/>
      <c r="O15"/>
      <c r="P15" s="10"/>
      <c r="Q15" s="10"/>
      <c r="R15"/>
      <c r="S15"/>
      <c r="T15"/>
      <c r="U15"/>
      <c r="V15"/>
    </row>
    <row r="16" spans="1:22" s="54" customFormat="1" ht="43.5" customHeight="1">
      <c r="A16" s="5"/>
      <c r="B16"/>
      <c r="C16"/>
      <c r="D16"/>
      <c r="E16"/>
      <c r="F16" s="10"/>
      <c r="G16" s="11"/>
      <c r="H16" s="11"/>
      <c r="I16"/>
      <c r="J16"/>
      <c r="K16"/>
      <c r="L16"/>
      <c r="M16"/>
      <c r="N16"/>
      <c r="O16"/>
      <c r="P16" s="10"/>
      <c r="Q16" s="10"/>
      <c r="R16"/>
      <c r="S16"/>
      <c r="T16"/>
      <c r="U16"/>
      <c r="V16"/>
    </row>
    <row r="17" spans="1:23" s="54" customFormat="1" ht="43.5" customHeight="1">
      <c r="A17" s="5"/>
      <c r="B17"/>
      <c r="C17"/>
      <c r="D17"/>
      <c r="E17"/>
      <c r="F17" s="10"/>
      <c r="G17" s="11"/>
      <c r="H17" s="11"/>
      <c r="I17"/>
      <c r="J17"/>
      <c r="K17"/>
      <c r="L17"/>
      <c r="M17"/>
      <c r="N17"/>
      <c r="O17"/>
      <c r="P17" s="10"/>
      <c r="Q17" s="10"/>
      <c r="R17"/>
      <c r="S17"/>
      <c r="T17"/>
      <c r="U17"/>
      <c r="V17"/>
    </row>
    <row r="18" spans="1:23" s="54" customFormat="1" ht="43.5" customHeight="1">
      <c r="A18" s="5"/>
      <c r="B18"/>
      <c r="C18"/>
      <c r="D18"/>
      <c r="E18"/>
      <c r="F18" s="10"/>
      <c r="G18" s="11"/>
      <c r="H18" s="11"/>
      <c r="I18"/>
      <c r="J18"/>
      <c r="K18"/>
      <c r="L18"/>
      <c r="M18"/>
      <c r="N18"/>
      <c r="O18"/>
      <c r="P18" s="10"/>
      <c r="Q18" s="10"/>
      <c r="R18"/>
      <c r="S18"/>
      <c r="T18"/>
      <c r="U18"/>
      <c r="V18"/>
    </row>
    <row r="19" spans="1:23" s="7" customFormat="1" ht="43.5" customHeight="1">
      <c r="A19" s="5"/>
      <c r="B19"/>
      <c r="C19"/>
      <c r="D19"/>
      <c r="E19"/>
      <c r="F19" s="10"/>
      <c r="G19" s="11"/>
      <c r="H19" s="11"/>
      <c r="I19"/>
      <c r="J19"/>
      <c r="K19"/>
      <c r="L19"/>
      <c r="M19"/>
      <c r="N19"/>
      <c r="O19"/>
      <c r="P19" s="10"/>
      <c r="Q19" s="10"/>
      <c r="R19"/>
      <c r="S19"/>
      <c r="T19"/>
      <c r="U19"/>
      <c r="V19"/>
    </row>
    <row r="20" spans="1:23" s="7" customFormat="1" ht="43.5" customHeight="1">
      <c r="A20" s="5"/>
      <c r="B20"/>
      <c r="C20"/>
      <c r="D20"/>
      <c r="E20"/>
      <c r="F20" s="10"/>
      <c r="G20" s="11"/>
      <c r="H20" s="11"/>
      <c r="I20"/>
      <c r="J20"/>
      <c r="K20"/>
      <c r="L20"/>
      <c r="M20"/>
      <c r="N20"/>
      <c r="O20"/>
      <c r="P20" s="10"/>
      <c r="Q20" s="10"/>
      <c r="R20"/>
      <c r="S20"/>
      <c r="T20"/>
      <c r="U20"/>
      <c r="V20"/>
    </row>
    <row r="21" spans="1:23" s="51" customFormat="1" ht="43.5" customHeight="1">
      <c r="A21" s="5"/>
      <c r="B21"/>
      <c r="C21"/>
      <c r="D21"/>
      <c r="E21"/>
      <c r="F21" s="10"/>
      <c r="G21" s="11"/>
      <c r="H21" s="11"/>
      <c r="I21"/>
      <c r="J21"/>
      <c r="K21"/>
      <c r="L21"/>
      <c r="M21"/>
      <c r="N21"/>
      <c r="O21"/>
      <c r="P21" s="10"/>
      <c r="Q21" s="10"/>
      <c r="R21"/>
      <c r="S21"/>
      <c r="T21"/>
      <c r="U21"/>
      <c r="V21"/>
    </row>
    <row r="22" spans="1:23" s="51" customFormat="1" ht="69.95" customHeight="1">
      <c r="A22" s="5"/>
      <c r="B22"/>
      <c r="C22"/>
      <c r="D22"/>
      <c r="E22"/>
      <c r="F22" s="10"/>
      <c r="G22" s="11"/>
      <c r="H22" s="11"/>
      <c r="I22"/>
      <c r="J22"/>
      <c r="K22"/>
      <c r="L22"/>
      <c r="M22"/>
      <c r="N22"/>
      <c r="O22"/>
      <c r="P22" s="10"/>
      <c r="Q22" s="10"/>
      <c r="R22"/>
      <c r="S22"/>
      <c r="T22"/>
      <c r="U22"/>
      <c r="V22"/>
    </row>
    <row r="23" spans="1:23" s="51" customFormat="1" ht="69.95" customHeight="1">
      <c r="A23" s="5"/>
      <c r="B23"/>
      <c r="C23"/>
      <c r="D23"/>
      <c r="E23"/>
      <c r="F23" s="10"/>
      <c r="G23" s="11"/>
      <c r="H23" s="11"/>
      <c r="I23"/>
      <c r="J23"/>
      <c r="K23"/>
      <c r="L23"/>
      <c r="M23"/>
      <c r="N23"/>
      <c r="O23"/>
      <c r="P23" s="10"/>
      <c r="Q23" s="10"/>
      <c r="R23"/>
      <c r="S23"/>
      <c r="T23"/>
      <c r="U23"/>
      <c r="V23"/>
    </row>
    <row r="24" spans="1:23" s="51" customFormat="1" ht="69.95" customHeight="1">
      <c r="A24" s="5"/>
      <c r="B24"/>
      <c r="C24"/>
      <c r="D24"/>
      <c r="E24"/>
      <c r="F24" s="10"/>
      <c r="G24" s="11"/>
      <c r="H24" s="11"/>
      <c r="I24"/>
      <c r="J24"/>
      <c r="K24"/>
      <c r="L24"/>
      <c r="M24"/>
      <c r="N24"/>
      <c r="O24"/>
      <c r="P24" s="10"/>
      <c r="Q24" s="10"/>
      <c r="R24"/>
      <c r="S24"/>
      <c r="T24"/>
      <c r="U24"/>
      <c r="V24"/>
    </row>
    <row r="25" spans="1:23" s="51" customFormat="1" ht="69.95" customHeight="1">
      <c r="A25" s="5"/>
      <c r="B25"/>
      <c r="C25"/>
      <c r="D25"/>
      <c r="E25"/>
      <c r="F25" s="10"/>
      <c r="G25" s="11"/>
      <c r="H25" s="11"/>
      <c r="I25"/>
      <c r="J25"/>
      <c r="K25"/>
      <c r="L25"/>
      <c r="M25"/>
      <c r="N25"/>
      <c r="O25"/>
      <c r="P25" s="10"/>
      <c r="Q25" s="10"/>
      <c r="R25"/>
      <c r="S25"/>
      <c r="T25"/>
      <c r="U25"/>
      <c r="V25"/>
      <c r="W25" s="53"/>
    </row>
    <row r="26" spans="1:23" s="7" customFormat="1" ht="69.95" customHeight="1">
      <c r="A26" s="5"/>
      <c r="B26"/>
      <c r="C26"/>
      <c r="D26"/>
      <c r="E26"/>
      <c r="F26" s="10"/>
      <c r="G26" s="11"/>
      <c r="H26" s="11"/>
      <c r="I26"/>
      <c r="J26"/>
      <c r="K26"/>
      <c r="L26"/>
      <c r="M26"/>
      <c r="N26"/>
      <c r="O26"/>
      <c r="P26" s="10"/>
      <c r="Q26" s="10"/>
      <c r="R26"/>
      <c r="S26"/>
      <c r="T26"/>
      <c r="U26"/>
      <c r="V26"/>
      <c r="W26" s="14"/>
    </row>
    <row r="27" spans="1:23">
      <c r="A27" s="5"/>
      <c r="W27" s="3"/>
    </row>
    <row r="28" spans="1:23">
      <c r="A28" s="5"/>
      <c r="W28" s="3"/>
    </row>
    <row r="29" spans="1:23">
      <c r="A29" s="5"/>
      <c r="W29" s="3"/>
    </row>
    <row r="30" spans="1:23">
      <c r="A30" s="5"/>
    </row>
    <row r="31" spans="1:23">
      <c r="A31" s="5"/>
    </row>
    <row r="32" spans="1:23">
      <c r="A32" s="5"/>
    </row>
    <row r="33" spans="1:1">
      <c r="A33" s="5"/>
    </row>
    <row r="34" spans="1:1">
      <c r="A34" s="5"/>
    </row>
    <row r="35" spans="1:1">
      <c r="A35" s="5"/>
    </row>
    <row r="36" spans="1:1">
      <c r="A36" s="5"/>
    </row>
    <row r="37" spans="1:1">
      <c r="A37" s="5"/>
    </row>
    <row r="38" spans="1:1">
      <c r="A38" s="5"/>
    </row>
    <row r="39" spans="1:1">
      <c r="A39" s="5"/>
    </row>
    <row r="40" spans="1:1">
      <c r="A40" s="5"/>
    </row>
    <row r="41" spans="1:1">
      <c r="A41" s="5"/>
    </row>
    <row r="42" spans="1:1">
      <c r="A42" s="5"/>
    </row>
    <row r="43" spans="1:1">
      <c r="A43" s="5"/>
    </row>
    <row r="44" spans="1:1">
      <c r="A44" s="5"/>
    </row>
    <row r="45" spans="1:1">
      <c r="A45" s="5"/>
    </row>
    <row r="46" spans="1:1">
      <c r="A46" s="5"/>
    </row>
    <row r="47" spans="1:1">
      <c r="A47" s="5"/>
    </row>
    <row r="48" spans="1:1">
      <c r="A48" s="5"/>
    </row>
    <row r="49" spans="1:1">
      <c r="A49" s="5"/>
    </row>
    <row r="50" spans="1:1">
      <c r="A50" s="5"/>
    </row>
    <row r="51" spans="1:1">
      <c r="A51" s="5"/>
    </row>
    <row r="52" spans="1:1">
      <c r="A52" s="5"/>
    </row>
    <row r="53" spans="1:1">
      <c r="A53" s="5"/>
    </row>
    <row r="54" spans="1:1">
      <c r="A54" s="5"/>
    </row>
    <row r="55" spans="1:1">
      <c r="A55" s="5"/>
    </row>
    <row r="56" spans="1:1">
      <c r="A56" s="5"/>
    </row>
    <row r="57" spans="1:1">
      <c r="A57" s="5"/>
    </row>
    <row r="58" spans="1:1">
      <c r="A58" s="5"/>
    </row>
    <row r="59" spans="1:1">
      <c r="A59" s="5"/>
    </row>
    <row r="60" spans="1:1">
      <c r="A60" s="5"/>
    </row>
    <row r="61" spans="1:1">
      <c r="A61" s="5"/>
    </row>
    <row r="62" spans="1:1">
      <c r="A62" s="5"/>
    </row>
    <row r="63" spans="1:1">
      <c r="A63" s="5"/>
    </row>
    <row r="64" spans="1:1">
      <c r="A64" s="5"/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88" spans="1:1">
      <c r="A88" s="5"/>
    </row>
    <row r="89" spans="1:1">
      <c r="A89" s="5"/>
    </row>
    <row r="90" spans="1:1">
      <c r="A90" s="5"/>
    </row>
    <row r="91" spans="1:1">
      <c r="A91" s="5"/>
    </row>
    <row r="92" spans="1:1">
      <c r="A92" s="5"/>
    </row>
    <row r="93" spans="1:1">
      <c r="A93" s="5"/>
    </row>
    <row r="94" spans="1:1">
      <c r="A94" s="5"/>
    </row>
    <row r="95" spans="1:1">
      <c r="A95" s="5"/>
    </row>
    <row r="96" spans="1:1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  <row r="108" spans="1:1">
      <c r="A108" s="5"/>
    </row>
    <row r="109" spans="1:1">
      <c r="A109" s="5"/>
    </row>
    <row r="110" spans="1:1">
      <c r="A110" s="5"/>
    </row>
    <row r="111" spans="1:1">
      <c r="A111" s="5"/>
    </row>
    <row r="112" spans="1:1">
      <c r="A112" s="5"/>
    </row>
    <row r="113" spans="1:1">
      <c r="A113" s="5"/>
    </row>
    <row r="114" spans="1:1">
      <c r="A114" s="5"/>
    </row>
    <row r="115" spans="1:1">
      <c r="A115" s="5"/>
    </row>
    <row r="116" spans="1:1">
      <c r="A116" s="5"/>
    </row>
    <row r="117" spans="1:1">
      <c r="A117" s="5"/>
    </row>
    <row r="118" spans="1:1">
      <c r="A118" s="5"/>
    </row>
    <row r="119" spans="1:1">
      <c r="A119" s="5"/>
    </row>
    <row r="120" spans="1:1">
      <c r="A120" s="5"/>
    </row>
    <row r="121" spans="1:1">
      <c r="A121" s="5"/>
    </row>
    <row r="122" spans="1:1">
      <c r="A122" s="5"/>
    </row>
    <row r="123" spans="1:1">
      <c r="A123" s="5"/>
    </row>
    <row r="124" spans="1:1">
      <c r="A124" s="5"/>
    </row>
    <row r="125" spans="1:1">
      <c r="A125" s="5"/>
    </row>
    <row r="126" spans="1:1">
      <c r="A126" s="5"/>
    </row>
    <row r="127" spans="1:1">
      <c r="A127" s="5"/>
    </row>
    <row r="128" spans="1:1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  <row r="136" spans="1:1">
      <c r="A136" s="5"/>
    </row>
    <row r="137" spans="1:1">
      <c r="A137" s="5"/>
    </row>
    <row r="138" spans="1:1">
      <c r="A138" s="5"/>
    </row>
    <row r="139" spans="1:1">
      <c r="A139" s="5"/>
    </row>
    <row r="140" spans="1:1">
      <c r="A140" s="5"/>
    </row>
    <row r="141" spans="1:1">
      <c r="A141" s="5"/>
    </row>
    <row r="142" spans="1:1">
      <c r="A142" s="5"/>
    </row>
    <row r="143" spans="1:1">
      <c r="A143" s="5"/>
    </row>
    <row r="144" spans="1:1">
      <c r="A144" s="5"/>
    </row>
    <row r="145" spans="1:1">
      <c r="A145" s="5"/>
    </row>
    <row r="146" spans="1:1">
      <c r="A146" s="5"/>
    </row>
    <row r="147" spans="1:1">
      <c r="A147" s="5"/>
    </row>
    <row r="148" spans="1:1">
      <c r="A148" s="5"/>
    </row>
    <row r="149" spans="1:1">
      <c r="A149" s="5"/>
    </row>
    <row r="150" spans="1:1">
      <c r="A150" s="5"/>
    </row>
    <row r="151" spans="1:1">
      <c r="A151" s="5"/>
    </row>
    <row r="152" spans="1:1">
      <c r="A152" s="5"/>
    </row>
    <row r="153" spans="1:1">
      <c r="A153" s="5"/>
    </row>
    <row r="154" spans="1:1">
      <c r="A154" s="5"/>
    </row>
    <row r="155" spans="1:1">
      <c r="A155" s="5"/>
    </row>
    <row r="156" spans="1:1">
      <c r="A156" s="5"/>
    </row>
    <row r="157" spans="1:1">
      <c r="A157" s="5"/>
    </row>
    <row r="158" spans="1:1">
      <c r="A158" s="5"/>
    </row>
    <row r="159" spans="1:1">
      <c r="A159" s="5"/>
    </row>
    <row r="160" spans="1:1">
      <c r="A160" s="5"/>
    </row>
    <row r="161" spans="1:1">
      <c r="A161" s="5"/>
    </row>
    <row r="162" spans="1:1">
      <c r="A162" s="5"/>
    </row>
    <row r="163" spans="1:1">
      <c r="A163" s="5"/>
    </row>
    <row r="164" spans="1:1">
      <c r="A164" s="5"/>
    </row>
    <row r="165" spans="1:1">
      <c r="A165" s="5"/>
    </row>
    <row r="166" spans="1:1">
      <c r="A166" s="5"/>
    </row>
    <row r="167" spans="1:1">
      <c r="A167" s="5"/>
    </row>
    <row r="168" spans="1:1">
      <c r="A168" s="5"/>
    </row>
    <row r="169" spans="1:1">
      <c r="A169" s="5"/>
    </row>
    <row r="170" spans="1:1">
      <c r="A170" s="5"/>
    </row>
    <row r="171" spans="1:1">
      <c r="A171" s="5"/>
    </row>
    <row r="172" spans="1:1">
      <c r="A172" s="5"/>
    </row>
  </sheetData>
  <sortState xmlns:xlrd2="http://schemas.microsoft.com/office/spreadsheetml/2017/richdata2" ref="A9:V173">
    <sortCondition descending="1" ref="B2:B173"/>
  </sortState>
  <mergeCells count="1">
    <mergeCell ref="A1:V1"/>
  </mergeCells>
  <phoneticPr fontId="6" type="noConversion"/>
  <conditionalFormatting sqref="V2:V1048576">
    <cfRule type="containsText" dxfId="28" priority="82" operator="containsText" text="abierto">
      <formula>NOT(ISERROR(SEARCH("abierto",V2)))</formula>
    </cfRule>
    <cfRule type="containsText" dxfId="27" priority="83" operator="containsText" text="Cerrado">
      <formula>NOT(ISERROR(SEARCH("Cerrado",V2)))</formula>
    </cfRule>
  </conditionalFormatting>
  <conditionalFormatting sqref="V4:V8">
    <cfRule type="containsText" dxfId="26" priority="61" operator="containsText" text="Cerrado+$X$4">
      <formula>NOT(ISERROR(SEARCH("Cerrado+$X$4",V4)))</formula>
    </cfRule>
    <cfRule type="containsText" dxfId="25" priority="62" operator="containsText" text="Abierto">
      <formula>NOT(ISERROR(SEARCH("Abierto",V4)))</formula>
    </cfRule>
  </conditionalFormatting>
  <pageMargins left="0.70866141732283472" right="0.70866141732283472" top="0.15748031496062992" bottom="0.74803149606299213" header="0.31496062992125984" footer="0.31496062992125984"/>
  <pageSetup scale="92" orientation="landscape" r:id="rId1"/>
  <headerFooter>
    <oddFooter>&amp;R&amp;"Abadi Extra Light,Normal"ACF34 - Primera - 27/05/2024                            Página: &amp;P de &amp;N</oddFooter>
  </headerFooter>
  <colBreaks count="2" manualBreakCount="2">
    <brk id="10" max="8" man="1"/>
    <brk id="16" max="8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146"/>
  <sheetViews>
    <sheetView view="pageLayout" zoomScaleNormal="100" workbookViewId="0">
      <selection activeCell="E102" sqref="E102"/>
    </sheetView>
  </sheetViews>
  <sheetFormatPr baseColWidth="10" defaultColWidth="11.42578125" defaultRowHeight="15"/>
  <cols>
    <col min="1" max="1" width="28.28515625" bestFit="1" customWidth="1"/>
    <col min="2" max="2" width="22.42578125" customWidth="1"/>
    <col min="3" max="6" width="12.5703125" bestFit="1" customWidth="1"/>
    <col min="7" max="7" width="15.140625" bestFit="1" customWidth="1"/>
    <col min="8" max="8" width="12.5703125" bestFit="1" customWidth="1"/>
    <col min="9" max="9" width="12.5703125" customWidth="1"/>
    <col min="10" max="10" width="9.85546875" customWidth="1"/>
    <col min="11" max="11" width="6" customWidth="1"/>
    <col min="12" max="12" width="15.140625" customWidth="1"/>
    <col min="13" max="13" width="12.5703125" customWidth="1"/>
    <col min="14" max="14" width="12.85546875" customWidth="1"/>
    <col min="15" max="15" width="15.85546875" customWidth="1"/>
    <col min="16" max="16" width="12.5703125" bestFit="1" customWidth="1"/>
  </cols>
  <sheetData>
    <row r="1" spans="1:7" ht="15" customHeight="1">
      <c r="A1" s="58" t="s">
        <v>42</v>
      </c>
      <c r="B1" s="58"/>
      <c r="C1" s="58"/>
      <c r="D1" s="58"/>
      <c r="E1" s="58"/>
      <c r="F1" s="58"/>
      <c r="G1" s="58"/>
    </row>
    <row r="2" spans="1:7" ht="15" customHeight="1">
      <c r="A2" s="58"/>
      <c r="B2" s="58"/>
      <c r="C2" s="58"/>
      <c r="D2" s="58"/>
      <c r="E2" s="58"/>
      <c r="F2" s="58"/>
      <c r="G2" s="58"/>
    </row>
    <row r="4" spans="1:7">
      <c r="A4" s="9" t="s">
        <v>43</v>
      </c>
      <c r="B4" s="9" t="s">
        <v>44</v>
      </c>
    </row>
    <row r="5" spans="1:7">
      <c r="A5" s="9" t="s">
        <v>45</v>
      </c>
      <c r="B5" t="s">
        <v>19</v>
      </c>
      <c r="C5" t="s">
        <v>40</v>
      </c>
      <c r="D5" t="s">
        <v>46</v>
      </c>
    </row>
    <row r="6" spans="1:7">
      <c r="A6" s="10">
        <v>4</v>
      </c>
      <c r="C6">
        <v>1</v>
      </c>
      <c r="D6">
        <v>1</v>
      </c>
    </row>
    <row r="7" spans="1:7">
      <c r="A7" s="10">
        <v>2</v>
      </c>
      <c r="B7">
        <v>1</v>
      </c>
      <c r="D7">
        <v>1</v>
      </c>
    </row>
    <row r="8" spans="1:7">
      <c r="A8" s="10" t="s">
        <v>46</v>
      </c>
      <c r="B8">
        <v>1</v>
      </c>
      <c r="C8">
        <v>1</v>
      </c>
      <c r="D8">
        <v>2</v>
      </c>
    </row>
    <row r="31" spans="1:2">
      <c r="A31" s="9" t="s">
        <v>27</v>
      </c>
      <c r="B31" t="s">
        <v>83</v>
      </c>
    </row>
    <row r="33" spans="1:3">
      <c r="A33" s="9" t="s">
        <v>47</v>
      </c>
      <c r="B33" s="9" t="s">
        <v>44</v>
      </c>
    </row>
    <row r="34" spans="1:3">
      <c r="A34" s="9" t="s">
        <v>45</v>
      </c>
      <c r="B34" t="s">
        <v>5</v>
      </c>
      <c r="C34" t="s">
        <v>46</v>
      </c>
    </row>
    <row r="35" spans="1:3">
      <c r="A35" s="10">
        <v>2</v>
      </c>
      <c r="B35">
        <v>1</v>
      </c>
      <c r="C35">
        <v>1</v>
      </c>
    </row>
    <row r="36" spans="1:3">
      <c r="A36" s="10">
        <v>4</v>
      </c>
      <c r="B36">
        <v>1</v>
      </c>
      <c r="C36">
        <v>1</v>
      </c>
    </row>
    <row r="37" spans="1:3">
      <c r="A37" s="10" t="s">
        <v>46</v>
      </c>
      <c r="B37">
        <v>2</v>
      </c>
      <c r="C37">
        <v>2</v>
      </c>
    </row>
    <row r="61" spans="1:2">
      <c r="A61" s="9" t="s">
        <v>27</v>
      </c>
      <c r="B61" t="s">
        <v>83</v>
      </c>
    </row>
    <row r="63" spans="1:2">
      <c r="A63" s="9" t="s">
        <v>48</v>
      </c>
      <c r="B63" s="9" t="s">
        <v>44</v>
      </c>
    </row>
    <row r="64" spans="1:2">
      <c r="B64" t="s">
        <v>46</v>
      </c>
    </row>
    <row r="65" spans="1:1">
      <c r="A65" s="9" t="s">
        <v>45</v>
      </c>
    </row>
    <row r="66" spans="1:1">
      <c r="A66" s="10" t="s">
        <v>46</v>
      </c>
    </row>
    <row r="94" spans="1:2">
      <c r="A94" s="9" t="s">
        <v>23</v>
      </c>
      <c r="B94" t="s">
        <v>83</v>
      </c>
    </row>
    <row r="95" spans="1:2">
      <c r="A95" s="9" t="s">
        <v>27</v>
      </c>
      <c r="B95" t="s">
        <v>83</v>
      </c>
    </row>
    <row r="97" spans="1:14">
      <c r="A97" s="9" t="s">
        <v>49</v>
      </c>
      <c r="B97" s="9" t="s">
        <v>44</v>
      </c>
    </row>
    <row r="98" spans="1:14">
      <c r="A98" s="9" t="s">
        <v>45</v>
      </c>
      <c r="B98" t="s">
        <v>5</v>
      </c>
      <c r="C98" t="s">
        <v>46</v>
      </c>
    </row>
    <row r="99" spans="1:14">
      <c r="A99" s="10" t="s">
        <v>80</v>
      </c>
      <c r="B99">
        <v>1</v>
      </c>
      <c r="C99">
        <v>1</v>
      </c>
    </row>
    <row r="100" spans="1:14">
      <c r="A100" s="10" t="s">
        <v>81</v>
      </c>
      <c r="B100">
        <v>1</v>
      </c>
      <c r="C100">
        <v>1</v>
      </c>
    </row>
    <row r="101" spans="1:14">
      <c r="A101" s="10" t="s">
        <v>46</v>
      </c>
      <c r="B101">
        <v>2</v>
      </c>
      <c r="C101">
        <v>2</v>
      </c>
    </row>
    <row r="108" spans="1:14">
      <c r="N108" s="12"/>
    </row>
    <row r="137" spans="1:3">
      <c r="A137" s="10"/>
    </row>
    <row r="138" spans="1:3">
      <c r="A138" s="10"/>
    </row>
    <row r="139" spans="1:3">
      <c r="A139" s="10"/>
    </row>
    <row r="141" spans="1:3">
      <c r="A141" s="9" t="s">
        <v>23</v>
      </c>
      <c r="B141" t="s">
        <v>83</v>
      </c>
    </row>
    <row r="143" spans="1:3">
      <c r="A143" s="9" t="s">
        <v>50</v>
      </c>
      <c r="B143" s="9" t="s">
        <v>44</v>
      </c>
    </row>
    <row r="144" spans="1:3">
      <c r="A144" s="9" t="s">
        <v>45</v>
      </c>
      <c r="B144" t="s">
        <v>79</v>
      </c>
      <c r="C144" t="s">
        <v>46</v>
      </c>
    </row>
    <row r="145" spans="1:3">
      <c r="A145" s="10" t="s">
        <v>5</v>
      </c>
      <c r="B145">
        <v>2</v>
      </c>
      <c r="C145">
        <v>2</v>
      </c>
    </row>
    <row r="146" spans="1:3">
      <c r="A146" s="10" t="s">
        <v>46</v>
      </c>
      <c r="B146">
        <v>2</v>
      </c>
      <c r="C146">
        <v>2</v>
      </c>
    </row>
  </sheetData>
  <mergeCells count="1">
    <mergeCell ref="A1:G2"/>
  </mergeCells>
  <pageMargins left="0.7" right="0.7" top="0.75" bottom="0.75" header="0.3" footer="0.3"/>
  <pageSetup orientation="portrait" r:id="rId6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C25"/>
  <sheetViews>
    <sheetView topLeftCell="A28" workbookViewId="0">
      <selection activeCell="E31" sqref="E31"/>
    </sheetView>
  </sheetViews>
  <sheetFormatPr baseColWidth="10" defaultColWidth="11.42578125" defaultRowHeight="15"/>
  <cols>
    <col min="1" max="1" width="43" bestFit="1" customWidth="1"/>
    <col min="2" max="2" width="22.42578125" customWidth="1"/>
    <col min="3" max="4" width="12.5703125" bestFit="1" customWidth="1"/>
    <col min="5" max="5" width="12.5703125" customWidth="1"/>
    <col min="6" max="6" width="46.5703125" bestFit="1" customWidth="1"/>
    <col min="7" max="7" width="22" bestFit="1" customWidth="1"/>
    <col min="8" max="8" width="33.7109375" bestFit="1" customWidth="1"/>
    <col min="9" max="9" width="15" bestFit="1" customWidth="1"/>
    <col min="10" max="10" width="32.5703125" bestFit="1" customWidth="1"/>
    <col min="11" max="11" width="9.5703125" customWidth="1"/>
    <col min="12" max="12" width="16.140625" bestFit="1" customWidth="1"/>
    <col min="13" max="13" width="11" customWidth="1"/>
    <col min="14" max="14" width="12.5703125" bestFit="1" customWidth="1"/>
  </cols>
  <sheetData>
    <row r="2" spans="1:3">
      <c r="A2" s="9" t="s">
        <v>23</v>
      </c>
      <c r="B2" t="s">
        <v>83</v>
      </c>
    </row>
    <row r="4" spans="1:3">
      <c r="A4" s="9" t="s">
        <v>51</v>
      </c>
      <c r="B4" s="9" t="s">
        <v>44</v>
      </c>
    </row>
    <row r="5" spans="1:3">
      <c r="A5" s="9" t="s">
        <v>45</v>
      </c>
      <c r="B5" t="s">
        <v>5</v>
      </c>
      <c r="C5" t="s">
        <v>46</v>
      </c>
    </row>
    <row r="6" spans="1:3">
      <c r="A6" s="10" t="s">
        <v>82</v>
      </c>
      <c r="B6">
        <v>2</v>
      </c>
      <c r="C6">
        <v>2</v>
      </c>
    </row>
    <row r="7" spans="1:3">
      <c r="A7" s="10" t="s">
        <v>46</v>
      </c>
      <c r="B7">
        <v>2</v>
      </c>
      <c r="C7">
        <v>2</v>
      </c>
    </row>
    <row r="18" spans="1:3">
      <c r="A18" s="9" t="s">
        <v>27</v>
      </c>
      <c r="B18" t="s">
        <v>83</v>
      </c>
    </row>
    <row r="19" spans="1:3">
      <c r="A19" s="9" t="s">
        <v>23</v>
      </c>
      <c r="B19" t="s">
        <v>83</v>
      </c>
    </row>
    <row r="21" spans="1:3">
      <c r="A21" s="9" t="s">
        <v>52</v>
      </c>
      <c r="B21" s="9" t="s">
        <v>44</v>
      </c>
    </row>
    <row r="22" spans="1:3">
      <c r="A22" s="9" t="s">
        <v>45</v>
      </c>
      <c r="B22" t="s">
        <v>5</v>
      </c>
      <c r="C22" t="s">
        <v>46</v>
      </c>
    </row>
    <row r="23" spans="1:3">
      <c r="A23" s="10" t="s">
        <v>67</v>
      </c>
      <c r="B23">
        <v>1</v>
      </c>
      <c r="C23">
        <v>1</v>
      </c>
    </row>
    <row r="24" spans="1:3">
      <c r="A24" s="10" t="s">
        <v>38</v>
      </c>
      <c r="B24">
        <v>1</v>
      </c>
      <c r="C24">
        <v>1</v>
      </c>
    </row>
    <row r="25" spans="1:3">
      <c r="A25" s="10" t="s">
        <v>46</v>
      </c>
      <c r="B25">
        <v>2</v>
      </c>
      <c r="C25">
        <v>2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H16"/>
  <sheetViews>
    <sheetView workbookViewId="0">
      <selection activeCell="D21" sqref="D21"/>
    </sheetView>
  </sheetViews>
  <sheetFormatPr baseColWidth="10" defaultColWidth="11.42578125" defaultRowHeight="15"/>
  <cols>
    <col min="1" max="1" width="28.7109375" customWidth="1"/>
    <col min="2" max="2" width="21.7109375" customWidth="1"/>
    <col min="3" max="3" width="28.140625" customWidth="1"/>
    <col min="4" max="4" width="24.28515625" customWidth="1"/>
    <col min="5" max="5" width="26.42578125" customWidth="1"/>
    <col min="6" max="6" width="17.85546875" customWidth="1"/>
    <col min="7" max="7" width="20" customWidth="1"/>
    <col min="8" max="8" width="48.5703125" customWidth="1"/>
  </cols>
  <sheetData>
    <row r="1" spans="1:8" ht="31.5">
      <c r="A1" s="8" t="s">
        <v>27</v>
      </c>
      <c r="B1" s="8" t="s">
        <v>17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7</v>
      </c>
      <c r="H1" s="8" t="s">
        <v>53</v>
      </c>
    </row>
    <row r="2" spans="1:8">
      <c r="A2" t="s">
        <v>39</v>
      </c>
      <c r="B2" t="s">
        <v>54</v>
      </c>
      <c r="C2" t="s">
        <v>19</v>
      </c>
      <c r="D2" t="s">
        <v>21</v>
      </c>
      <c r="E2" t="s">
        <v>5</v>
      </c>
      <c r="F2" t="s">
        <v>55</v>
      </c>
      <c r="G2" t="s">
        <v>56</v>
      </c>
      <c r="H2" t="s">
        <v>57</v>
      </c>
    </row>
    <row r="3" spans="1:8">
      <c r="A3" t="s">
        <v>58</v>
      </c>
      <c r="B3" t="s">
        <v>59</v>
      </c>
      <c r="C3" t="s">
        <v>40</v>
      </c>
      <c r="D3" t="s">
        <v>41</v>
      </c>
      <c r="E3" t="s">
        <v>60</v>
      </c>
      <c r="F3" t="s">
        <v>61</v>
      </c>
      <c r="G3" t="s">
        <v>8</v>
      </c>
      <c r="H3" t="s">
        <v>38</v>
      </c>
    </row>
    <row r="4" spans="1:8">
      <c r="A4" t="s">
        <v>16</v>
      </c>
      <c r="B4" t="s">
        <v>62</v>
      </c>
      <c r="C4" t="s">
        <v>63</v>
      </c>
      <c r="E4" t="s">
        <v>37</v>
      </c>
      <c r="F4" t="s">
        <v>64</v>
      </c>
      <c r="H4" t="s">
        <v>10</v>
      </c>
    </row>
    <row r="5" spans="1:8">
      <c r="A5" t="s">
        <v>65</v>
      </c>
      <c r="C5" t="s">
        <v>66</v>
      </c>
      <c r="H5" t="s">
        <v>67</v>
      </c>
    </row>
    <row r="6" spans="1:8">
      <c r="C6" t="s">
        <v>60</v>
      </c>
      <c r="H6" t="s">
        <v>68</v>
      </c>
    </row>
    <row r="7" spans="1:8">
      <c r="C7" t="s">
        <v>5</v>
      </c>
      <c r="H7" t="s">
        <v>69</v>
      </c>
    </row>
    <row r="8" spans="1:8">
      <c r="H8" t="s">
        <v>70</v>
      </c>
    </row>
    <row r="9" spans="1:8">
      <c r="H9" t="s">
        <v>71</v>
      </c>
    </row>
    <row r="10" spans="1:8">
      <c r="H10" t="s">
        <v>72</v>
      </c>
    </row>
    <row r="11" spans="1:8">
      <c r="H11" t="s">
        <v>73</v>
      </c>
    </row>
    <row r="12" spans="1:8">
      <c r="H12" t="s">
        <v>74</v>
      </c>
    </row>
    <row r="13" spans="1:8">
      <c r="H13" t="s">
        <v>75</v>
      </c>
    </row>
    <row r="14" spans="1:8">
      <c r="H14" t="s">
        <v>76</v>
      </c>
    </row>
    <row r="15" spans="1:8">
      <c r="H15" t="s">
        <v>77</v>
      </c>
    </row>
    <row r="16" spans="1:8">
      <c r="H16" t="s">
        <v>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oriz_x00f3_ xmlns="587febe2-e8e9-4324-80b8-d8863bd330fa" xsi:nil="true"/>
    <Elabor_x00f3_ xmlns="587febe2-e8e9-4324-80b8-d8863bd330fa" xsi:nil="true"/>
    <Revis_x00f3_ xmlns="587febe2-e8e9-4324-80b8-d8863bd330fa" xsi:nil="true"/>
    <lcf76f155ced4ddcb4097134ff3c332f xmlns="587febe2-e8e9-4324-80b8-d8863bd330fa">
      <Terms xmlns="http://schemas.microsoft.com/office/infopath/2007/PartnerControls"/>
    </lcf76f155ced4ddcb4097134ff3c332f>
    <TaxCatchAll xmlns="f5102957-2906-4ac4-a837-74799e48d91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04F9339AA025D46A534DF70E193CBC7" ma:contentTypeVersion="14" ma:contentTypeDescription="Crear nuevo documento." ma:contentTypeScope="" ma:versionID="9f415b27d820289085639539066e0bcf">
  <xsd:schema xmlns:xsd="http://www.w3.org/2001/XMLSchema" xmlns:xs="http://www.w3.org/2001/XMLSchema" xmlns:p="http://schemas.microsoft.com/office/2006/metadata/properties" xmlns:ns2="587febe2-e8e9-4324-80b8-d8863bd330fa" xmlns:ns3="f5102957-2906-4ac4-a837-74799e48d913" targetNamespace="http://schemas.microsoft.com/office/2006/metadata/properties" ma:root="true" ma:fieldsID="d81a69c22580324a89fd713c270f0dfd" ns2:_="" ns3:_="">
    <xsd:import namespace="587febe2-e8e9-4324-80b8-d8863bd330fa"/>
    <xsd:import namespace="f5102957-2906-4ac4-a837-74799e48d9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Elabor_x00f3_" minOccurs="0"/>
                <xsd:element ref="ns2:Revis_x00f3_" minOccurs="0"/>
                <xsd:element ref="ns2:Autoriz_x00f3_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7febe2-e8e9-4324-80b8-d8863bd33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Elabor_x00f3_" ma:index="12" nillable="true" ma:displayName="Elaboró" ma:format="Dropdown" ma:internalName="Elabor_x00f3_">
      <xsd:simpleType>
        <xsd:restriction base="dms:Text">
          <xsd:maxLength value="255"/>
        </xsd:restriction>
      </xsd:simpleType>
    </xsd:element>
    <xsd:element name="Revis_x00f3_" ma:index="13" nillable="true" ma:displayName="Revisó" ma:format="Dropdown" ma:internalName="Revis_x00f3_">
      <xsd:simpleType>
        <xsd:restriction base="dms:Text">
          <xsd:maxLength value="255"/>
        </xsd:restriction>
      </xsd:simpleType>
    </xsd:element>
    <xsd:element name="Autoriz_x00f3_" ma:index="14" nillable="true" ma:displayName="Autorizó" ma:format="Dropdown" ma:internalName="Autoriz_x00f3_">
      <xsd:simpleType>
        <xsd:restriction base="dms:Text">
          <xsd:maxLength value="255"/>
        </xsd:restriction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6d48c423-e94a-4d75-a7e0-a68cfe1c03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102957-2906-4ac4-a837-74799e48d91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d2e2bd4-7824-4153-acbc-1a4b5604f789}" ma:internalName="TaxCatchAll" ma:showField="CatchAllData" ma:web="f5102957-2906-4ac4-a837-74799e48d91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500EA9-6F4F-4996-B017-9E837D100D21}">
  <ds:schemaRefs>
    <ds:schemaRef ds:uri="f5102957-2906-4ac4-a837-74799e48d913"/>
    <ds:schemaRef ds:uri="http://purl.org/dc/elements/1.1/"/>
    <ds:schemaRef ds:uri="http://schemas.microsoft.com/office/2006/documentManagement/types"/>
    <ds:schemaRef ds:uri="http://purl.org/dc/dcmitype/"/>
    <ds:schemaRef ds:uri="587febe2-e8e9-4324-80b8-d8863bd330fa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615DDBA-F948-49E4-8368-5120A7BB8A8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A0915C-9579-43A4-BFC8-6CB67C30AC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7febe2-e8e9-4324-80b8-d8863bd330fa"/>
    <ds:schemaRef ds:uri="f5102957-2906-4ac4-a837-74799e48d9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REGISTRO</vt:lpstr>
      <vt:lpstr>BASE DE DATOS</vt:lpstr>
      <vt:lpstr>Gráficos incidencias</vt:lpstr>
      <vt:lpstr>Status General de No conforme</vt:lpstr>
      <vt:lpstr>LISTADO</vt:lpstr>
      <vt:lpstr>'BASE DE DATOS'!Área_de_impresión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Blanca Estela</dc:creator>
  <cp:keywords/>
  <dc:description/>
  <cp:lastModifiedBy>Elvia  Martinez Ascencio</cp:lastModifiedBy>
  <cp:revision/>
  <cp:lastPrinted>2024-05-28T18:25:41Z</cp:lastPrinted>
  <dcterms:created xsi:type="dcterms:W3CDTF">2020-05-22T02:08:10Z</dcterms:created>
  <dcterms:modified xsi:type="dcterms:W3CDTF">2024-11-01T14:50:13Z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0x010100704F9339AA025D46A534DF70E193CBC7</vt:lpwstr>
  </property>
  <property fmtid="{D5CDD505-2E9C-101B-9397-08002B2CF9AE}" pid="3" name="MediaServiceImageTags">
    <vt:lpwstr/>
  </property>
</Properties>
</file>