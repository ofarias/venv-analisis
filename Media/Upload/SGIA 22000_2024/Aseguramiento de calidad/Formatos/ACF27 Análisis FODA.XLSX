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134" documentId="11_D25E67B1E70AC7D47A232E322B69676872051D1B" xr6:coauthVersionLast="47" xr6:coauthVersionMax="47" xr10:uidLastSave="{9F7FDC9B-FA09-4E6B-B1B1-B8BDD7AE916B}"/>
  <bookViews>
    <workbookView xWindow="-120" yWindow="-120" windowWidth="29040" windowHeight="15840" activeTab="2" xr2:uid="{00000000-000D-0000-FFFF-FFFF00000000}"/>
  </bookViews>
  <sheets>
    <sheet name="Objetivos" sheetId="9" r:id="rId1"/>
    <sheet name="Análisis" sheetId="7" r:id="rId2"/>
    <sheet name="FODA" sheetId="8" r:id="rId3"/>
  </sheets>
  <definedNames>
    <definedName name="Acciones" localSheetId="1">#REF!</definedName>
    <definedName name="Acciones" localSheetId="2">#REF!</definedName>
    <definedName name="Acciones" localSheetId="0">#REF!</definedName>
    <definedName name="Acciones">#REF!</definedName>
    <definedName name="_xlnm.Print_Area" localSheetId="1">Análisis!$A$1:$E$36</definedName>
    <definedName name="_xlnm.Print_Area" localSheetId="2">FODA!$A$1:$H$69</definedName>
    <definedName name="_xlnm.Print_Area" localSheetId="0">Objetivos!$A$1:$G$29</definedName>
    <definedName name="asi">#REF!</definedName>
    <definedName name="CENT1" localSheetId="1">#REF!</definedName>
    <definedName name="CENT1" localSheetId="2">#REF!</definedName>
    <definedName name="CENT1" localSheetId="0">#REF!</definedName>
    <definedName name="CENT1">#REF!</definedName>
    <definedName name="DECE1" localSheetId="1">#REF!</definedName>
    <definedName name="DECE1" localSheetId="2">#REF!</definedName>
    <definedName name="DECE1" localSheetId="0">#REF!</definedName>
    <definedName name="DECE1">#REF!</definedName>
    <definedName name="DECE2">#REF!</definedName>
    <definedName name="doce">#REF!</definedName>
    <definedName name="Est" localSheetId="1">#REF!</definedName>
    <definedName name="Est" localSheetId="2">#REF!</definedName>
    <definedName name="Est" localSheetId="0">#REF!</definedName>
    <definedName name="Est">#REF!</definedName>
    <definedName name="FACTURA">#REF!</definedName>
    <definedName name="FACTURAS" localSheetId="1">#REF!</definedName>
    <definedName name="FACTURAS" localSheetId="2">#REF!</definedName>
    <definedName name="FACTURAS" localSheetId="0">#REF!</definedName>
    <definedName name="FACTURAS">#REF!</definedName>
    <definedName name="iniciar">#REF!</definedName>
    <definedName name="Iniciativa" localSheetId="1">#REF!</definedName>
    <definedName name="Iniciativa" localSheetId="2">#REF!</definedName>
    <definedName name="Iniciativa" localSheetId="0">#REF!</definedName>
    <definedName name="Iniciativa">#REF!</definedName>
    <definedName name="Iniciativas" localSheetId="1">#REF!</definedName>
    <definedName name="Iniciativas" localSheetId="2">#REF!</definedName>
    <definedName name="Iniciativas" localSheetId="0">#REF!</definedName>
    <definedName name="Iniciativas">#REF!</definedName>
    <definedName name="insight">#REF!</definedName>
    <definedName name="PA">#REF!</definedName>
    <definedName name="planesyacciones">#REF!</definedName>
    <definedName name="QUIN1" localSheetId="1">#REF!</definedName>
    <definedName name="QUIN1" localSheetId="2">#REF!</definedName>
    <definedName name="QUIN1" localSheetId="0">#REF!</definedName>
    <definedName name="QUIN1">#REF!</definedName>
    <definedName name="QUIN2">#REF!</definedName>
    <definedName name="UNID1" localSheetId="1">#REF!</definedName>
    <definedName name="UNID1" localSheetId="2">#REF!</definedName>
    <definedName name="UNID1" localSheetId="0">#REF!</definedName>
    <definedName name="UNID1">#REF!</definedName>
    <definedName name="UNID3">#REF!</definedName>
    <definedName name="VALOR">#REF!</definedName>
    <definedName name="VALOR1" localSheetId="1">#REF!</definedName>
    <definedName name="VALOR1" localSheetId="2">#REF!</definedName>
    <definedName name="VALOR1" localSheetId="0">#REF!</definedName>
    <definedName name="VALOR1">#REF!</definedName>
    <definedName name="VALOR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7" l="1"/>
  <c r="G24" i="8" l="1"/>
  <c r="F23" i="8"/>
  <c r="F21" i="8"/>
  <c r="F18" i="8"/>
  <c r="F19" i="8"/>
  <c r="F20" i="8"/>
  <c r="F22" i="8"/>
  <c r="C37" i="7" l="1"/>
  <c r="A40" i="8" l="1"/>
  <c r="D25" i="8" l="1"/>
  <c r="B57" i="8"/>
  <c r="A54" i="8"/>
  <c r="A55" i="8"/>
  <c r="A56" i="8"/>
  <c r="A53" i="8"/>
  <c r="A49" i="8"/>
  <c r="A50" i="8"/>
  <c r="A51" i="8"/>
  <c r="A52" i="8"/>
  <c r="A48" i="8"/>
  <c r="A39" i="8"/>
  <c r="A38" i="8"/>
  <c r="A37" i="8"/>
  <c r="A34" i="8"/>
  <c r="A35" i="8"/>
  <c r="A36" i="8"/>
  <c r="A33" i="8"/>
  <c r="A27" i="8"/>
  <c r="F17" i="8"/>
  <c r="F16" i="8"/>
  <c r="F15" i="8"/>
  <c r="D14" i="8"/>
  <c r="D13" i="8"/>
  <c r="D12" i="8"/>
  <c r="D11" i="8"/>
  <c r="D10" i="8"/>
  <c r="A43" i="8" l="1"/>
  <c r="F10" i="8" l="1"/>
  <c r="D15" i="8"/>
  <c r="E24" i="8" l="1"/>
  <c r="D16" i="8" l="1"/>
  <c r="D17" i="8"/>
  <c r="D18" i="8"/>
  <c r="C6" i="7" l="1"/>
  <c r="C20" i="7" l="1"/>
  <c r="F14" i="8" l="1"/>
  <c r="F13" i="8"/>
  <c r="F12" i="8"/>
  <c r="F11" i="8"/>
  <c r="A47" i="8"/>
  <c r="A46" i="8"/>
  <c r="A45" i="8"/>
  <c r="A44" i="8"/>
  <c r="A32" i="8"/>
  <c r="A31" i="8"/>
  <c r="A30" i="8"/>
  <c r="A29" i="8"/>
  <c r="A28" i="8"/>
  <c r="C42" i="8"/>
  <c r="B41" i="8"/>
  <c r="C26" i="8"/>
  <c r="F25" i="8"/>
  <c r="F42" i="8" l="1"/>
  <c r="C67" i="8" s="1"/>
  <c r="D42" i="8"/>
  <c r="C66" i="8" s="1"/>
  <c r="D26" i="8"/>
  <c r="F26" i="8"/>
  <c r="F40" i="8" l="1"/>
  <c r="B65" i="8" s="1"/>
  <c r="D40" i="8"/>
  <c r="B64" i="8" s="1"/>
  <c r="F52" i="8"/>
  <c r="B67" i="8" s="1"/>
  <c r="C64" i="8"/>
  <c r="C65" i="8"/>
  <c r="D52" i="8"/>
  <c r="B66" i="8" s="1"/>
</calcChain>
</file>

<file path=xl/sharedStrings.xml><?xml version="1.0" encoding="utf-8"?>
<sst xmlns="http://schemas.openxmlformats.org/spreadsheetml/2006/main" count="178" uniqueCount="71">
  <si>
    <t>¿Qué?</t>
  </si>
  <si>
    <t>Objetivo 1</t>
  </si>
  <si>
    <t>Objetivo 2</t>
  </si>
  <si>
    <t>Objetivo 3</t>
  </si>
  <si>
    <t>Objetivo 4</t>
  </si>
  <si>
    <t>Fortalezas</t>
  </si>
  <si>
    <t>Debilidades</t>
  </si>
  <si>
    <t>Oportunidades</t>
  </si>
  <si>
    <t>Amenazas</t>
  </si>
  <si>
    <t>F1</t>
  </si>
  <si>
    <t>D1</t>
  </si>
  <si>
    <t>O1</t>
  </si>
  <si>
    <t>A1</t>
  </si>
  <si>
    <t>F2</t>
  </si>
  <si>
    <t>D2</t>
  </si>
  <si>
    <t>O2</t>
  </si>
  <si>
    <t>A2</t>
  </si>
  <si>
    <t>F3</t>
  </si>
  <si>
    <t>D3</t>
  </si>
  <si>
    <t>O3</t>
  </si>
  <si>
    <t>A3</t>
  </si>
  <si>
    <t>F4</t>
  </si>
  <si>
    <t>D4</t>
  </si>
  <si>
    <t>O4</t>
  </si>
  <si>
    <t>A4</t>
  </si>
  <si>
    <t>F5</t>
  </si>
  <si>
    <t>D5</t>
  </si>
  <si>
    <t>O5</t>
  </si>
  <si>
    <t>A5</t>
  </si>
  <si>
    <t>F6</t>
  </si>
  <si>
    <t>D6</t>
  </si>
  <si>
    <t>O6</t>
  </si>
  <si>
    <t>A6</t>
  </si>
  <si>
    <t>F7</t>
  </si>
  <si>
    <t>D7</t>
  </si>
  <si>
    <t>O7</t>
  </si>
  <si>
    <t>A7</t>
  </si>
  <si>
    <t xml:space="preserve">F8 </t>
  </si>
  <si>
    <t>D8</t>
  </si>
  <si>
    <t>O8</t>
  </si>
  <si>
    <t>A8</t>
  </si>
  <si>
    <t xml:space="preserve">F9 </t>
  </si>
  <si>
    <t>D9</t>
  </si>
  <si>
    <t xml:space="preserve">O9 </t>
  </si>
  <si>
    <t>A9</t>
  </si>
  <si>
    <t xml:space="preserve">F10 </t>
  </si>
  <si>
    <t>D10</t>
  </si>
  <si>
    <t>O10</t>
  </si>
  <si>
    <t>A10</t>
  </si>
  <si>
    <t>Análisis situacional Integral</t>
  </si>
  <si>
    <t>total</t>
  </si>
  <si>
    <t>CRITERIOS</t>
  </si>
  <si>
    <t>PROMEDIO</t>
  </si>
  <si>
    <t>Éxito</t>
  </si>
  <si>
    <t>Defensa</t>
  </si>
  <si>
    <t>Desperdicio</t>
  </si>
  <si>
    <t>Fracaso</t>
  </si>
  <si>
    <t>Meta</t>
  </si>
  <si>
    <t>Medida</t>
  </si>
  <si>
    <r>
      <t>Estrategia</t>
    </r>
    <r>
      <rPr>
        <sz val="10"/>
        <rFont val="Arial"/>
        <family val="2"/>
      </rPr>
      <t xml:space="preserve">       </t>
    </r>
    <r>
      <rPr>
        <i/>
        <sz val="10"/>
        <rFont val="Arial"/>
        <family val="2"/>
      </rPr>
      <t>¿Cómo?</t>
    </r>
  </si>
  <si>
    <t>EXTERNO</t>
  </si>
  <si>
    <t>INTERNO</t>
  </si>
  <si>
    <t>OBJETIVOS DEL SGI</t>
  </si>
  <si>
    <t>Total</t>
  </si>
  <si>
    <t xml:space="preserve">Fecha de último análisis: </t>
  </si>
  <si>
    <t xml:space="preserve">Participantes: </t>
  </si>
  <si>
    <t>Análisis FODA</t>
  </si>
  <si>
    <t>Analisis FODA</t>
  </si>
  <si>
    <t>3. Alto impacto</t>
  </si>
  <si>
    <t>2. Medio</t>
  </si>
  <si>
    <t>1. Bajo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</si>
</sst>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i/>
      <sz val="12"/>
      <color indexed="60"/>
      <name val="Arial"/>
      <family val="2"/>
    </font>
    <font>
      <b/>
      <sz val="12"/>
      <name val="Arial"/>
      <family val="2"/>
    </font>
    <font>
      <b/>
      <sz val="14"/>
      <color indexed="9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26"/>
      <name val="Arial"/>
      <family val="2"/>
    </font>
    <font>
      <sz val="11"/>
      <name val="Arial"/>
      <family val="2"/>
    </font>
    <font>
      <b/>
      <sz val="12"/>
      <color indexed="9"/>
      <name val="Arial"/>
      <family val="2"/>
    </font>
    <font>
      <i/>
      <sz val="10"/>
      <name val="Arial"/>
      <family val="2"/>
    </font>
    <font>
      <b/>
      <sz val="18"/>
      <color indexed="9"/>
      <name val="Arial"/>
      <family val="2"/>
    </font>
    <font>
      <b/>
      <i/>
      <sz val="14"/>
      <name val="Arial"/>
      <family val="2"/>
    </font>
    <font>
      <sz val="11"/>
      <color theme="1"/>
      <name val="Calibri"/>
      <family val="2"/>
      <scheme val="minor"/>
    </font>
    <font>
      <b/>
      <sz val="2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justify" vertical="center" wrapText="1"/>
    </xf>
    <xf numFmtId="0" fontId="2" fillId="6" borderId="0" xfId="1" applyFont="1" applyFill="1" applyAlignment="1">
      <alignment horizontal="center"/>
    </xf>
    <xf numFmtId="0" fontId="2" fillId="0" borderId="0" xfId="1" applyFont="1" applyAlignment="1">
      <alignment horizontal="justify" vertical="center" wrapText="1"/>
    </xf>
    <xf numFmtId="0" fontId="5" fillId="0" borderId="1" xfId="1" applyFont="1" applyBorder="1" applyAlignment="1">
      <alignment horizontal="left" vertical="top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3" fillId="0" borderId="27" xfId="1" applyFont="1" applyBorder="1" applyAlignment="1">
      <alignment horizontal="center" vertical="center"/>
    </xf>
    <xf numFmtId="0" fontId="9" fillId="8" borderId="26" xfId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164" fontId="11" fillId="0" borderId="29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14" fillId="3" borderId="0" xfId="1" applyFont="1" applyFill="1" applyAlignment="1">
      <alignment vertical="center"/>
    </xf>
    <xf numFmtId="0" fontId="1" fillId="3" borderId="0" xfId="1" applyFill="1" applyAlignment="1">
      <alignment vertical="center"/>
    </xf>
    <xf numFmtId="164" fontId="11" fillId="0" borderId="5" xfId="1" applyNumberFormat="1" applyFont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0" fontId="1" fillId="6" borderId="0" xfId="1" applyFill="1"/>
    <xf numFmtId="0" fontId="2" fillId="6" borderId="0" xfId="1" applyFont="1" applyFill="1"/>
    <xf numFmtId="0" fontId="16" fillId="6" borderId="0" xfId="1" applyFont="1" applyFill="1"/>
    <xf numFmtId="0" fontId="2" fillId="6" borderId="0" xfId="1" applyFont="1" applyFill="1" applyAlignment="1">
      <alignment horizontal="center" vertical="center" wrapText="1"/>
    </xf>
    <xf numFmtId="0" fontId="17" fillId="4" borderId="25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17" fillId="7" borderId="25" xfId="1" applyFont="1" applyFill="1" applyBorder="1" applyAlignment="1">
      <alignment horizontal="center" vertical="center"/>
    </xf>
    <xf numFmtId="0" fontId="17" fillId="8" borderId="25" xfId="1" applyFont="1" applyFill="1" applyBorder="1" applyAlignment="1">
      <alignment horizontal="center" vertical="center"/>
    </xf>
    <xf numFmtId="1" fontId="1" fillId="6" borderId="1" xfId="1" applyNumberFormat="1" applyFill="1" applyBorder="1" applyAlignment="1">
      <alignment horizontal="center"/>
    </xf>
    <xf numFmtId="0" fontId="2" fillId="6" borderId="0" xfId="1" applyFont="1" applyFill="1" applyAlignment="1">
      <alignment horizontal="left"/>
    </xf>
    <xf numFmtId="0" fontId="3" fillId="0" borderId="0" xfId="1" applyFont="1" applyAlignment="1">
      <alignment vertical="center"/>
    </xf>
    <xf numFmtId="9" fontId="15" fillId="3" borderId="0" xfId="1" applyNumberFormat="1" applyFont="1" applyFill="1" applyAlignment="1">
      <alignment horizontal="center" vertical="center"/>
    </xf>
    <xf numFmtId="0" fontId="9" fillId="10" borderId="26" xfId="1" applyFont="1" applyFill="1" applyBorder="1" applyAlignment="1">
      <alignment horizontal="center" vertical="center"/>
    </xf>
    <xf numFmtId="0" fontId="9" fillId="9" borderId="26" xfId="1" applyFont="1" applyFill="1" applyBorder="1" applyAlignment="1">
      <alignment horizontal="center" vertical="center"/>
    </xf>
    <xf numFmtId="0" fontId="13" fillId="9" borderId="12" xfId="1" applyFont="1" applyFill="1" applyBorder="1" applyAlignment="1">
      <alignment horizontal="center" vertical="center"/>
    </xf>
    <xf numFmtId="0" fontId="13" fillId="9" borderId="8" xfId="1" applyFont="1" applyFill="1" applyBorder="1" applyAlignment="1">
      <alignment horizontal="center" vertical="center"/>
    </xf>
    <xf numFmtId="0" fontId="13" fillId="10" borderId="12" xfId="1" applyFont="1" applyFill="1" applyBorder="1" applyAlignment="1">
      <alignment horizontal="center" vertical="center"/>
    </xf>
    <xf numFmtId="0" fontId="13" fillId="10" borderId="8" xfId="1" applyFont="1" applyFill="1" applyBorder="1" applyAlignment="1">
      <alignment horizontal="center" vertical="center"/>
    </xf>
    <xf numFmtId="0" fontId="9" fillId="9" borderId="25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9" fillId="10" borderId="25" xfId="1" applyFont="1" applyFill="1" applyBorder="1" applyAlignment="1">
      <alignment horizontal="center" vertical="center"/>
    </xf>
    <xf numFmtId="0" fontId="9" fillId="8" borderId="25" xfId="1" applyFont="1" applyFill="1" applyBorder="1" applyAlignment="1">
      <alignment horizontal="center" vertical="center"/>
    </xf>
    <xf numFmtId="0" fontId="1" fillId="6" borderId="0" xfId="1" applyFill="1" applyAlignment="1">
      <alignment vertical="center"/>
    </xf>
    <xf numFmtId="0" fontId="2" fillId="6" borderId="0" xfId="1" applyFont="1" applyFill="1" applyAlignment="1">
      <alignment horizontal="center" vertical="center"/>
    </xf>
    <xf numFmtId="0" fontId="1" fillId="0" borderId="28" xfId="1" applyBorder="1" applyAlignment="1">
      <alignment vertical="center" wrapText="1"/>
    </xf>
    <xf numFmtId="0" fontId="1" fillId="0" borderId="29" xfId="1" applyBorder="1" applyAlignment="1">
      <alignment horizontal="center" vertical="center"/>
    </xf>
    <xf numFmtId="0" fontId="3" fillId="0" borderId="28" xfId="1" applyFont="1" applyBorder="1" applyAlignment="1">
      <alignment vertical="center"/>
    </xf>
    <xf numFmtId="0" fontId="1" fillId="0" borderId="28" xfId="1" applyBorder="1" applyAlignment="1">
      <alignment vertical="top" wrapText="1"/>
    </xf>
    <xf numFmtId="0" fontId="1" fillId="0" borderId="1" xfId="1" applyBorder="1" applyAlignment="1">
      <alignment horizontal="center" vertical="center"/>
    </xf>
    <xf numFmtId="0" fontId="1" fillId="3" borderId="28" xfId="1" applyFill="1" applyBorder="1" applyAlignment="1">
      <alignment vertical="top" wrapText="1"/>
    </xf>
    <xf numFmtId="0" fontId="1" fillId="3" borderId="1" xfId="1" applyFill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9" fontId="9" fillId="9" borderId="37" xfId="1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9" fontId="9" fillId="10" borderId="38" xfId="1" applyNumberFormat="1" applyFont="1" applyFill="1" applyBorder="1" applyAlignment="1">
      <alignment horizontal="center" vertical="center"/>
    </xf>
    <xf numFmtId="9" fontId="3" fillId="2" borderId="38" xfId="1" applyNumberFormat="1" applyFont="1" applyFill="1" applyBorder="1" applyAlignment="1">
      <alignment horizontal="center" vertical="center"/>
    </xf>
    <xf numFmtId="9" fontId="9" fillId="8" borderId="39" xfId="1" applyNumberFormat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9" fontId="1" fillId="6" borderId="1" xfId="3" applyFont="1" applyFill="1" applyBorder="1" applyAlignment="1">
      <alignment horizontal="center"/>
    </xf>
    <xf numFmtId="0" fontId="1" fillId="6" borderId="1" xfId="1" applyFill="1" applyBorder="1" applyAlignment="1">
      <alignment horizontal="left" vertical="center" wrapText="1"/>
    </xf>
    <xf numFmtId="9" fontId="11" fillId="6" borderId="1" xfId="1" applyNumberFormat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1" fillId="6" borderId="17" xfId="1" applyFill="1" applyBorder="1" applyAlignment="1">
      <alignment horizontal="left" vertical="center" wrapText="1"/>
    </xf>
    <xf numFmtId="0" fontId="1" fillId="6" borderId="18" xfId="1" applyFill="1" applyBorder="1" applyAlignment="1">
      <alignment horizontal="left" vertical="center" wrapText="1"/>
    </xf>
    <xf numFmtId="0" fontId="1" fillId="6" borderId="19" xfId="1" applyFill="1" applyBorder="1" applyAlignment="1">
      <alignment horizontal="left" vertical="center" wrapText="1"/>
    </xf>
    <xf numFmtId="0" fontId="1" fillId="6" borderId="20" xfId="1" applyFill="1" applyBorder="1" applyAlignment="1">
      <alignment horizontal="left" vertical="center" wrapText="1"/>
    </xf>
    <xf numFmtId="0" fontId="1" fillId="6" borderId="0" xfId="1" applyFill="1" applyAlignment="1">
      <alignment horizontal="left" vertical="center" wrapText="1"/>
    </xf>
    <xf numFmtId="0" fontId="1" fillId="6" borderId="21" xfId="1" applyFill="1" applyBorder="1" applyAlignment="1">
      <alignment horizontal="left" vertical="center" wrapText="1"/>
    </xf>
    <xf numFmtId="0" fontId="1" fillId="6" borderId="22" xfId="1" applyFill="1" applyBorder="1" applyAlignment="1">
      <alignment horizontal="left" vertical="center" wrapText="1"/>
    </xf>
    <xf numFmtId="0" fontId="1" fillId="6" borderId="23" xfId="1" applyFill="1" applyBorder="1" applyAlignment="1">
      <alignment horizontal="left" vertical="center" wrapText="1"/>
    </xf>
    <xf numFmtId="0" fontId="1" fillId="6" borderId="24" xfId="1" applyFill="1" applyBorder="1" applyAlignment="1">
      <alignment horizontal="left" vertical="center" wrapText="1"/>
    </xf>
    <xf numFmtId="9" fontId="11" fillId="6" borderId="2" xfId="1" applyNumberFormat="1" applyFont="1" applyFill="1" applyBorder="1" applyAlignment="1">
      <alignment horizontal="center" vertical="center" wrapText="1"/>
    </xf>
    <xf numFmtId="0" fontId="11" fillId="6" borderId="6" xfId="1" applyFont="1" applyFill="1" applyBorder="1" applyAlignment="1">
      <alignment horizontal="center" vertical="center" wrapText="1"/>
    </xf>
    <xf numFmtId="0" fontId="11" fillId="6" borderId="25" xfId="1" applyFont="1" applyFill="1" applyBorder="1" applyAlignment="1">
      <alignment horizontal="center" vertical="center" wrapText="1"/>
    </xf>
    <xf numFmtId="9" fontId="11" fillId="6" borderId="25" xfId="1" applyNumberFormat="1" applyFont="1" applyFill="1" applyBorder="1" applyAlignment="1">
      <alignment horizontal="center" vertical="center" wrapText="1"/>
    </xf>
    <xf numFmtId="0" fontId="1" fillId="0" borderId="18" xfId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4" fillId="0" borderId="16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/>
    </xf>
    <xf numFmtId="0" fontId="13" fillId="9" borderId="10" xfId="1" applyFont="1" applyFill="1" applyBorder="1" applyAlignment="1">
      <alignment horizontal="center" vertical="center"/>
    </xf>
    <xf numFmtId="0" fontId="13" fillId="9" borderId="11" xfId="1" applyFont="1" applyFill="1" applyBorder="1" applyAlignment="1">
      <alignment horizontal="center" vertical="center"/>
    </xf>
    <xf numFmtId="0" fontId="13" fillId="9" borderId="12" xfId="1" applyFont="1" applyFill="1" applyBorder="1" applyAlignment="1">
      <alignment horizontal="center" vertical="center"/>
    </xf>
    <xf numFmtId="0" fontId="13" fillId="9" borderId="8" xfId="1" applyFont="1" applyFill="1" applyBorder="1" applyAlignment="1">
      <alignment horizontal="center" vertical="center"/>
    </xf>
    <xf numFmtId="0" fontId="13" fillId="9" borderId="33" xfId="1" applyFont="1" applyFill="1" applyBorder="1" applyAlignment="1">
      <alignment horizontal="center" vertical="center"/>
    </xf>
    <xf numFmtId="0" fontId="13" fillId="9" borderId="34" xfId="1" applyFont="1" applyFill="1" applyBorder="1" applyAlignment="1">
      <alignment horizontal="center" vertical="center"/>
    </xf>
    <xf numFmtId="0" fontId="13" fillId="10" borderId="10" xfId="1" applyFont="1" applyFill="1" applyBorder="1" applyAlignment="1">
      <alignment horizontal="center" vertical="center"/>
    </xf>
    <xf numFmtId="0" fontId="13" fillId="10" borderId="11" xfId="1" applyFont="1" applyFill="1" applyBorder="1" applyAlignment="1">
      <alignment horizontal="center" vertical="center"/>
    </xf>
    <xf numFmtId="0" fontId="13" fillId="10" borderId="12" xfId="1" applyFont="1" applyFill="1" applyBorder="1" applyAlignment="1">
      <alignment horizontal="center" vertical="center"/>
    </xf>
    <xf numFmtId="0" fontId="13" fillId="10" borderId="8" xfId="1" applyFont="1" applyFill="1" applyBorder="1" applyAlignment="1">
      <alignment horizontal="center" vertical="center"/>
    </xf>
    <xf numFmtId="0" fontId="13" fillId="10" borderId="33" xfId="1" applyFont="1" applyFill="1" applyBorder="1" applyAlignment="1">
      <alignment horizontal="center" vertical="center"/>
    </xf>
    <xf numFmtId="0" fontId="13" fillId="10" borderId="34" xfId="1" applyFont="1" applyFill="1" applyBorder="1" applyAlignment="1">
      <alignment horizontal="center" vertical="center"/>
    </xf>
    <xf numFmtId="0" fontId="12" fillId="0" borderId="32" xfId="1" applyFont="1" applyBorder="1" applyAlignment="1">
      <alignment vertical="center"/>
    </xf>
    <xf numFmtId="0" fontId="12" fillId="0" borderId="14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13" fillId="2" borderId="10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horizontal="center" vertical="center"/>
    </xf>
    <xf numFmtId="0" fontId="13" fillId="5" borderId="10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/>
    </xf>
    <xf numFmtId="0" fontId="13" fillId="5" borderId="12" xfId="1" applyFont="1" applyFill="1" applyBorder="1" applyAlignment="1">
      <alignment horizontal="center" vertical="center"/>
    </xf>
    <xf numFmtId="0" fontId="13" fillId="5" borderId="8" xfId="1" applyFont="1" applyFill="1" applyBorder="1" applyAlignment="1">
      <alignment horizontal="center" vertical="center"/>
    </xf>
    <xf numFmtId="0" fontId="13" fillId="5" borderId="33" xfId="1" applyFont="1" applyFill="1" applyBorder="1" applyAlignment="1">
      <alignment horizontal="center" vertical="center"/>
    </xf>
    <xf numFmtId="0" fontId="13" fillId="5" borderId="34" xfId="1" applyFont="1" applyFill="1" applyBorder="1" applyAlignment="1">
      <alignment horizontal="center" vertical="center"/>
    </xf>
    <xf numFmtId="9" fontId="12" fillId="0" borderId="35" xfId="2" applyFont="1" applyFill="1" applyBorder="1" applyAlignment="1">
      <alignment horizontal="center" vertical="center"/>
    </xf>
    <xf numFmtId="9" fontId="12" fillId="0" borderId="36" xfId="2" applyFont="1" applyFill="1" applyBorder="1" applyAlignment="1">
      <alignment horizontal="center" vertical="center"/>
    </xf>
    <xf numFmtId="9" fontId="12" fillId="0" borderId="12" xfId="2" applyFont="1" applyFill="1" applyBorder="1" applyAlignment="1">
      <alignment horizontal="center" vertical="center"/>
    </xf>
    <xf numFmtId="9" fontId="12" fillId="0" borderId="8" xfId="2" applyFont="1" applyFill="1" applyBorder="1" applyAlignment="1">
      <alignment horizontal="center" vertical="center"/>
    </xf>
    <xf numFmtId="9" fontId="12" fillId="0" borderId="13" xfId="2" applyFont="1" applyFill="1" applyBorder="1" applyAlignment="1">
      <alignment horizontal="center" vertical="center"/>
    </xf>
    <xf numFmtId="9" fontId="12" fillId="0" borderId="9" xfId="2" applyFont="1" applyFill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12" fillId="0" borderId="22" xfId="1" applyFont="1" applyBorder="1" applyAlignment="1">
      <alignment vertical="center"/>
    </xf>
    <xf numFmtId="0" fontId="6" fillId="6" borderId="0" xfId="1" applyFont="1" applyFill="1"/>
    <xf numFmtId="0" fontId="1" fillId="11" borderId="14" xfId="1" applyFill="1" applyBorder="1" applyAlignment="1">
      <alignment horizontal="left" vertical="top" wrapText="1"/>
    </xf>
    <xf numFmtId="0" fontId="1" fillId="11" borderId="15" xfId="1" applyFill="1" applyBorder="1" applyAlignment="1">
      <alignment horizontal="left" vertical="top" wrapText="1"/>
    </xf>
    <xf numFmtId="0" fontId="1" fillId="3" borderId="0" xfId="1" applyFill="1"/>
    <xf numFmtId="0" fontId="6" fillId="3" borderId="0" xfId="1" applyFont="1" applyFill="1"/>
    <xf numFmtId="0" fontId="11" fillId="0" borderId="14" xfId="1" applyFont="1" applyBorder="1" applyAlignment="1">
      <alignment horizontal="left" vertical="center" wrapText="1"/>
    </xf>
    <xf numFmtId="0" fontId="11" fillId="0" borderId="15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left" vertical="center" wrapText="1"/>
    </xf>
    <xf numFmtId="0" fontId="3" fillId="0" borderId="25" xfId="1" applyFont="1" applyBorder="1" applyAlignment="1">
      <alignment horizontal="justify" vertical="center" wrapText="1"/>
    </xf>
    <xf numFmtId="0" fontId="11" fillId="0" borderId="22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1" fillId="0" borderId="24" xfId="1" applyFont="1" applyBorder="1" applyAlignment="1">
      <alignment horizontal="left" vertical="center" wrapText="1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left" vertical="center" wrapText="1"/>
    </xf>
    <xf numFmtId="0" fontId="6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11" fillId="11" borderId="0" xfId="1" applyFont="1" applyFill="1" applyAlignment="1">
      <alignment vertical="center"/>
    </xf>
  </cellXfs>
  <cellStyles count="4">
    <cellStyle name="Normal" xfId="0" builtinId="0"/>
    <cellStyle name="Normal 2" xfId="1" xr:uid="{00000000-0005-0000-0000-000001000000}"/>
    <cellStyle name="Porcentaje" xfId="3" builtinId="5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2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2.5718627167811529E-2"/>
          <c:y val="2.23463687150838E-2"/>
          <c:w val="0.96823066984702233"/>
          <c:h val="0.8212290502793295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0F-4AD6-AB3C-49F3B8C72CA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0F-4AD6-AB3C-49F3B8C72CA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0F-4AD6-AB3C-49F3B8C72CA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0F-4AD6-AB3C-49F3B8C72CAB}"/>
              </c:ext>
            </c:extLst>
          </c:dPt>
          <c:cat>
            <c:strRef>
              <c:f>FODA!$A$64:$A$67</c:f>
              <c:strCache>
                <c:ptCount val="4"/>
                <c:pt idx="0">
                  <c:v>Éxito</c:v>
                </c:pt>
                <c:pt idx="1">
                  <c:v>Defensa</c:v>
                </c:pt>
                <c:pt idx="2">
                  <c:v>Desperdicio</c:v>
                </c:pt>
                <c:pt idx="3">
                  <c:v>Fracaso</c:v>
                </c:pt>
              </c:strCache>
            </c:strRef>
          </c:cat>
          <c:val>
            <c:numRef>
              <c:f>FODA!$C$64:$C$67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F-4AD6-AB3C-49F3B8C72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0695416"/>
        <c:axId val="260699336"/>
        <c:axId val="0"/>
      </c:bar3DChart>
      <c:catAx>
        <c:axId val="260695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60699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699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606954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2174875</xdr:colOff>
      <xdr:row>0</xdr:row>
      <xdr:rowOff>79374</xdr:rowOff>
    </xdr:from>
    <xdr:to>
      <xdr:col>6</xdr:col>
      <xdr:colOff>1121875</xdr:colOff>
      <xdr:row>3</xdr:row>
      <xdr:rowOff>101191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343C01-4BC1-407B-9670-211AB716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875" y="79374"/>
          <a:ext cx="1725125" cy="4980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853656</xdr:colOff>
      <xdr:row>0</xdr:row>
      <xdr:rowOff>26958</xdr:rowOff>
    </xdr:from>
    <xdr:to>
      <xdr:col>4</xdr:col>
      <xdr:colOff>2578781</xdr:colOff>
      <xdr:row>3</xdr:row>
      <xdr:rowOff>39789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F9A79A-4F9A-4C82-AF63-0D67D379B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6439" y="26958"/>
          <a:ext cx="1725125" cy="498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1257300</xdr:colOff>
      <xdr:row>31</xdr:row>
      <xdr:rowOff>127000</xdr:rowOff>
    </xdr:from>
    <xdr:ext cx="714375" cy="32385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953000" y="4508500"/>
          <a:ext cx="7143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s-MX" sz="1800" b="1" i="0" strike="noStrike">
              <a:solidFill>
                <a:srgbClr val="000000"/>
              </a:solidFill>
              <a:latin typeface="Arial"/>
              <a:cs typeface="Arial"/>
            </a:rPr>
            <a:t>EXITO</a:t>
          </a:r>
        </a:p>
      </xdr:txBody>
    </xdr:sp>
    <xdr:clientData/>
  </xdr:oneCellAnchor>
  <xdr:oneCellAnchor>
    <xdr:from>
      <xdr:col>3</xdr:col>
      <xdr:colOff>800100</xdr:colOff>
      <xdr:row>47</xdr:row>
      <xdr:rowOff>101600</xdr:rowOff>
    </xdr:from>
    <xdr:ext cx="1600200" cy="3143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495800" y="6769100"/>
          <a:ext cx="160020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s-MX" sz="1800" b="1" i="0" strike="noStrike">
              <a:solidFill>
                <a:srgbClr val="000000"/>
              </a:solidFill>
              <a:latin typeface="Arial"/>
              <a:cs typeface="Arial"/>
            </a:rPr>
            <a:t>DESPERDICIO</a:t>
          </a:r>
        </a:p>
      </xdr:txBody>
    </xdr:sp>
    <xdr:clientData/>
  </xdr:oneCellAnchor>
  <xdr:oneCellAnchor>
    <xdr:from>
      <xdr:col>5</xdr:col>
      <xdr:colOff>1035050</xdr:colOff>
      <xdr:row>47</xdr:row>
      <xdr:rowOff>47625</xdr:rowOff>
    </xdr:from>
    <xdr:ext cx="1162845" cy="323850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912100" y="6715125"/>
          <a:ext cx="116284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s-MX" sz="1800" b="1" i="0" strike="noStrike">
              <a:solidFill>
                <a:srgbClr val="000000"/>
              </a:solidFill>
              <a:latin typeface="Arial"/>
              <a:cs typeface="Arial"/>
            </a:rPr>
            <a:t>FRACASO</a:t>
          </a:r>
        </a:p>
      </xdr:txBody>
    </xdr:sp>
    <xdr:clientData/>
  </xdr:oneCellAnchor>
  <xdr:oneCellAnchor>
    <xdr:from>
      <xdr:col>5</xdr:col>
      <xdr:colOff>1054100</xdr:colOff>
      <xdr:row>31</xdr:row>
      <xdr:rowOff>127000</xdr:rowOff>
    </xdr:from>
    <xdr:ext cx="1115319" cy="323850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931150" y="4508500"/>
          <a:ext cx="1115319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s-MX" sz="1800" b="1" i="0" strike="noStrike">
              <a:solidFill>
                <a:srgbClr val="000000"/>
              </a:solidFill>
              <a:latin typeface="Arial"/>
              <a:cs typeface="Arial"/>
            </a:rPr>
            <a:t>DEFENSA</a:t>
          </a:r>
        </a:p>
      </xdr:txBody>
    </xdr:sp>
    <xdr:clientData/>
  </xdr:oneCellAnchor>
  <xdr:twoCellAnchor>
    <xdr:from>
      <xdr:col>3</xdr:col>
      <xdr:colOff>66675</xdr:colOff>
      <xdr:row>58</xdr:row>
      <xdr:rowOff>9525</xdr:rowOff>
    </xdr:from>
    <xdr:to>
      <xdr:col>6</xdr:col>
      <xdr:colOff>609600</xdr:colOff>
      <xdr:row>67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2060864</xdr:colOff>
      <xdr:row>0</xdr:row>
      <xdr:rowOff>112569</xdr:rowOff>
    </xdr:from>
    <xdr:to>
      <xdr:col>7</xdr:col>
      <xdr:colOff>582125</xdr:colOff>
      <xdr:row>3</xdr:row>
      <xdr:rowOff>39136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637ED4-3C4F-4305-A2DF-F2D8D05A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6182" y="112569"/>
          <a:ext cx="1725125" cy="498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29"/>
  <sheetViews>
    <sheetView zoomScale="120" zoomScaleNormal="120" workbookViewId="0">
      <selection activeCell="D32" sqref="D32"/>
    </sheetView>
  </sheetViews>
  <sheetFormatPr baseColWidth="10" defaultColWidth="11.42578125" defaultRowHeight="12.75" x14ac:dyDescent="0.2"/>
  <cols>
    <col min="1" max="5" width="11.42578125" style="22"/>
    <col min="6" max="6" width="41.7109375" style="22" customWidth="1"/>
    <col min="7" max="7" width="17.7109375" style="22" customWidth="1"/>
    <col min="8" max="16384" width="11.42578125" style="22"/>
  </cols>
  <sheetData>
    <row r="5" spans="1:7" ht="23.25" x14ac:dyDescent="0.35">
      <c r="A5" s="120" t="s">
        <v>66</v>
      </c>
    </row>
    <row r="7" spans="1:7" x14ac:dyDescent="0.2">
      <c r="A7" s="23" t="s">
        <v>62</v>
      </c>
      <c r="C7" s="23"/>
    </row>
    <row r="8" spans="1:7" x14ac:dyDescent="0.2">
      <c r="E8" s="44"/>
    </row>
    <row r="9" spans="1:7" x14ac:dyDescent="0.2">
      <c r="A9" s="23" t="s">
        <v>1</v>
      </c>
      <c r="B9" s="24" t="s">
        <v>0</v>
      </c>
      <c r="E9" s="45" t="s">
        <v>57</v>
      </c>
      <c r="F9" s="31" t="s">
        <v>59</v>
      </c>
      <c r="G9" s="4" t="s">
        <v>58</v>
      </c>
    </row>
    <row r="10" spans="1:7" x14ac:dyDescent="0.2">
      <c r="A10" s="65"/>
      <c r="B10" s="65"/>
      <c r="C10" s="65"/>
      <c r="D10" s="65"/>
      <c r="F10" s="25"/>
    </row>
    <row r="11" spans="1:7" ht="12.75" customHeight="1" x14ac:dyDescent="0.2">
      <c r="A11" s="66"/>
      <c r="B11" s="67"/>
      <c r="C11" s="67"/>
      <c r="D11" s="68"/>
      <c r="E11" s="75"/>
      <c r="F11" s="121"/>
      <c r="G11" s="30"/>
    </row>
    <row r="12" spans="1:7" ht="12.75" customHeight="1" x14ac:dyDescent="0.2">
      <c r="A12" s="69"/>
      <c r="B12" s="70"/>
      <c r="C12" s="70"/>
      <c r="D12" s="71"/>
      <c r="E12" s="76"/>
      <c r="F12" s="121"/>
      <c r="G12" s="62"/>
    </row>
    <row r="13" spans="1:7" ht="12.75" customHeight="1" x14ac:dyDescent="0.2">
      <c r="A13" s="69"/>
      <c r="B13" s="70"/>
      <c r="C13" s="70"/>
      <c r="D13" s="71"/>
      <c r="E13" s="76"/>
      <c r="F13" s="121"/>
      <c r="G13" s="62"/>
    </row>
    <row r="14" spans="1:7" ht="12.75" customHeight="1" x14ac:dyDescent="0.2">
      <c r="A14" s="72"/>
      <c r="B14" s="73"/>
      <c r="C14" s="73"/>
      <c r="D14" s="74"/>
      <c r="E14" s="77"/>
      <c r="F14" s="121"/>
      <c r="G14" s="62"/>
    </row>
    <row r="16" spans="1:7" x14ac:dyDescent="0.2">
      <c r="A16" s="23" t="s">
        <v>2</v>
      </c>
      <c r="B16" s="24" t="s">
        <v>0</v>
      </c>
      <c r="E16" s="4" t="s">
        <v>57</v>
      </c>
      <c r="F16" s="31" t="s">
        <v>59</v>
      </c>
      <c r="G16" s="23"/>
    </row>
    <row r="18" spans="1:7" x14ac:dyDescent="0.2">
      <c r="A18" s="66"/>
      <c r="B18" s="67"/>
      <c r="C18" s="67"/>
      <c r="D18" s="68"/>
      <c r="E18" s="75"/>
      <c r="F18" s="121"/>
      <c r="G18" s="62"/>
    </row>
    <row r="19" spans="1:7" x14ac:dyDescent="0.2">
      <c r="A19" s="72"/>
      <c r="B19" s="73"/>
      <c r="C19" s="73"/>
      <c r="D19" s="74"/>
      <c r="E19" s="78"/>
      <c r="F19" s="121"/>
      <c r="G19" s="62"/>
    </row>
    <row r="21" spans="1:7" x14ac:dyDescent="0.2">
      <c r="A21" s="23" t="s">
        <v>3</v>
      </c>
      <c r="B21" s="24" t="s">
        <v>0</v>
      </c>
      <c r="E21" s="4" t="s">
        <v>57</v>
      </c>
      <c r="F21" s="31" t="s">
        <v>59</v>
      </c>
      <c r="G21" s="23"/>
    </row>
    <row r="23" spans="1:7" ht="12" customHeight="1" x14ac:dyDescent="0.2">
      <c r="A23" s="63"/>
      <c r="B23" s="63"/>
      <c r="C23" s="63"/>
      <c r="D23" s="63"/>
      <c r="E23" s="64"/>
      <c r="F23" s="122"/>
      <c r="G23" s="62"/>
    </row>
    <row r="24" spans="1:7" x14ac:dyDescent="0.2">
      <c r="A24" s="63"/>
      <c r="B24" s="63"/>
      <c r="C24" s="63"/>
      <c r="D24" s="63"/>
      <c r="E24" s="64"/>
      <c r="F24" s="122"/>
      <c r="G24" s="62"/>
    </row>
    <row r="28" spans="1:7" x14ac:dyDescent="0.2">
      <c r="A28" s="22" t="s">
        <v>64</v>
      </c>
    </row>
    <row r="29" spans="1:7" x14ac:dyDescent="0.2">
      <c r="A29" s="22" t="s">
        <v>65</v>
      </c>
    </row>
  </sheetData>
  <mergeCells count="7">
    <mergeCell ref="A23:D24"/>
    <mergeCell ref="E23:E24"/>
    <mergeCell ref="A10:D10"/>
    <mergeCell ref="A11:D14"/>
    <mergeCell ref="E11:E14"/>
    <mergeCell ref="A18:D19"/>
    <mergeCell ref="E18:E19"/>
  </mergeCells>
  <printOptions horizontalCentered="1"/>
  <pageMargins left="0.39370078740157483" right="0.19685039370078741" top="0.19685039370078741" bottom="0.98425196850393704" header="0" footer="0"/>
  <pageSetup orientation="landscape" horizontalDpi="360" verticalDpi="360" r:id="rId1"/>
  <headerFooter alignWithMargins="0">
    <oddFooter>&amp;R&amp;"Abadi Extra Light,Normal"ACF27 - Primera - 23/05/2024                                Página: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zoomScale="106" zoomScaleNormal="106" zoomScaleSheetLayoutView="95" zoomScalePageLayoutView="90" workbookViewId="0">
      <selection activeCell="A4" sqref="A4:XFD4"/>
    </sheetView>
  </sheetViews>
  <sheetFormatPr baseColWidth="10" defaultColWidth="11.5703125" defaultRowHeight="12.75" x14ac:dyDescent="0.2"/>
  <cols>
    <col min="1" max="1" width="3.7109375" style="1" customWidth="1"/>
    <col min="2" max="5" width="40.7109375" style="1" customWidth="1"/>
    <col min="6" max="6" width="4.28515625" style="2" customWidth="1"/>
    <col min="7" max="16384" width="11.5703125" style="1"/>
  </cols>
  <sheetData>
    <row r="1" spans="1:6" x14ac:dyDescent="0.2">
      <c r="B1" s="123"/>
      <c r="C1" s="123"/>
      <c r="D1" s="123"/>
      <c r="E1" s="123"/>
    </row>
    <row r="2" spans="1:6" x14ac:dyDescent="0.2">
      <c r="B2" s="123"/>
      <c r="C2" s="123"/>
      <c r="D2" s="123"/>
      <c r="E2" s="123"/>
    </row>
    <row r="3" spans="1:6" x14ac:dyDescent="0.2">
      <c r="B3" s="123"/>
      <c r="C3" s="123"/>
      <c r="D3" s="123"/>
      <c r="E3" s="123"/>
    </row>
    <row r="4" spans="1:6" ht="23.25" x14ac:dyDescent="0.35">
      <c r="B4" s="124" t="s">
        <v>67</v>
      </c>
      <c r="C4" s="123"/>
      <c r="D4" s="123"/>
      <c r="E4" s="123"/>
    </row>
    <row r="5" spans="1:6" x14ac:dyDescent="0.2">
      <c r="C5" s="123"/>
      <c r="D5" s="123"/>
      <c r="E5" s="123"/>
    </row>
    <row r="6" spans="1:6" ht="39.950000000000003" customHeight="1" x14ac:dyDescent="0.2">
      <c r="B6" s="3" t="s">
        <v>1</v>
      </c>
      <c r="C6" s="125">
        <f>+Objetivos!A11</f>
        <v>0</v>
      </c>
      <c r="D6" s="126"/>
      <c r="E6" s="127"/>
      <c r="F6" s="4"/>
    </row>
    <row r="7" spans="1:6" ht="15" customHeight="1" x14ac:dyDescent="0.2">
      <c r="B7" s="128"/>
      <c r="C7" s="129"/>
      <c r="D7" s="130"/>
      <c r="E7" s="131"/>
      <c r="F7" s="4"/>
    </row>
    <row r="8" spans="1:6" ht="24.95" customHeight="1" x14ac:dyDescent="0.2">
      <c r="B8" s="40" t="s">
        <v>5</v>
      </c>
      <c r="C8" s="41" t="s">
        <v>6</v>
      </c>
      <c r="D8" s="42" t="s">
        <v>7</v>
      </c>
      <c r="E8" s="43" t="s">
        <v>8</v>
      </c>
    </row>
    <row r="9" spans="1:6" ht="45" customHeight="1" x14ac:dyDescent="0.2">
      <c r="A9" s="2"/>
      <c r="B9" s="6" t="s">
        <v>9</v>
      </c>
      <c r="C9" s="6" t="s">
        <v>10</v>
      </c>
      <c r="D9" s="6" t="s">
        <v>11</v>
      </c>
      <c r="E9" s="6" t="s">
        <v>12</v>
      </c>
    </row>
    <row r="10" spans="1:6" ht="45" customHeight="1" x14ac:dyDescent="0.2">
      <c r="A10" s="2"/>
      <c r="B10" s="6" t="s">
        <v>13</v>
      </c>
      <c r="C10" s="6" t="s">
        <v>14</v>
      </c>
      <c r="D10" s="6" t="s">
        <v>15</v>
      </c>
      <c r="E10" s="6" t="s">
        <v>16</v>
      </c>
    </row>
    <row r="11" spans="1:6" ht="45" customHeight="1" x14ac:dyDescent="0.2">
      <c r="A11" s="2"/>
      <c r="B11" s="6" t="s">
        <v>17</v>
      </c>
      <c r="C11" s="6" t="s">
        <v>18</v>
      </c>
      <c r="D11" s="6" t="s">
        <v>19</v>
      </c>
      <c r="E11" s="6" t="s">
        <v>20</v>
      </c>
    </row>
    <row r="12" spans="1:6" ht="45" customHeight="1" x14ac:dyDescent="0.2">
      <c r="A12" s="2"/>
      <c r="B12" s="6" t="s">
        <v>21</v>
      </c>
      <c r="C12" s="6" t="s">
        <v>22</v>
      </c>
      <c r="D12" s="6" t="s">
        <v>23</v>
      </c>
      <c r="E12" s="6" t="s">
        <v>24</v>
      </c>
    </row>
    <row r="13" spans="1:6" ht="45" customHeight="1" x14ac:dyDescent="0.2">
      <c r="A13" s="2"/>
      <c r="B13" s="6" t="s">
        <v>25</v>
      </c>
      <c r="C13" s="6" t="s">
        <v>26</v>
      </c>
      <c r="D13" s="6" t="s">
        <v>27</v>
      </c>
      <c r="E13" s="6" t="s">
        <v>28</v>
      </c>
    </row>
    <row r="14" spans="1:6" ht="45" customHeight="1" x14ac:dyDescent="0.2">
      <c r="A14" s="2"/>
      <c r="B14" s="6" t="s">
        <v>29</v>
      </c>
      <c r="C14" s="6" t="s">
        <v>30</v>
      </c>
      <c r="D14" s="6" t="s">
        <v>31</v>
      </c>
      <c r="E14" s="6" t="s">
        <v>32</v>
      </c>
    </row>
    <row r="15" spans="1:6" ht="45" customHeight="1" x14ac:dyDescent="0.2">
      <c r="A15" s="2"/>
      <c r="B15" s="6" t="s">
        <v>33</v>
      </c>
      <c r="C15" s="6" t="s">
        <v>34</v>
      </c>
      <c r="D15" s="6" t="s">
        <v>35</v>
      </c>
      <c r="E15" s="6" t="s">
        <v>36</v>
      </c>
    </row>
    <row r="16" spans="1:6" ht="45" customHeight="1" x14ac:dyDescent="0.2">
      <c r="A16" s="2"/>
      <c r="B16" s="6" t="s">
        <v>37</v>
      </c>
      <c r="C16" s="6" t="s">
        <v>38</v>
      </c>
      <c r="D16" s="6" t="s">
        <v>39</v>
      </c>
      <c r="E16" s="6" t="s">
        <v>40</v>
      </c>
    </row>
    <row r="17" spans="1:5" ht="45" customHeight="1" x14ac:dyDescent="0.2">
      <c r="A17" s="2"/>
      <c r="B17" s="6" t="s">
        <v>41</v>
      </c>
      <c r="C17" s="6" t="s">
        <v>42</v>
      </c>
      <c r="D17" s="6" t="s">
        <v>43</v>
      </c>
      <c r="E17" s="6" t="s">
        <v>44</v>
      </c>
    </row>
    <row r="18" spans="1:5" ht="45" customHeight="1" x14ac:dyDescent="0.2">
      <c r="A18" s="2"/>
      <c r="B18" s="6" t="s">
        <v>45</v>
      </c>
      <c r="C18" s="6" t="s">
        <v>46</v>
      </c>
      <c r="D18" s="6" t="s">
        <v>47</v>
      </c>
      <c r="E18" s="6" t="s">
        <v>48</v>
      </c>
    </row>
    <row r="19" spans="1:5" ht="19.5" customHeight="1" x14ac:dyDescent="0.2">
      <c r="A19" s="2"/>
      <c r="B19" s="7"/>
      <c r="C19" s="7"/>
      <c r="D19" s="7"/>
      <c r="E19" s="7"/>
    </row>
    <row r="20" spans="1:5" ht="39.950000000000003" customHeight="1" x14ac:dyDescent="0.2">
      <c r="B20" s="3" t="s">
        <v>2</v>
      </c>
      <c r="C20" s="80">
        <f>+Objetivos!A18</f>
        <v>0</v>
      </c>
      <c r="D20" s="81"/>
      <c r="E20" s="82"/>
    </row>
    <row r="21" spans="1:5" ht="15" customHeight="1" x14ac:dyDescent="0.2">
      <c r="B21" s="128"/>
      <c r="C21" s="132"/>
      <c r="D21" s="133"/>
      <c r="E21" s="134"/>
    </row>
    <row r="22" spans="1:5" ht="24.95" customHeight="1" x14ac:dyDescent="0.2">
      <c r="B22" s="40" t="s">
        <v>5</v>
      </c>
      <c r="C22" s="41" t="s">
        <v>6</v>
      </c>
      <c r="D22" s="42" t="s">
        <v>7</v>
      </c>
      <c r="E22" s="43" t="s">
        <v>8</v>
      </c>
    </row>
    <row r="23" spans="1:5" ht="45" customHeight="1" x14ac:dyDescent="0.2">
      <c r="B23" s="6" t="s">
        <v>9</v>
      </c>
      <c r="C23" s="6" t="s">
        <v>10</v>
      </c>
      <c r="D23" s="6" t="s">
        <v>11</v>
      </c>
      <c r="E23" s="6" t="s">
        <v>12</v>
      </c>
    </row>
    <row r="24" spans="1:5" ht="45" customHeight="1" x14ac:dyDescent="0.2">
      <c r="B24" s="6" t="s">
        <v>13</v>
      </c>
      <c r="C24" s="6" t="s">
        <v>14</v>
      </c>
      <c r="D24" s="6" t="s">
        <v>15</v>
      </c>
      <c r="E24" s="6" t="s">
        <v>16</v>
      </c>
    </row>
    <row r="25" spans="1:5" ht="45" customHeight="1" x14ac:dyDescent="0.2">
      <c r="B25" s="6" t="s">
        <v>17</v>
      </c>
      <c r="C25" s="6" t="s">
        <v>18</v>
      </c>
      <c r="D25" s="6" t="s">
        <v>19</v>
      </c>
      <c r="E25" s="6" t="s">
        <v>20</v>
      </c>
    </row>
    <row r="26" spans="1:5" ht="45" customHeight="1" x14ac:dyDescent="0.2">
      <c r="B26" s="6" t="s">
        <v>21</v>
      </c>
      <c r="C26" s="6" t="s">
        <v>22</v>
      </c>
      <c r="D26" s="6" t="s">
        <v>23</v>
      </c>
      <c r="E26" s="6" t="s">
        <v>24</v>
      </c>
    </row>
    <row r="27" spans="1:5" ht="45" customHeight="1" x14ac:dyDescent="0.2">
      <c r="B27" s="6" t="s">
        <v>25</v>
      </c>
      <c r="C27" s="6" t="s">
        <v>26</v>
      </c>
      <c r="D27" s="6" t="s">
        <v>27</v>
      </c>
      <c r="E27" s="6" t="s">
        <v>28</v>
      </c>
    </row>
    <row r="28" spans="1:5" ht="45" customHeight="1" x14ac:dyDescent="0.2">
      <c r="B28" s="6" t="s">
        <v>29</v>
      </c>
      <c r="C28" s="6" t="s">
        <v>30</v>
      </c>
      <c r="D28" s="6" t="s">
        <v>31</v>
      </c>
      <c r="E28" s="6" t="s">
        <v>32</v>
      </c>
    </row>
    <row r="30" spans="1:5" ht="39.950000000000003" customHeight="1" x14ac:dyDescent="0.2">
      <c r="B30" s="3" t="s">
        <v>3</v>
      </c>
      <c r="C30" s="80">
        <f>+Objetivos!A23</f>
        <v>0</v>
      </c>
      <c r="D30" s="81"/>
      <c r="E30" s="82"/>
    </row>
    <row r="31" spans="1:5" ht="15" customHeight="1" x14ac:dyDescent="0.2">
      <c r="B31" s="128"/>
      <c r="C31" s="132"/>
      <c r="D31" s="133"/>
      <c r="E31" s="134"/>
    </row>
    <row r="32" spans="1:5" ht="24.95" customHeight="1" x14ac:dyDescent="0.2">
      <c r="B32" s="40" t="s">
        <v>5</v>
      </c>
      <c r="C32" s="41" t="s">
        <v>6</v>
      </c>
      <c r="D32" s="42" t="s">
        <v>7</v>
      </c>
      <c r="E32" s="43" t="s">
        <v>8</v>
      </c>
    </row>
    <row r="33" spans="2:5" ht="45" customHeight="1" x14ac:dyDescent="0.2">
      <c r="B33" s="6" t="s">
        <v>9</v>
      </c>
      <c r="C33" s="6" t="s">
        <v>10</v>
      </c>
      <c r="D33" s="6" t="s">
        <v>11</v>
      </c>
      <c r="E33" s="6" t="s">
        <v>12</v>
      </c>
    </row>
    <row r="34" spans="2:5" ht="45" customHeight="1" x14ac:dyDescent="0.2">
      <c r="B34" s="6" t="s">
        <v>13</v>
      </c>
      <c r="C34" s="6" t="s">
        <v>14</v>
      </c>
      <c r="D34" s="6" t="s">
        <v>15</v>
      </c>
      <c r="E34" s="6" t="s">
        <v>16</v>
      </c>
    </row>
    <row r="35" spans="2:5" ht="45" customHeight="1" x14ac:dyDescent="0.2">
      <c r="B35" s="6" t="s">
        <v>17</v>
      </c>
      <c r="C35" s="6" t="s">
        <v>18</v>
      </c>
      <c r="D35" s="6" t="s">
        <v>19</v>
      </c>
      <c r="E35" s="6" t="s">
        <v>20</v>
      </c>
    </row>
    <row r="37" spans="2:5" ht="39.950000000000003" customHeight="1" x14ac:dyDescent="0.2">
      <c r="B37" s="3" t="s">
        <v>4</v>
      </c>
      <c r="C37" s="80" t="e">
        <f>+Objetivos!#REF!</f>
        <v>#REF!</v>
      </c>
      <c r="D37" s="81"/>
      <c r="E37" s="82"/>
    </row>
    <row r="38" spans="2:5" x14ac:dyDescent="0.2">
      <c r="B38" s="5"/>
      <c r="C38" s="79"/>
      <c r="D38" s="79"/>
      <c r="E38" s="79"/>
    </row>
    <row r="39" spans="2:5" ht="23.25" x14ac:dyDescent="0.2">
      <c r="B39" s="26" t="s">
        <v>5</v>
      </c>
      <c r="C39" s="27" t="s">
        <v>6</v>
      </c>
      <c r="D39" s="28" t="s">
        <v>7</v>
      </c>
      <c r="E39" s="29" t="s">
        <v>8</v>
      </c>
    </row>
    <row r="40" spans="2:5" ht="39.950000000000003" customHeight="1" x14ac:dyDescent="0.2">
      <c r="B40" s="6" t="s">
        <v>9</v>
      </c>
      <c r="C40" s="6" t="s">
        <v>10</v>
      </c>
      <c r="D40" s="6" t="s">
        <v>11</v>
      </c>
      <c r="E40" s="6" t="s">
        <v>12</v>
      </c>
    </row>
    <row r="41" spans="2:5" ht="39.950000000000003" customHeight="1" x14ac:dyDescent="0.2">
      <c r="B41" s="6" t="s">
        <v>13</v>
      </c>
      <c r="C41" s="6" t="s">
        <v>14</v>
      </c>
      <c r="D41" s="6" t="s">
        <v>15</v>
      </c>
      <c r="E41" s="6" t="s">
        <v>16</v>
      </c>
    </row>
    <row r="42" spans="2:5" ht="39.950000000000003" customHeight="1" x14ac:dyDescent="0.2">
      <c r="B42" s="6" t="s">
        <v>17</v>
      </c>
      <c r="C42" s="6" t="s">
        <v>18</v>
      </c>
      <c r="D42" s="6" t="s">
        <v>19</v>
      </c>
      <c r="E42" s="6" t="s">
        <v>20</v>
      </c>
    </row>
    <row r="43" spans="2:5" ht="39.950000000000003" customHeight="1" x14ac:dyDescent="0.2">
      <c r="B43" s="6" t="s">
        <v>21</v>
      </c>
      <c r="C43" s="6" t="s">
        <v>22</v>
      </c>
      <c r="D43" s="6" t="s">
        <v>23</v>
      </c>
      <c r="E43" s="6" t="s">
        <v>24</v>
      </c>
    </row>
    <row r="44" spans="2:5" ht="39.950000000000003" customHeight="1" x14ac:dyDescent="0.2">
      <c r="B44" s="6" t="s">
        <v>25</v>
      </c>
      <c r="C44" s="6" t="s">
        <v>26</v>
      </c>
      <c r="D44" s="6" t="s">
        <v>27</v>
      </c>
      <c r="E44" s="6" t="s">
        <v>28</v>
      </c>
    </row>
    <row r="45" spans="2:5" ht="39.950000000000003" customHeight="1" x14ac:dyDescent="0.2">
      <c r="B45" s="6" t="s">
        <v>29</v>
      </c>
      <c r="C45" s="6" t="s">
        <v>30</v>
      </c>
      <c r="D45" s="6" t="s">
        <v>31</v>
      </c>
      <c r="E45" s="6" t="s">
        <v>32</v>
      </c>
    </row>
    <row r="46" spans="2:5" ht="39.950000000000003" customHeight="1" x14ac:dyDescent="0.2">
      <c r="B46" s="6" t="s">
        <v>33</v>
      </c>
      <c r="C46" s="6" t="s">
        <v>34</v>
      </c>
      <c r="D46" s="6" t="s">
        <v>35</v>
      </c>
      <c r="E46" s="6" t="s">
        <v>36</v>
      </c>
    </row>
    <row r="47" spans="2:5" ht="39.950000000000003" customHeight="1" x14ac:dyDescent="0.2">
      <c r="B47" s="6" t="s">
        <v>37</v>
      </c>
      <c r="C47" s="6" t="s">
        <v>38</v>
      </c>
      <c r="D47" s="6" t="s">
        <v>39</v>
      </c>
      <c r="E47" s="6" t="s">
        <v>40</v>
      </c>
    </row>
    <row r="48" spans="2:5" ht="39.950000000000003" customHeight="1" x14ac:dyDescent="0.2">
      <c r="B48" s="6" t="s">
        <v>41</v>
      </c>
      <c r="C48" s="6" t="s">
        <v>42</v>
      </c>
      <c r="D48" s="6" t="s">
        <v>43</v>
      </c>
      <c r="E48" s="6" t="s">
        <v>44</v>
      </c>
    </row>
    <row r="49" spans="2:5" ht="39.950000000000003" customHeight="1" x14ac:dyDescent="0.2">
      <c r="B49" s="6" t="s">
        <v>45</v>
      </c>
      <c r="C49" s="6" t="s">
        <v>46</v>
      </c>
      <c r="D49" s="6" t="s">
        <v>47</v>
      </c>
      <c r="E49" s="6" t="s">
        <v>48</v>
      </c>
    </row>
  </sheetData>
  <mergeCells count="5">
    <mergeCell ref="C38:E38"/>
    <mergeCell ref="C20:E20"/>
    <mergeCell ref="C6:E6"/>
    <mergeCell ref="C30:E30"/>
    <mergeCell ref="C37:E37"/>
  </mergeCells>
  <printOptions horizontalCentered="1"/>
  <pageMargins left="0.31496062992125984" right="0.35433070866141736" top="0.11811023622047245" bottom="0.78740157480314965" header="0" footer="0"/>
  <pageSetup paperSize="9" scale="84" fitToHeight="0" orientation="landscape" horizontalDpi="360" verticalDpi="360" r:id="rId1"/>
  <headerFooter alignWithMargins="0">
    <oddFooter>&amp;R&amp;"Abadi Extra Light,Normal"ACF27 - Primera - 23/05/2024        Página: &amp;P de &amp;N</oddFooter>
  </headerFooter>
  <rowBreaks count="1" manualBreakCount="1">
    <brk id="18" max="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L69"/>
  <sheetViews>
    <sheetView showGridLines="0" tabSelected="1" zoomScale="110" zoomScaleNormal="110" zoomScalePageLayoutView="70" workbookViewId="0">
      <selection activeCell="A30" sqref="A30"/>
    </sheetView>
  </sheetViews>
  <sheetFormatPr baseColWidth="10" defaultColWidth="11.42578125" defaultRowHeight="15" customHeight="1" x14ac:dyDescent="0.25"/>
  <cols>
    <col min="1" max="1" width="38.5703125" style="9" customWidth="1"/>
    <col min="2" max="2" width="11.42578125" style="8"/>
    <col min="3" max="3" width="5.42578125" style="9" customWidth="1"/>
    <col min="4" max="4" width="38.5703125" style="9" customWidth="1"/>
    <col min="5" max="5" width="9.140625" style="8" customWidth="1"/>
    <col min="6" max="6" width="38.5703125" style="9" customWidth="1"/>
    <col min="7" max="7" width="9.42578125" style="8" customWidth="1"/>
    <col min="8" max="16384" width="11.42578125" style="9"/>
  </cols>
  <sheetData>
    <row r="4" spans="1:7" ht="23.25" customHeight="1" x14ac:dyDescent="0.25">
      <c r="A4" s="136" t="s">
        <v>67</v>
      </c>
    </row>
    <row r="6" spans="1:7" ht="30" customHeight="1" x14ac:dyDescent="0.25">
      <c r="A6" s="135" t="s">
        <v>49</v>
      </c>
      <c r="D6" s="32"/>
    </row>
    <row r="7" spans="1:7" ht="12.75" customHeight="1" x14ac:dyDescent="0.25">
      <c r="A7" s="10"/>
    </row>
    <row r="8" spans="1:7" ht="15" customHeight="1" thickBot="1" x14ac:dyDescent="0.3">
      <c r="A8" s="11"/>
      <c r="D8" s="83" t="s">
        <v>60</v>
      </c>
      <c r="E8" s="83"/>
      <c r="F8" s="83"/>
      <c r="G8" s="83"/>
    </row>
    <row r="9" spans="1:7" ht="27.75" customHeight="1" x14ac:dyDescent="0.25">
      <c r="D9" s="34" t="s">
        <v>7</v>
      </c>
      <c r="E9" s="12" t="s">
        <v>63</v>
      </c>
      <c r="F9" s="13" t="s">
        <v>8</v>
      </c>
      <c r="G9" s="12" t="s">
        <v>50</v>
      </c>
    </row>
    <row r="10" spans="1:7" ht="60" customHeight="1" x14ac:dyDescent="0.25">
      <c r="A10" s="61" t="s">
        <v>51</v>
      </c>
      <c r="D10" s="46" t="str">
        <f>+Análisis!D9</f>
        <v>O1</v>
      </c>
      <c r="E10" s="47">
        <v>3</v>
      </c>
      <c r="F10" s="46" t="str">
        <f>+Análisis!E9</f>
        <v>A1</v>
      </c>
      <c r="G10" s="47">
        <v>1</v>
      </c>
    </row>
    <row r="11" spans="1:7" ht="49.5" customHeight="1" x14ac:dyDescent="0.25">
      <c r="A11" s="137" t="s">
        <v>68</v>
      </c>
      <c r="D11" s="46" t="str">
        <f>+Análisis!D10</f>
        <v>O2</v>
      </c>
      <c r="E11" s="47">
        <v>3</v>
      </c>
      <c r="F11" s="46" t="str">
        <f>+Análisis!E10</f>
        <v>A2</v>
      </c>
      <c r="G11" s="47">
        <v>3</v>
      </c>
    </row>
    <row r="12" spans="1:7" ht="47.25" customHeight="1" x14ac:dyDescent="0.25">
      <c r="A12" s="137" t="s">
        <v>69</v>
      </c>
      <c r="D12" s="46" t="str">
        <f>+Análisis!D23</f>
        <v>O1</v>
      </c>
      <c r="E12" s="47">
        <v>2</v>
      </c>
      <c r="F12" s="46" t="str">
        <f>+Análisis!E11</f>
        <v>A3</v>
      </c>
      <c r="G12" s="47">
        <v>3</v>
      </c>
    </row>
    <row r="13" spans="1:7" ht="46.5" customHeight="1" x14ac:dyDescent="0.25">
      <c r="A13" s="137" t="s">
        <v>70</v>
      </c>
      <c r="D13" s="46" t="str">
        <f>+Análisis!D24</f>
        <v>O2</v>
      </c>
      <c r="E13" s="47">
        <v>2</v>
      </c>
      <c r="F13" s="46" t="str">
        <f>+Análisis!E12</f>
        <v>A4</v>
      </c>
      <c r="G13" s="47">
        <v>1</v>
      </c>
    </row>
    <row r="14" spans="1:7" ht="46.5" customHeight="1" x14ac:dyDescent="0.25">
      <c r="D14" s="46" t="str">
        <f>+Análisis!D33</f>
        <v>O1</v>
      </c>
      <c r="E14" s="47">
        <v>1</v>
      </c>
      <c r="F14" s="46" t="str">
        <f>+Análisis!E13</f>
        <v>A5</v>
      </c>
      <c r="G14" s="47">
        <v>1</v>
      </c>
    </row>
    <row r="15" spans="1:7" ht="61.5" customHeight="1" x14ac:dyDescent="0.25">
      <c r="A15" s="14"/>
      <c r="D15" s="46" t="str">
        <f>+Análisis!D14</f>
        <v>O6</v>
      </c>
      <c r="E15" s="47"/>
      <c r="F15" s="46" t="str">
        <f>+Análisis!E14</f>
        <v>A6</v>
      </c>
      <c r="G15" s="47">
        <v>2</v>
      </c>
    </row>
    <row r="16" spans="1:7" ht="45.75" customHeight="1" x14ac:dyDescent="0.25">
      <c r="A16" s="14"/>
      <c r="D16" s="46" t="str">
        <f>+Análisis!D15</f>
        <v>O7</v>
      </c>
      <c r="E16" s="47"/>
      <c r="F16" s="46" t="str">
        <f>+Análisis!E15</f>
        <v>A7</v>
      </c>
      <c r="G16" s="47">
        <v>3</v>
      </c>
    </row>
    <row r="17" spans="1:12" ht="47.25" customHeight="1" x14ac:dyDescent="0.25">
      <c r="D17" s="46" t="str">
        <f>+Análisis!D16</f>
        <v>O8</v>
      </c>
      <c r="E17" s="47"/>
      <c r="F17" s="46" t="str">
        <f>+Análisis!E16</f>
        <v>A8</v>
      </c>
      <c r="G17" s="47">
        <v>1</v>
      </c>
    </row>
    <row r="18" spans="1:12" ht="42.75" customHeight="1" x14ac:dyDescent="0.25">
      <c r="D18" s="46" t="str">
        <f>+Análisis!D18</f>
        <v>O10</v>
      </c>
      <c r="E18" s="47"/>
      <c r="F18" s="46" t="str">
        <f>+Análisis!E17</f>
        <v>A9</v>
      </c>
      <c r="G18" s="47">
        <v>3</v>
      </c>
    </row>
    <row r="19" spans="1:12" ht="42.75" customHeight="1" x14ac:dyDescent="0.25">
      <c r="D19" s="46"/>
      <c r="E19" s="47"/>
      <c r="F19" s="46" t="str">
        <f>+Análisis!E18</f>
        <v>A10</v>
      </c>
      <c r="G19" s="47">
        <v>3</v>
      </c>
    </row>
    <row r="20" spans="1:12" ht="57" customHeight="1" x14ac:dyDescent="0.25">
      <c r="D20" s="46"/>
      <c r="E20" s="47"/>
      <c r="F20" s="46" t="str">
        <f>+Análisis!E23</f>
        <v>A1</v>
      </c>
      <c r="G20" s="47">
        <v>2</v>
      </c>
    </row>
    <row r="21" spans="1:12" ht="57" customHeight="1" x14ac:dyDescent="0.25">
      <c r="D21" s="46"/>
      <c r="E21" s="47"/>
      <c r="F21" s="46" t="str">
        <f>+Análisis!E24</f>
        <v>A2</v>
      </c>
      <c r="G21" s="47">
        <v>1</v>
      </c>
    </row>
    <row r="22" spans="1:12" ht="38.25" customHeight="1" x14ac:dyDescent="0.25">
      <c r="D22" s="46"/>
      <c r="E22" s="47"/>
      <c r="F22" s="46" t="str">
        <f>+Análisis!E33</f>
        <v>A1</v>
      </c>
      <c r="G22" s="47">
        <v>2</v>
      </c>
    </row>
    <row r="23" spans="1:12" ht="38.25" customHeight="1" x14ac:dyDescent="0.25">
      <c r="D23" s="46"/>
      <c r="E23" s="47"/>
      <c r="F23" s="46" t="str">
        <f>+Análisis!E34</f>
        <v>A2</v>
      </c>
      <c r="G23" s="47">
        <v>2</v>
      </c>
    </row>
    <row r="24" spans="1:12" ht="15" customHeight="1" x14ac:dyDescent="0.25">
      <c r="D24" s="48" t="s">
        <v>52</v>
      </c>
      <c r="E24" s="15">
        <f>AVERAGE(E10:E15)</f>
        <v>2.2000000000000002</v>
      </c>
      <c r="F24" s="48" t="s">
        <v>52</v>
      </c>
      <c r="G24" s="15">
        <f>AVERAGE(G10:G23)</f>
        <v>2</v>
      </c>
    </row>
    <row r="25" spans="1:12" ht="23.25" customHeight="1" thickBot="1" x14ac:dyDescent="0.3">
      <c r="A25" s="83" t="s">
        <v>61</v>
      </c>
      <c r="B25" s="83"/>
      <c r="D25" s="117">
        <f>SUM(E10:E22)</f>
        <v>11</v>
      </c>
      <c r="E25" s="118"/>
      <c r="F25" s="117">
        <f>SUM(G10:G22)</f>
        <v>26</v>
      </c>
      <c r="G25" s="118"/>
    </row>
    <row r="26" spans="1:12" ht="15" customHeight="1" x14ac:dyDescent="0.25">
      <c r="A26" s="35" t="s">
        <v>5</v>
      </c>
      <c r="B26" s="16" t="s">
        <v>50</v>
      </c>
      <c r="C26" s="96">
        <f>SUM(B27:B40)</f>
        <v>39</v>
      </c>
      <c r="D26" s="84">
        <f>D25+C26</f>
        <v>50</v>
      </c>
      <c r="E26" s="85"/>
      <c r="F26" s="90">
        <f>F25+C26</f>
        <v>65</v>
      </c>
      <c r="G26" s="91"/>
    </row>
    <row r="27" spans="1:12" ht="47.25" customHeight="1" x14ac:dyDescent="0.25">
      <c r="A27" s="49" t="str">
        <f>+Análisis!B9</f>
        <v>F1</v>
      </c>
      <c r="B27" s="50">
        <v>3</v>
      </c>
      <c r="C27" s="119"/>
      <c r="D27" s="86"/>
      <c r="E27" s="87"/>
      <c r="F27" s="92"/>
      <c r="G27" s="93"/>
    </row>
    <row r="28" spans="1:12" ht="46.5" customHeight="1" x14ac:dyDescent="0.25">
      <c r="A28" s="49" t="str">
        <f>+Análisis!B10</f>
        <v>F2</v>
      </c>
      <c r="B28" s="50">
        <v>3</v>
      </c>
      <c r="C28" s="119"/>
      <c r="D28" s="86"/>
      <c r="E28" s="87"/>
      <c r="F28" s="92"/>
      <c r="G28" s="93"/>
    </row>
    <row r="29" spans="1:12" ht="47.25" customHeight="1" x14ac:dyDescent="0.25">
      <c r="A29" s="49" t="str">
        <f>+Análisis!B11</f>
        <v>F3</v>
      </c>
      <c r="B29" s="50">
        <v>3</v>
      </c>
      <c r="C29" s="119"/>
      <c r="D29" s="86"/>
      <c r="E29" s="87"/>
      <c r="F29" s="92"/>
      <c r="G29" s="93"/>
    </row>
    <row r="30" spans="1:12" ht="45.75" customHeight="1" x14ac:dyDescent="0.25">
      <c r="A30" s="49" t="str">
        <f>+Análisis!B12</f>
        <v>F4</v>
      </c>
      <c r="B30" s="50">
        <v>3</v>
      </c>
      <c r="C30" s="119"/>
      <c r="D30" s="86"/>
      <c r="E30" s="87"/>
      <c r="F30" s="92"/>
      <c r="G30" s="93"/>
    </row>
    <row r="31" spans="1:12" ht="47.25" customHeight="1" x14ac:dyDescent="0.25">
      <c r="A31" s="51" t="str">
        <f>+Análisis!B13</f>
        <v>F5</v>
      </c>
      <c r="B31" s="52">
        <v>3</v>
      </c>
      <c r="C31" s="119"/>
      <c r="D31" s="86"/>
      <c r="E31" s="87"/>
      <c r="F31" s="92"/>
      <c r="G31" s="93"/>
      <c r="H31" s="17"/>
      <c r="I31" s="18"/>
      <c r="J31" s="18"/>
      <c r="K31" s="19"/>
      <c r="L31" s="19"/>
    </row>
    <row r="32" spans="1:12" ht="46.5" customHeight="1" x14ac:dyDescent="0.25">
      <c r="A32" s="49" t="str">
        <f>+Análisis!B14</f>
        <v>F6</v>
      </c>
      <c r="B32" s="50">
        <v>3</v>
      </c>
      <c r="C32" s="119"/>
      <c r="D32" s="86"/>
      <c r="E32" s="87"/>
      <c r="F32" s="92"/>
      <c r="G32" s="93"/>
    </row>
    <row r="33" spans="1:7" ht="45.75" customHeight="1" x14ac:dyDescent="0.25">
      <c r="A33" s="49" t="str">
        <f>+Análisis!B23</f>
        <v>F1</v>
      </c>
      <c r="B33" s="50">
        <v>3</v>
      </c>
      <c r="C33" s="119"/>
      <c r="D33" s="86"/>
      <c r="E33" s="87"/>
      <c r="F33" s="92"/>
      <c r="G33" s="93"/>
    </row>
    <row r="34" spans="1:7" ht="39" customHeight="1" x14ac:dyDescent="0.25">
      <c r="A34" s="49" t="str">
        <f>+Análisis!B24</f>
        <v>F2</v>
      </c>
      <c r="B34" s="50">
        <v>3</v>
      </c>
      <c r="C34" s="119"/>
      <c r="D34" s="86"/>
      <c r="E34" s="87"/>
      <c r="F34" s="92"/>
      <c r="G34" s="93"/>
    </row>
    <row r="35" spans="1:7" ht="46.5" customHeight="1" x14ac:dyDescent="0.25">
      <c r="A35" s="49" t="str">
        <f>+Análisis!B25</f>
        <v>F3</v>
      </c>
      <c r="B35" s="50">
        <v>3</v>
      </c>
      <c r="C35" s="97"/>
      <c r="D35" s="86"/>
      <c r="E35" s="87"/>
      <c r="F35" s="92"/>
      <c r="G35" s="93"/>
    </row>
    <row r="36" spans="1:7" ht="47.25" customHeight="1" x14ac:dyDescent="0.25">
      <c r="A36" s="49" t="str">
        <f>+Análisis!B26</f>
        <v>F4</v>
      </c>
      <c r="B36" s="50">
        <v>3</v>
      </c>
      <c r="C36" s="97"/>
      <c r="D36" s="88"/>
      <c r="E36" s="89"/>
      <c r="F36" s="94"/>
      <c r="G36" s="95"/>
    </row>
    <row r="37" spans="1:7" ht="47.25" customHeight="1" x14ac:dyDescent="0.25">
      <c r="A37" s="49" t="str">
        <f>+Análisis!B33</f>
        <v>F1</v>
      </c>
      <c r="B37" s="50">
        <v>3</v>
      </c>
      <c r="C37" s="97"/>
      <c r="D37" s="36"/>
      <c r="E37" s="37"/>
      <c r="F37" s="38"/>
      <c r="G37" s="39"/>
    </row>
    <row r="38" spans="1:7" ht="47.25" customHeight="1" x14ac:dyDescent="0.25">
      <c r="A38" s="49" t="str">
        <f>+Análisis!B34</f>
        <v>F2</v>
      </c>
      <c r="B38" s="50">
        <v>3</v>
      </c>
      <c r="C38" s="97"/>
      <c r="D38" s="36"/>
      <c r="E38" s="37"/>
      <c r="F38" s="38"/>
      <c r="G38" s="39"/>
    </row>
    <row r="39" spans="1:7" ht="47.25" customHeight="1" x14ac:dyDescent="0.25">
      <c r="A39" s="49" t="str">
        <f>+Análisis!B35</f>
        <v>F3</v>
      </c>
      <c r="B39" s="50">
        <v>3</v>
      </c>
      <c r="C39" s="97"/>
      <c r="D39" s="36"/>
      <c r="E39" s="37"/>
      <c r="F39" s="38"/>
      <c r="G39" s="39"/>
    </row>
    <row r="40" spans="1:7" ht="34.5" customHeight="1" x14ac:dyDescent="0.25">
      <c r="A40" s="49" t="str">
        <f>+Análisis!B27</f>
        <v>F5</v>
      </c>
      <c r="B40" s="50"/>
      <c r="C40" s="97"/>
      <c r="D40" s="111">
        <f>D26/(D26+F26+D42+F42)</f>
        <v>0.24271844660194175</v>
      </c>
      <c r="E40" s="112"/>
      <c r="F40" s="111">
        <f>F26/(F26+D26+D42+F42)</f>
        <v>0.3155339805825243</v>
      </c>
      <c r="G40" s="112"/>
    </row>
    <row r="41" spans="1:7" ht="21.75" customHeight="1" thickBot="1" x14ac:dyDescent="0.3">
      <c r="A41" s="48" t="s">
        <v>52</v>
      </c>
      <c r="B41" s="20">
        <f>AVERAGE(B27:B40)</f>
        <v>3</v>
      </c>
      <c r="C41" s="98"/>
      <c r="D41" s="115"/>
      <c r="E41" s="116"/>
      <c r="F41" s="115"/>
      <c r="G41" s="116"/>
    </row>
    <row r="42" spans="1:7" ht="26.25" customHeight="1" x14ac:dyDescent="0.25">
      <c r="A42" s="21" t="s">
        <v>6</v>
      </c>
      <c r="B42" s="16" t="s">
        <v>50</v>
      </c>
      <c r="C42" s="96">
        <f>SUM(B43:B56)</f>
        <v>27</v>
      </c>
      <c r="D42" s="99">
        <f>C42+D25</f>
        <v>38</v>
      </c>
      <c r="E42" s="100"/>
      <c r="F42" s="105">
        <f>F25+C42</f>
        <v>53</v>
      </c>
      <c r="G42" s="106"/>
    </row>
    <row r="43" spans="1:7" ht="49.5" customHeight="1" x14ac:dyDescent="0.25">
      <c r="A43" s="46" t="str">
        <f>+Análisis!C9</f>
        <v>D1</v>
      </c>
      <c r="B43" s="50">
        <v>2</v>
      </c>
      <c r="C43" s="97"/>
      <c r="D43" s="101"/>
      <c r="E43" s="102"/>
      <c r="F43" s="107"/>
      <c r="G43" s="108"/>
    </row>
    <row r="44" spans="1:7" ht="62.25" customHeight="1" x14ac:dyDescent="0.25">
      <c r="A44" s="46" t="str">
        <f>+Análisis!C10</f>
        <v>D2</v>
      </c>
      <c r="B44" s="50">
        <v>2</v>
      </c>
      <c r="C44" s="97"/>
      <c r="D44" s="101"/>
      <c r="E44" s="102"/>
      <c r="F44" s="107"/>
      <c r="G44" s="108"/>
    </row>
    <row r="45" spans="1:7" ht="45" customHeight="1" x14ac:dyDescent="0.25">
      <c r="A45" s="46" t="str">
        <f>+Análisis!C11</f>
        <v>D3</v>
      </c>
      <c r="B45" s="50">
        <v>3</v>
      </c>
      <c r="C45" s="97"/>
      <c r="D45" s="101"/>
      <c r="E45" s="102"/>
      <c r="F45" s="107"/>
      <c r="G45" s="108"/>
    </row>
    <row r="46" spans="1:7" ht="45" customHeight="1" x14ac:dyDescent="0.25">
      <c r="A46" s="46" t="str">
        <f>+Análisis!C12</f>
        <v>D4</v>
      </c>
      <c r="B46" s="50">
        <v>2</v>
      </c>
      <c r="C46" s="97"/>
      <c r="D46" s="101"/>
      <c r="E46" s="102"/>
      <c r="F46" s="107"/>
      <c r="G46" s="108"/>
    </row>
    <row r="47" spans="1:7" ht="27.75" customHeight="1" x14ac:dyDescent="0.25">
      <c r="A47" s="46" t="str">
        <f>+Análisis!C13</f>
        <v>D5</v>
      </c>
      <c r="B47" s="50">
        <v>2</v>
      </c>
      <c r="C47" s="97"/>
      <c r="D47" s="101"/>
      <c r="E47" s="102"/>
      <c r="F47" s="107"/>
      <c r="G47" s="108"/>
    </row>
    <row r="48" spans="1:7" ht="75.75" customHeight="1" x14ac:dyDescent="0.25">
      <c r="A48" s="46" t="str">
        <f>+Análisis!C23</f>
        <v>D1</v>
      </c>
      <c r="B48" s="50">
        <v>3</v>
      </c>
      <c r="C48" s="97"/>
      <c r="D48" s="101"/>
      <c r="E48" s="102"/>
      <c r="F48" s="107"/>
      <c r="G48" s="108"/>
    </row>
    <row r="49" spans="1:7" ht="36.75" customHeight="1" x14ac:dyDescent="0.25">
      <c r="A49" s="46" t="str">
        <f>+Análisis!C24</f>
        <v>D2</v>
      </c>
      <c r="B49" s="50">
        <v>3</v>
      </c>
      <c r="C49" s="97"/>
      <c r="D49" s="101"/>
      <c r="E49" s="102"/>
      <c r="F49" s="107"/>
      <c r="G49" s="108"/>
    </row>
    <row r="50" spans="1:7" ht="38.25" customHeight="1" x14ac:dyDescent="0.25">
      <c r="A50" s="46" t="str">
        <f>+Análisis!C25</f>
        <v>D3</v>
      </c>
      <c r="B50" s="50">
        <v>1</v>
      </c>
      <c r="C50" s="97"/>
      <c r="D50" s="101"/>
      <c r="E50" s="102"/>
      <c r="F50" s="107"/>
      <c r="G50" s="108"/>
    </row>
    <row r="51" spans="1:7" ht="56.25" customHeight="1" x14ac:dyDescent="0.25">
      <c r="A51" s="46" t="str">
        <f>+Análisis!C26</f>
        <v>D4</v>
      </c>
      <c r="B51" s="50">
        <v>1</v>
      </c>
      <c r="C51" s="97"/>
      <c r="D51" s="103"/>
      <c r="E51" s="104"/>
      <c r="F51" s="109"/>
      <c r="G51" s="110"/>
    </row>
    <row r="52" spans="1:7" ht="51" customHeight="1" x14ac:dyDescent="0.25">
      <c r="A52" s="46" t="str">
        <f>+Análisis!C27</f>
        <v>D5</v>
      </c>
      <c r="B52" s="50">
        <v>2</v>
      </c>
      <c r="C52" s="97"/>
      <c r="D52" s="111">
        <f>D42/(D26+F26+D42+F42)</f>
        <v>0.18446601941747573</v>
      </c>
      <c r="E52" s="112"/>
      <c r="F52" s="111">
        <f>F42/(D26+D26+F42+F42)</f>
        <v>0.25728155339805825</v>
      </c>
      <c r="G52" s="112"/>
    </row>
    <row r="53" spans="1:7" ht="45.75" customHeight="1" x14ac:dyDescent="0.25">
      <c r="A53" s="46" t="e">
        <f>+Análisis!#REF!</f>
        <v>#REF!</v>
      </c>
      <c r="B53" s="50">
        <v>1</v>
      </c>
      <c r="C53" s="97"/>
      <c r="D53" s="113"/>
      <c r="E53" s="114"/>
      <c r="F53" s="113"/>
      <c r="G53" s="114"/>
    </row>
    <row r="54" spans="1:7" ht="45.75" customHeight="1" x14ac:dyDescent="0.25">
      <c r="A54" s="46" t="str">
        <f>+Análisis!C33</f>
        <v>D1</v>
      </c>
      <c r="B54" s="50">
        <v>1</v>
      </c>
      <c r="C54" s="97"/>
      <c r="D54" s="113"/>
      <c r="E54" s="114"/>
      <c r="F54" s="113"/>
      <c r="G54" s="114"/>
    </row>
    <row r="55" spans="1:7" ht="47.25" customHeight="1" x14ac:dyDescent="0.25">
      <c r="A55" s="46" t="str">
        <f>+Análisis!C34</f>
        <v>D2</v>
      </c>
      <c r="B55" s="50">
        <v>1</v>
      </c>
      <c r="C55" s="97"/>
      <c r="D55" s="113"/>
      <c r="E55" s="114"/>
      <c r="F55" s="113"/>
      <c r="G55" s="114"/>
    </row>
    <row r="56" spans="1:7" ht="45.75" customHeight="1" x14ac:dyDescent="0.25">
      <c r="A56" s="46" t="str">
        <f>+Análisis!C35</f>
        <v>D3</v>
      </c>
      <c r="B56" s="50">
        <v>3</v>
      </c>
      <c r="C56" s="97"/>
      <c r="D56" s="113"/>
      <c r="E56" s="114"/>
      <c r="F56" s="113"/>
      <c r="G56" s="114"/>
    </row>
    <row r="57" spans="1:7" ht="27.75" customHeight="1" thickBot="1" x14ac:dyDescent="0.3">
      <c r="A57" s="48" t="s">
        <v>52</v>
      </c>
      <c r="B57" s="20">
        <f>AVERAGE(B43:B56)</f>
        <v>1.9285714285714286</v>
      </c>
      <c r="C57" s="98"/>
      <c r="D57" s="115"/>
      <c r="E57" s="116"/>
      <c r="F57" s="115"/>
      <c r="G57" s="116"/>
    </row>
    <row r="58" spans="1:7" ht="12.75" customHeight="1" x14ac:dyDescent="0.25"/>
    <row r="63" spans="1:7" ht="15" customHeight="1" thickBot="1" x14ac:dyDescent="0.3"/>
    <row r="64" spans="1:7" ht="24.95" customHeight="1" x14ac:dyDescent="0.25">
      <c r="A64" s="53" t="s">
        <v>53</v>
      </c>
      <c r="B64" s="56">
        <f>+D40</f>
        <v>0.24271844660194175</v>
      </c>
      <c r="C64" s="57">
        <f>+D26</f>
        <v>50</v>
      </c>
    </row>
    <row r="65" spans="1:3" ht="24.95" customHeight="1" x14ac:dyDescent="0.25">
      <c r="A65" s="54" t="s">
        <v>54</v>
      </c>
      <c r="B65" s="58">
        <f>+F40</f>
        <v>0.3155339805825243</v>
      </c>
      <c r="C65" s="57">
        <f>+F26</f>
        <v>65</v>
      </c>
    </row>
    <row r="66" spans="1:3" ht="24.95" customHeight="1" x14ac:dyDescent="0.25">
      <c r="A66" s="54" t="s">
        <v>55</v>
      </c>
      <c r="B66" s="59">
        <f>+D52</f>
        <v>0.18446601941747573</v>
      </c>
      <c r="C66" s="57">
        <f>+D42</f>
        <v>38</v>
      </c>
    </row>
    <row r="67" spans="1:3" ht="24.95" customHeight="1" thickBot="1" x14ac:dyDescent="0.3">
      <c r="A67" s="55" t="s">
        <v>56</v>
      </c>
      <c r="B67" s="60">
        <f>+F52</f>
        <v>0.25728155339805825</v>
      </c>
      <c r="C67" s="57">
        <f>+F42</f>
        <v>53</v>
      </c>
    </row>
    <row r="68" spans="1:3" ht="15" customHeight="1" x14ac:dyDescent="0.25">
      <c r="A68" s="11"/>
      <c r="B68" s="33"/>
      <c r="C68" s="8"/>
    </row>
    <row r="69" spans="1:3" ht="15" customHeight="1" x14ac:dyDescent="0.25">
      <c r="A69" s="11"/>
      <c r="B69" s="33"/>
      <c r="C69" s="8"/>
    </row>
  </sheetData>
  <mergeCells count="14">
    <mergeCell ref="D8:G8"/>
    <mergeCell ref="A25:B25"/>
    <mergeCell ref="D26:E36"/>
    <mergeCell ref="F26:G36"/>
    <mergeCell ref="C42:C57"/>
    <mergeCell ref="D42:E51"/>
    <mergeCell ref="F42:G51"/>
    <mergeCell ref="D52:E57"/>
    <mergeCell ref="F52:G57"/>
    <mergeCell ref="D25:E25"/>
    <mergeCell ref="F25:G25"/>
    <mergeCell ref="C26:C41"/>
    <mergeCell ref="D40:E41"/>
    <mergeCell ref="F40:G41"/>
  </mergeCells>
  <pageMargins left="2.1653543307086616" right="1.5748031496062993" top="0.16071428571428573" bottom="0.5714285714285714" header="0" footer="0"/>
  <pageSetup scale="56" orientation="landscape" r:id="rId1"/>
  <headerFooter alignWithMargins="0">
    <oddFooter>&amp;R&amp;"Abadi Extra Light,Normal"ACF27 - Primera - 23/05/2024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4FE9911D-01E3-4D78-93C4-7CA55A1DF864}"/>
</file>

<file path=customXml/itemProps2.xml><?xml version="1.0" encoding="utf-8"?>
<ds:datastoreItem xmlns:ds="http://schemas.openxmlformats.org/officeDocument/2006/customXml" ds:itemID="{76EBC4D1-FEF0-40C6-913E-9E02E40D3844}"/>
</file>

<file path=customXml/itemProps3.xml><?xml version="1.0" encoding="utf-8"?>
<ds:datastoreItem xmlns:ds="http://schemas.openxmlformats.org/officeDocument/2006/customXml" ds:itemID="{19B8068A-B59D-492A-AA3B-DD1E60FE1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Objetivos</vt:lpstr>
      <vt:lpstr>Análisis</vt:lpstr>
      <vt:lpstr>FODA</vt:lpstr>
      <vt:lpstr>Análisis!Área_de_impresión</vt:lpstr>
      <vt:lpstr>FODA!Área_de_impresión</vt:lpstr>
      <vt:lpstr>Objetivos!Área_de_impresión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Marisela</dc:creator>
  <cp:lastModifiedBy>Elvia  Martinez Ascencio</cp:lastModifiedBy>
  <cp:lastPrinted>2024-05-23T19:43:39Z</cp:lastPrinted>
  <dcterms:created xsi:type="dcterms:W3CDTF">2017-08-04T16:24:41Z</dcterms:created>
  <dcterms:modified xsi:type="dcterms:W3CDTF">2024-05-23T19:43:56Z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