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iotecsamexico-my.sharepoint.com/personal/control_calidad_biotecsa_com/Documents/Escritorio/SGIA ISO 220002018_2024/Embarques/Formatos/"/>
    </mc:Choice>
  </mc:AlternateContent>
  <xr:revisionPtr revIDLastSave="5" documentId="13_ncr:1_{BB8692D7-44DF-4A73-863F-C796F06467DD}" xr6:coauthVersionLast="47" xr6:coauthVersionMax="47" xr10:uidLastSave="{2450DD2F-20BF-4DC2-BA67-426F0CDD8723}"/>
  <bookViews>
    <workbookView xWindow="-120" yWindow="-120" windowWidth="29040" windowHeight="15840" firstSheet="7" activeTab="7" xr2:uid="{00000000-000D-0000-FFFF-FFFF00000000}"/>
  </bookViews>
  <sheets>
    <sheet name="Registro" sheetId="4" r:id="rId1"/>
    <sheet name="BD" sheetId="5" r:id="rId2"/>
    <sheet name="Graficos" sheetId="15" r:id="rId3"/>
    <sheet name="Gráfico Kg Mensuales" sheetId="10" state="hidden" r:id="rId4"/>
    <sheet name="Kg entregados por cliente" sheetId="11" state="hidden" r:id="rId5"/>
    <sheet name="Hoja7" sheetId="12" state="hidden" r:id="rId6"/>
    <sheet name="Prueba anual" sheetId="2" state="hidden" r:id="rId7"/>
    <sheet name="Lista" sheetId="3" r:id="rId8"/>
  </sheets>
  <definedNames>
    <definedName name="_xlnm._FilterDatabase" localSheetId="1" hidden="1">BD!$A$2:$B$2</definedName>
    <definedName name="_xlnm._FilterDatabase" localSheetId="7" hidden="1">Lista!$C$2:$C$167</definedName>
    <definedName name="_xlnm._FilterDatabase" localSheetId="6" hidden="1">'Prueba anual'!$B$2:$G$1011</definedName>
    <definedName name="_xlnm.Print_Area" localSheetId="0">Registro!$A$1:$J$26</definedName>
  </definedNames>
  <calcPr calcId="191028"/>
  <pivotCaches>
    <pivotCache cacheId="7804" r:id="rId9"/>
    <pivotCache cacheId="7805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09" i="2" l="1"/>
  <c r="E1008" i="2"/>
  <c r="D1005" i="2"/>
  <c r="D1003" i="2"/>
  <c r="D990" i="2" l="1"/>
  <c r="D980" i="2"/>
  <c r="D976" i="2"/>
  <c r="D975" i="2"/>
  <c r="D970" i="2"/>
  <c r="D969" i="2"/>
  <c r="D957" i="2"/>
  <c r="D955" i="2"/>
  <c r="D954" i="2"/>
  <c r="D953" i="2"/>
  <c r="D952" i="2"/>
  <c r="D945" i="2"/>
  <c r="D944" i="2"/>
  <c r="D942" i="2"/>
  <c r="D935" i="2"/>
  <c r="D934" i="2"/>
  <c r="E926" i="2"/>
  <c r="D924" i="2"/>
  <c r="D921" i="2"/>
  <c r="D919" i="2"/>
  <c r="D918" i="2"/>
  <c r="D917" i="2"/>
  <c r="D914" i="2" l="1"/>
  <c r="D911" i="2"/>
  <c r="D906" i="2"/>
  <c r="D904" i="2"/>
  <c r="D902" i="2"/>
  <c r="D900" i="2"/>
  <c r="D891" i="2"/>
  <c r="D888" i="2"/>
  <c r="D875" i="2"/>
  <c r="D874" i="2"/>
  <c r="D873" i="2"/>
  <c r="D870" i="2"/>
  <c r="D868" i="2"/>
  <c r="D863" i="2"/>
  <c r="D862" i="2"/>
  <c r="D853" i="2"/>
  <c r="D847" i="2"/>
  <c r="D844" i="2"/>
  <c r="D842" i="2"/>
  <c r="D840" i="2"/>
  <c r="D836" i="2"/>
  <c r="D835" i="2"/>
  <c r="D829" i="2"/>
  <c r="E828" i="2"/>
  <c r="D827" i="2"/>
  <c r="D822" i="2"/>
  <c r="D818" i="2"/>
  <c r="D811" i="2"/>
  <c r="D808" i="2" l="1"/>
  <c r="D804" i="2"/>
  <c r="D802" i="2"/>
  <c r="D799" i="2"/>
  <c r="E798" i="2"/>
  <c r="D797" i="2"/>
  <c r="D794" i="2"/>
  <c r="D792" i="2"/>
  <c r="D784" i="2"/>
  <c r="D783" i="2"/>
  <c r="D777" i="2"/>
  <c r="D775" i="2"/>
  <c r="D771" i="2"/>
  <c r="D770" i="2"/>
  <c r="D767" i="2"/>
  <c r="D765" i="2"/>
  <c r="D762" i="2"/>
  <c r="D761" i="2"/>
  <c r="D760" i="2"/>
  <c r="D758" i="2"/>
  <c r="D754" i="2"/>
  <c r="D753" i="2"/>
  <c r="D749" i="2"/>
  <c r="D748" i="2"/>
  <c r="D747" i="2"/>
  <c r="D739" i="2"/>
  <c r="D735" i="2"/>
  <c r="D728" i="2"/>
  <c r="D725" i="2"/>
  <c r="E721" i="2"/>
  <c r="D716" i="2"/>
  <c r="D707" i="2" l="1"/>
  <c r="D694" i="2"/>
  <c r="D692" i="2"/>
  <c r="D687" i="2"/>
  <c r="D686" i="2"/>
  <c r="E683" i="2"/>
  <c r="D675" i="2"/>
  <c r="D673" i="2"/>
  <c r="D671" i="2"/>
  <c r="D668" i="2"/>
  <c r="D667" i="2"/>
  <c r="D663" i="2"/>
  <c r="D659" i="2"/>
  <c r="D658" i="2"/>
  <c r="D657" i="2"/>
  <c r="D656" i="2"/>
  <c r="D653" i="2"/>
  <c r="D651" i="2"/>
  <c r="D641" i="2"/>
  <c r="D637" i="2"/>
  <c r="D631" i="2"/>
  <c r="D630" i="2"/>
  <c r="D624" i="2"/>
  <c r="D621" i="2"/>
  <c r="D615" i="2"/>
  <c r="D611" i="2"/>
  <c r="D610" i="2"/>
  <c r="D606" i="2" l="1"/>
  <c r="D601" i="2"/>
  <c r="D599" i="2"/>
  <c r="D592" i="2"/>
  <c r="D585" i="2"/>
  <c r="D584" i="2"/>
  <c r="D582" i="2"/>
  <c r="D579" i="2"/>
  <c r="D576" i="2"/>
  <c r="D572" i="2"/>
  <c r="D571" i="2"/>
  <c r="D561" i="2"/>
  <c r="D556" i="2"/>
  <c r="E545" i="2"/>
  <c r="D537" i="2"/>
  <c r="D536" i="2"/>
  <c r="D535" i="2"/>
  <c r="D534" i="2"/>
  <c r="D527" i="2"/>
  <c r="D525" i="2"/>
  <c r="D523" i="2"/>
  <c r="E519" i="2"/>
  <c r="D516" i="2"/>
  <c r="D511" i="2"/>
  <c r="D510" i="2"/>
  <c r="D501" i="2" l="1"/>
  <c r="D499" i="2"/>
  <c r="D498" i="2"/>
  <c r="D497" i="2"/>
  <c r="D494" i="2"/>
  <c r="D493" i="2"/>
  <c r="D486" i="2"/>
  <c r="D482" i="2"/>
  <c r="D479" i="2"/>
  <c r="E469" i="2"/>
  <c r="D467" i="2"/>
  <c r="D458" i="2"/>
  <c r="D457" i="2"/>
  <c r="D456" i="2"/>
  <c r="D450" i="2"/>
  <c r="D445" i="2"/>
  <c r="D443" i="2"/>
  <c r="D442" i="2"/>
  <c r="D434" i="2"/>
  <c r="D433" i="2"/>
  <c r="D430" i="2"/>
  <c r="D427" i="2"/>
  <c r="D425" i="2"/>
  <c r="D421" i="2"/>
  <c r="D419" i="2"/>
  <c r="D415" i="2" l="1"/>
  <c r="D414" i="2"/>
  <c r="D412" i="2"/>
  <c r="D407" i="2"/>
  <c r="D397" i="2"/>
  <c r="D395" i="2"/>
  <c r="D394" i="2"/>
  <c r="D391" i="2"/>
  <c r="D388" i="2"/>
  <c r="D384" i="2"/>
  <c r="D367" i="2"/>
  <c r="D362" i="2"/>
  <c r="D360" i="2"/>
  <c r="D359" i="2"/>
  <c r="D357" i="2"/>
  <c r="D354" i="2"/>
  <c r="D350" i="2"/>
  <c r="D349" i="2"/>
  <c r="D346" i="2"/>
  <c r="E338" i="2"/>
  <c r="D324" i="2" l="1"/>
  <c r="D323" i="2"/>
  <c r="D322" i="2"/>
  <c r="D306" i="2"/>
  <c r="D303" i="2"/>
  <c r="D302" i="2"/>
  <c r="D293" i="2"/>
  <c r="D292" i="2"/>
  <c r="D288" i="2"/>
  <c r="D287" i="2"/>
  <c r="D286" i="2"/>
  <c r="D285" i="2"/>
  <c r="D280" i="2"/>
  <c r="D277" i="2"/>
  <c r="D274" i="2"/>
  <c r="D273" i="2"/>
  <c r="D269" i="2"/>
  <c r="D267" i="2"/>
  <c r="D266" i="2"/>
  <c r="D265" i="2"/>
  <c r="D258" i="2"/>
  <c r="D256" i="2"/>
  <c r="D250" i="2" l="1"/>
  <c r="D241" i="2"/>
  <c r="D235" i="2"/>
  <c r="D234" i="2"/>
  <c r="D232" i="2"/>
  <c r="D229" i="2"/>
  <c r="D227" i="2"/>
  <c r="D220" i="2"/>
  <c r="D214" i="2"/>
  <c r="D212" i="2"/>
  <c r="E210" i="2"/>
  <c r="D200" i="2"/>
  <c r="D186" i="2"/>
  <c r="D182" i="2"/>
  <c r="D168" i="2"/>
  <c r="D161" i="2"/>
  <c r="D160" i="2" l="1"/>
  <c r="D159" i="2"/>
  <c r="D158" i="2"/>
  <c r="D155" i="2"/>
  <c r="D150" i="2"/>
  <c r="D148" i="2"/>
  <c r="D139" i="2"/>
  <c r="D138" i="2"/>
  <c r="D137" i="2"/>
  <c r="D136" i="2"/>
  <c r="D133" i="2"/>
  <c r="D132" i="2"/>
  <c r="D129" i="2"/>
  <c r="D122" i="2"/>
  <c r="D119" i="2"/>
  <c r="D116" i="2"/>
  <c r="D115" i="2"/>
  <c r="D108" i="2"/>
  <c r="D105" i="2"/>
  <c r="D104" i="2"/>
  <c r="D99" i="2"/>
  <c r="D98" i="2"/>
  <c r="D87" i="2"/>
  <c r="D86" i="2" l="1"/>
  <c r="D80" i="2"/>
  <c r="D72" i="2"/>
  <c r="D67" i="2"/>
  <c r="D61" i="2"/>
  <c r="D52" i="2"/>
  <c r="D49" i="2"/>
  <c r="D47" i="2"/>
  <c r="D36" i="2"/>
  <c r="D31" i="2"/>
  <c r="E21" i="2"/>
  <c r="D16" i="2"/>
  <c r="D11" i="2"/>
  <c r="E9" i="2"/>
  <c r="D4" i="2"/>
</calcChain>
</file>

<file path=xl/sharedStrings.xml><?xml version="1.0" encoding="utf-8"?>
<sst xmlns="http://schemas.openxmlformats.org/spreadsheetml/2006/main" count="3565" uniqueCount="414">
  <si>
    <t>Reporte de entregas</t>
  </si>
  <si>
    <t>FECHA DE ENTREGA</t>
  </si>
  <si>
    <t>CLIENTE</t>
  </si>
  <si>
    <t>KILOS
 ENTREGADOS</t>
  </si>
  <si>
    <t xml:space="preserve">TIPO DE
 LOGÍSTICA </t>
  </si>
  <si>
    <t>CONDUCTOR</t>
  </si>
  <si>
    <t>ENTREGA COMPLETADA</t>
  </si>
  <si>
    <t>CONDUCTO</t>
  </si>
  <si>
    <t>MOTIVOS EN 
CASO DE RECHAZO</t>
  </si>
  <si>
    <t>CLASIFICACIÓN</t>
  </si>
  <si>
    <t>Costo de flete</t>
  </si>
  <si>
    <t>No aplica</t>
  </si>
  <si>
    <t>Mes</t>
  </si>
  <si>
    <t>Mes #</t>
  </si>
  <si>
    <t>KILOS ENTREGADOS</t>
  </si>
  <si>
    <t>TIPO DE ENTREGA</t>
  </si>
  <si>
    <t>(Todas)</t>
  </si>
  <si>
    <t>(Varios elementos)</t>
  </si>
  <si>
    <t>Etiquetas de fila</t>
  </si>
  <si>
    <t>Suma de KILOS ENTREGADOS</t>
  </si>
  <si>
    <t>Total general</t>
  </si>
  <si>
    <t>(en blanco)</t>
  </si>
  <si>
    <t xml:space="preserve">Suma de KILOS ENTREGADOS </t>
  </si>
  <si>
    <t>Suma de KILOS RECOLECTADOS</t>
  </si>
  <si>
    <t>Ene</t>
  </si>
  <si>
    <t>Abril</t>
  </si>
  <si>
    <t>Feb</t>
  </si>
  <si>
    <t>Mar</t>
  </si>
  <si>
    <t>May</t>
  </si>
  <si>
    <t>Jun</t>
  </si>
  <si>
    <t>Ago</t>
  </si>
  <si>
    <t>Sep</t>
  </si>
  <si>
    <t>Oct</t>
  </si>
  <si>
    <t>Nov</t>
  </si>
  <si>
    <t>Dic</t>
  </si>
  <si>
    <t>BIMBO COSTA RICA</t>
  </si>
  <si>
    <t xml:space="preserve">Cuenta de KILOS ENTREGADOS </t>
  </si>
  <si>
    <t>Cuenta de ENTREGO</t>
  </si>
  <si>
    <t>MES</t>
  </si>
  <si>
    <t xml:space="preserve">KILOS ENTREGADOS </t>
  </si>
  <si>
    <t>KILOS RECOLECTADOS</t>
  </si>
  <si>
    <t>ENTREGO</t>
  </si>
  <si>
    <t>COMENTARIOS / OBSERVACIONES</t>
  </si>
  <si>
    <t>HARINERA DE MAIZ DE JALISCO</t>
  </si>
  <si>
    <t>MARTIN</t>
  </si>
  <si>
    <t>MOLINOS AZTECA DE CHIHUAHUA</t>
  </si>
  <si>
    <t>HARINERA DE YUCATAN</t>
  </si>
  <si>
    <t>CUEROMEX</t>
  </si>
  <si>
    <t>PROGEL MEXICANA</t>
  </si>
  <si>
    <t>MOLINOS AZTECA DE CHALCO</t>
  </si>
  <si>
    <t>CESAR</t>
  </si>
  <si>
    <t>KERRY INGREDIENTS</t>
  </si>
  <si>
    <t>CLIENTE RECOLECTA</t>
  </si>
  <si>
    <t>MICHEL ONTIVEROS</t>
  </si>
  <si>
    <t>HARINERA DE VERACRUZ</t>
  </si>
  <si>
    <t>PRODS CURTIENTES</t>
  </si>
  <si>
    <t>MOLINOS AZTECA DE VERACRUZ</t>
  </si>
  <si>
    <t>BIMBO DE COSTA RICA</t>
  </si>
  <si>
    <t>EDUARDO SANCHEZ</t>
  </si>
  <si>
    <t>AVIGM</t>
  </si>
  <si>
    <t>ALFREDO</t>
  </si>
  <si>
    <t>RICAP</t>
  </si>
  <si>
    <t>SUELAS WYNY</t>
  </si>
  <si>
    <t>EFREN</t>
  </si>
  <si>
    <t>DISTRIBUIDORA TEXTIL ARRTEX</t>
  </si>
  <si>
    <t>CCM GUADALAJARA</t>
  </si>
  <si>
    <t>RECOLECTA ESTAFETA</t>
  </si>
  <si>
    <t>HEINEKEN PUEBLA</t>
  </si>
  <si>
    <t>MUESTRAS</t>
  </si>
  <si>
    <t>CURFIMEX</t>
  </si>
  <si>
    <t>BIMBO DE PANAMA</t>
  </si>
  <si>
    <t>RECOLECTA DHL</t>
  </si>
  <si>
    <t>BIMBO STA MARIA</t>
  </si>
  <si>
    <t>ENTREGA EN HUEHUETOCA</t>
  </si>
  <si>
    <t>AGRANA FRUIT</t>
  </si>
  <si>
    <t>GRIFFITH FOODS</t>
  </si>
  <si>
    <t>ENTREGA EN ATITALAQUIA HGO</t>
  </si>
  <si>
    <t>C &amp; L ALIMENTOS</t>
  </si>
  <si>
    <t>QUIMICA HERNANDEZ</t>
  </si>
  <si>
    <t>PROGEL</t>
  </si>
  <si>
    <t>CURTEC</t>
  </si>
  <si>
    <t>RECOLECCION EN FRIALSA CUAUTITLAN</t>
  </si>
  <si>
    <t>RECOLECCION EN NOVOZYMES</t>
  </si>
  <si>
    <t>HERSHEY'S  MEXICO</t>
  </si>
  <si>
    <t>ENTREGA EN GUADALAJARA</t>
  </si>
  <si>
    <t>ENTREGA EN GUADALAJARA-CAMBIO FISICO</t>
  </si>
  <si>
    <t>CCM-TECATE</t>
  </si>
  <si>
    <t>DISTRIBUIDORA DE TEXTILES AVANTE</t>
  </si>
  <si>
    <t>ENTREGA EN TOLUCA</t>
  </si>
  <si>
    <t>ANGELICA PADILLA</t>
  </si>
  <si>
    <t>CITROLIM</t>
  </si>
  <si>
    <t>BIMBO VERACRUZ</t>
  </si>
  <si>
    <t>EDGAR SEGURA</t>
  </si>
  <si>
    <t>MOLINOS AZTECA DE CHALCO-PLANTA TEOTIHUCAN</t>
  </si>
  <si>
    <t>ACABADOS RIO TEJO</t>
  </si>
  <si>
    <t>ENTREGA EN PUEBLA</t>
  </si>
  <si>
    <t>TECNODENIM</t>
  </si>
  <si>
    <t>INDUSTRIAS HOMETEX</t>
  </si>
  <si>
    <t>JUAN GERARDO</t>
  </si>
  <si>
    <t>VENDEDOR</t>
  </si>
  <si>
    <t>QUESERIA DOS LAGUNAS</t>
  </si>
  <si>
    <t>BIOTECSA TORREON</t>
  </si>
  <si>
    <t>RECOLECCION EN PRIDA</t>
  </si>
  <si>
    <t>BIMBO TOLUCA</t>
  </si>
  <si>
    <t>MANUFACTURAS KALTEX-PLANTA 2</t>
  </si>
  <si>
    <t>ENTREGA EN SN JUAN DEL RIO QRO</t>
  </si>
  <si>
    <t>GPO INDUSTRIAL CUADRITOS</t>
  </si>
  <si>
    <t>AZTECA MILLING</t>
  </si>
  <si>
    <t>RECOLECTA WELLDEX</t>
  </si>
  <si>
    <t>CURTIDOS ROMO</t>
  </si>
  <si>
    <t>MUESTRA</t>
  </si>
  <si>
    <t>CCM-MEOQUI</t>
  </si>
  <si>
    <t>ZAFRE</t>
  </si>
  <si>
    <t>PQ INTEGRADORA</t>
  </si>
  <si>
    <t>BIMBO PANAMA</t>
  </si>
  <si>
    <t>BIMBO DE YUCATAN</t>
  </si>
  <si>
    <t>IPICYT</t>
  </si>
  <si>
    <t>GRUPO INDIGO PURO</t>
  </si>
  <si>
    <t>BIMBO VILLAHERMOSA</t>
  </si>
  <si>
    <t>MARIA AGUILERA</t>
  </si>
  <si>
    <t>ENTREGA EN SN JUAN DEL RIO</t>
  </si>
  <si>
    <t>LAVAEXPORT</t>
  </si>
  <si>
    <t>RECOLECCION FRIALSA CUAUTITLAN</t>
  </si>
  <si>
    <t>MOLINOS AZTECA DE CHALCO-PLANTA TEOTIHUACAN</t>
  </si>
  <si>
    <t>BIMBO AZCAPOTZALCO</t>
  </si>
  <si>
    <t>HERSHEY'S MEXICO</t>
  </si>
  <si>
    <t>CURTIDOS TREVIÑO</t>
  </si>
  <si>
    <t>BIMBO HERMOSILLO</t>
  </si>
  <si>
    <t>LA MALTERIA EN LARA GRAJALES</t>
  </si>
  <si>
    <t>MARTIN/JOAQUIN</t>
  </si>
  <si>
    <t>ENTREGA EN HUAMANTLA TLAXCALA</t>
  </si>
  <si>
    <t>RECOLECCION EN PUERTO DE VERACRUZ</t>
  </si>
  <si>
    <t>CCM ORIZABA</t>
  </si>
  <si>
    <t>CITRICOS APATZINGAN</t>
  </si>
  <si>
    <t>ENTREGA EN LEON GTO</t>
  </si>
  <si>
    <t>NATURAL &amp; ORGANICS FARMS MEXICO</t>
  </si>
  <si>
    <t>DEVOLUCION EN NOVOZYMES MEXICO</t>
  </si>
  <si>
    <t>2 TAMBOS DE ATTENUZYME</t>
  </si>
  <si>
    <t>MANUFACTURAS KALTEX</t>
  </si>
  <si>
    <t>OMAR GARDUÑO</t>
  </si>
  <si>
    <t>BIMBO YUCATAN</t>
  </si>
  <si>
    <t>MOLINOS AZTECA TAMPICO</t>
  </si>
  <si>
    <t>REYNALDO RUEDAS</t>
  </si>
  <si>
    <t>CITA 08:00 HRS</t>
  </si>
  <si>
    <t>MANUFACTURAS KALTEX-PLANTA 4</t>
  </si>
  <si>
    <t>PRODS PERLA</t>
  </si>
  <si>
    <t>WRANGLER DE MEXICO</t>
  </si>
  <si>
    <t>CCM-ORIZABA</t>
  </si>
  <si>
    <t>GELITA MEXICO</t>
  </si>
  <si>
    <t>BLANCA ARMIDA BELTRAN</t>
  </si>
  <si>
    <t>MOLINERA DE MEXICO</t>
  </si>
  <si>
    <t>MEXENIL ADITIVOS</t>
  </si>
  <si>
    <t>CITROJUGO</t>
  </si>
  <si>
    <t>MALTERIA-HUAMANTLA</t>
  </si>
  <si>
    <t>ENTREGA EN HUAMANTLA-TLAXCALA</t>
  </si>
  <si>
    <t>BIMBO SN LUIS POTOSI</t>
  </si>
  <si>
    <t>CCM-TOLUCA</t>
  </si>
  <si>
    <t>BIMBO PUEBLA</t>
  </si>
  <si>
    <t>COMPAÑÍA CERVECERA DE COAHUILA</t>
  </si>
  <si>
    <t>EFREN/MARTIN</t>
  </si>
  <si>
    <t>ENTREGA DIRECTA EN PIEDRAS NEGRAS COAHUILA</t>
  </si>
  <si>
    <t>MOLINOS AZTECA NUEVO LEON</t>
  </si>
  <si>
    <t>COLOIDALES DUCHE</t>
  </si>
  <si>
    <t>BIMBO CENTROAMERICA</t>
  </si>
  <si>
    <t>RECOLECCION NOVOZYMES</t>
  </si>
  <si>
    <t>GPO INDIGO PURO</t>
  </si>
  <si>
    <t>MAURICIO WONG</t>
  </si>
  <si>
    <t>MUESTRAS LEON</t>
  </si>
  <si>
    <t>HEINEKEN (MALTERIA)</t>
  </si>
  <si>
    <t>ENTREGA EN HUAMANTLA</t>
  </si>
  <si>
    <t xml:space="preserve">MARTIN </t>
  </si>
  <si>
    <t>RECOLECCION EN LIQUID QUIMICA</t>
  </si>
  <si>
    <t>GRUPO INDUSTRIAL CUADRITOS</t>
  </si>
  <si>
    <t>BIOTECSA LEON</t>
  </si>
  <si>
    <t>CCM-NAVOJOA</t>
  </si>
  <si>
    <t>GRIFFITH LABORATORIOS</t>
  </si>
  <si>
    <t>MOLINOS AZTECA DE CHALCO PLANTA TEOTIHUCAN</t>
  </si>
  <si>
    <t>MOLINOS AZTECA DE CHIAPAS</t>
  </si>
  <si>
    <t>PROVO BEVEAGES</t>
  </si>
  <si>
    <t>RECOLECTA FEDEX</t>
  </si>
  <si>
    <t>BIMBO DE CENTROAMERICA</t>
  </si>
  <si>
    <t xml:space="preserve">RECOLECCION EN NOVOZYMES </t>
  </si>
  <si>
    <t>ANILINAS Y QUIMICOS TEXTILES</t>
  </si>
  <si>
    <t>RAMON DELGADILLO</t>
  </si>
  <si>
    <t>CCM TECATE</t>
  </si>
  <si>
    <t>TECHNICAL SUPPLIER</t>
  </si>
  <si>
    <t>DEUTSCHE QUIMICA</t>
  </si>
  <si>
    <t>ENTREGA EN SANTIAGO TIANGUISTENGO</t>
  </si>
  <si>
    <t>NOVO ORGANICA</t>
  </si>
  <si>
    <t>DISTRIBUIDORA DE TEXTILES AVANTE-TESATI</t>
  </si>
  <si>
    <t>DISTRIBUIDORA TEXTIL ARTTEX</t>
  </si>
  <si>
    <t>BIOTECNICA INTERNACIONAL</t>
  </si>
  <si>
    <t>RECOLECCION EN FRIALSA</t>
  </si>
  <si>
    <t>MOLINOS AZTECA DE TAMPICO</t>
  </si>
  <si>
    <t>ALIMENTOS PROFUSA</t>
  </si>
  <si>
    <t>ENTREGA EN ZAMORA MICH</t>
  </si>
  <si>
    <t>TECNICOS ESPECIALIZADOS EN ALIMENTOS</t>
  </si>
  <si>
    <t>ENTREGA EN TOLUCA-SE ENTREGA MUESTRA</t>
  </si>
  <si>
    <t>MOLINO LA ROSALEDA</t>
  </si>
  <si>
    <t>LAVANDERIA LIDER</t>
  </si>
  <si>
    <t>ENTREGA EN ZACUALTIPAN HGO SE ENTREGA MUESTRA</t>
  </si>
  <si>
    <t>ENTREGA EN TOLUCA EDO MEX</t>
  </si>
  <si>
    <t>GRUPO MICHEL</t>
  </si>
  <si>
    <t>MANUFACTURAS KALTEX PLANTA 2</t>
  </si>
  <si>
    <t>MANUFACTURAS KALTEX PLANTA 4</t>
  </si>
  <si>
    <t>EDGAR MUÑOZ</t>
  </si>
  <si>
    <t>ENTREGA EN ZACUALTIPAN HGO-RECOLECTO EDGAR MUÑOZ</t>
  </si>
  <si>
    <t>MOLINOS AZTECA CHIHUAHUA</t>
  </si>
  <si>
    <t>BIMBO SANTA MARIA</t>
  </si>
  <si>
    <t>CUALQUIER LAVADO</t>
  </si>
  <si>
    <t>MARTIN MANJARREZ</t>
  </si>
  <si>
    <t>RECOLECCION EN LEON MEXICO</t>
  </si>
  <si>
    <t>RECOLECCION LIQUID QUIMICA</t>
  </si>
  <si>
    <t>GELITA</t>
  </si>
  <si>
    <t>VILLA VERDE AGRICOLA</t>
  </si>
  <si>
    <t>HERSHEY'S</t>
  </si>
  <si>
    <t>RECOLECCION EN LOGISTICOS DE TEHUCAN</t>
  </si>
  <si>
    <t>DEVOLUCION DEL CLIENTE QUIMITEXSA</t>
  </si>
  <si>
    <t>DANIEL ROMO CUELLAR</t>
  </si>
  <si>
    <t>STONE LAV</t>
  </si>
  <si>
    <t>DISTRIBUIDORA DE TEXTILES AVANTE.TESATI</t>
  </si>
  <si>
    <t>1 MUESTRA</t>
  </si>
  <si>
    <t>CCM MALTERIA DE LARA GRAJALES</t>
  </si>
  <si>
    <t>ENTREGA EN TLAXCALA</t>
  </si>
  <si>
    <t>BIOTECSA LEON-MUESTRAS</t>
  </si>
  <si>
    <t>ANTONIO VALTIERRA</t>
  </si>
  <si>
    <t>PRODUCTOS PERLA</t>
  </si>
  <si>
    <t>PRODS TANIART</t>
  </si>
  <si>
    <t>BIMBO TEPEJI</t>
  </si>
  <si>
    <t>DISTRIBUIDORA DE TEXTILES AVANTE-TOLUCA</t>
  </si>
  <si>
    <t>ARCHROMA</t>
  </si>
  <si>
    <t>CITRICOS DE APATZINGAN</t>
  </si>
  <si>
    <t>DISTRIBUIDORA DE TEXTILES AVANTE-PLANTA TESATI</t>
  </si>
  <si>
    <t>CCM-TOLUCA-MUESTRAS</t>
  </si>
  <si>
    <t>MOLINOS AZTECA RIO BRAVO</t>
  </si>
  <si>
    <t>QUIMTOL</t>
  </si>
  <si>
    <t>CARLOS RAMOS</t>
  </si>
  <si>
    <t>SE LLEVA PRODUCTO A OFICINAS DORADO</t>
  </si>
  <si>
    <t>RUFINO</t>
  </si>
  <si>
    <t>SE LLEVA PRODUCTO A OFICINAS DORADO 24-06-2019</t>
  </si>
  <si>
    <t xml:space="preserve">ENTREGA EN SN JUAN DEL RIO </t>
  </si>
  <si>
    <t>VALLE REDONDO</t>
  </si>
  <si>
    <t>MEXICANA DE FORMULACIONES</t>
  </si>
  <si>
    <t>ANTONIO</t>
  </si>
  <si>
    <t>DISTRIBUIDORA DE TEXTIL ARRTEX</t>
  </si>
  <si>
    <t>HARI MASA</t>
  </si>
  <si>
    <t>CCM-MONTERREY</t>
  </si>
  <si>
    <t>GPUPO IND CUADRITOS</t>
  </si>
  <si>
    <t>ANTONIO/ALFREDO</t>
  </si>
  <si>
    <t>BLANCA ARMIDA</t>
  </si>
  <si>
    <t>VERTICAL KNITS</t>
  </si>
  <si>
    <t>CONFRUTTA</t>
  </si>
  <si>
    <t>EDGAR SEGURA/ANTONIO</t>
  </si>
  <si>
    <t xml:space="preserve">ARTURO V R </t>
  </si>
  <si>
    <t>EDUARDO WONG</t>
  </si>
  <si>
    <t>PC BIOLOGICS</t>
  </si>
  <si>
    <t>RECOLECTO RODOLFO AYALA</t>
  </si>
  <si>
    <t>MEXENIL ALIMENTOS</t>
  </si>
  <si>
    <t>ENTREGA EN ZACUALTIPAN HGO-C</t>
  </si>
  <si>
    <t>ENTREGA EN ORIZABA VER</t>
  </si>
  <si>
    <t>CARLOS RAMOS1</t>
  </si>
  <si>
    <t>MENSAJERO LLEVO AL DORADO</t>
  </si>
  <si>
    <t>TBG APPAREL</t>
  </si>
  <si>
    <t>INDUSTRIAS ZUCO</t>
  </si>
  <si>
    <t>CCM-MALTERIA DE GRAJALES</t>
  </si>
  <si>
    <t>LIDER JEANS</t>
  </si>
  <si>
    <t>ENTREGA EN ZACUALTIPÁN HGO-C</t>
  </si>
  <si>
    <t>MAXICANA DE FORMULACIONES</t>
  </si>
  <si>
    <t>GRUPO INDUSTRIAL POMET</t>
  </si>
  <si>
    <t>RECOLECCION EN ARCHROMA</t>
  </si>
  <si>
    <t>INVESTIGACION PRODUCTIVA</t>
  </si>
  <si>
    <t>ARTURO V R</t>
  </si>
  <si>
    <t>DISTRIBUIRORA TEXTIL ARRTEX</t>
  </si>
  <si>
    <t>DIET LINE LATIN AMERICA</t>
  </si>
  <si>
    <t>QUIMITEXSA</t>
  </si>
  <si>
    <t>ARTURO/ALFREDO</t>
  </si>
  <si>
    <t>KL25</t>
  </si>
  <si>
    <t>BLOOM</t>
  </si>
  <si>
    <t>SOAKING</t>
  </si>
  <si>
    <t>CCM TOLUCA</t>
  </si>
  <si>
    <t>CCM MEOQUI</t>
  </si>
  <si>
    <t>CIATEJ</t>
  </si>
  <si>
    <t>EDUARDO SANCHEZ/ANTONIO</t>
  </si>
  <si>
    <t>ENTREGA EN ORIZABA VER.</t>
  </si>
  <si>
    <t>SEMINIS VEGETABLES SEED MEXICANA</t>
  </si>
  <si>
    <t>MALTERIA LARA GRAJALES</t>
  </si>
  <si>
    <t>GRUPO IND CUADRITOS</t>
  </si>
  <si>
    <t>AGROPECUARIA SANS SOUCI</t>
  </si>
  <si>
    <t>RODOLFO AYALA</t>
  </si>
  <si>
    <t>ENTREGA EN AEROMEXICO</t>
  </si>
  <si>
    <t>ENTREGA EN FLECHISA</t>
  </si>
  <si>
    <t>HARIMASA</t>
  </si>
  <si>
    <t>DANIEL ROMO</t>
  </si>
  <si>
    <t>RECOLECCION ARCHROMA</t>
  </si>
  <si>
    <t>INDUSTRIAS SEA</t>
  </si>
  <si>
    <t>NOVA ORGANICA</t>
  </si>
  <si>
    <t>RECOLECCION EN TRANSP. CALAFIA</t>
  </si>
  <si>
    <t>URGENCIA</t>
  </si>
  <si>
    <t>ENTREGAR MUESTRA</t>
  </si>
  <si>
    <t>PROVEEDOR INTERNACIONAL DE QUIMICOS</t>
  </si>
  <si>
    <t>URGENTE</t>
  </si>
  <si>
    <t>MOLINOS AZTECA DE NUEVO LEON</t>
  </si>
  <si>
    <t>MEJORPLUS</t>
  </si>
  <si>
    <t>ENTREGA EN ZACUALTIPAN HGO</t>
  </si>
  <si>
    <t>LAVANDERIA LOS ALAMOS</t>
  </si>
  <si>
    <t>PROVO BEVERAGES</t>
  </si>
  <si>
    <t>PRODUCTOS CURTIENTES</t>
  </si>
  <si>
    <t>ENTREGA EN SABADO</t>
  </si>
  <si>
    <t>COMERCIALIZADORA EL ORO</t>
  </si>
  <si>
    <t>15 CUÑETES VACIOS</t>
  </si>
  <si>
    <t>STRONGEST JEANS</t>
  </si>
  <si>
    <t>CARLO RAMOS</t>
  </si>
  <si>
    <t>SE ENVIO AL DORADO POR SOLICITUD DEL VENDEDOR</t>
  </si>
  <si>
    <t>HERSHEY'S DE MEXICO</t>
  </si>
  <si>
    <t>ENTREGA EN VALLE DE SANTIAGO GTO</t>
  </si>
  <si>
    <t>URGENCIA SE EMBARCO POR ETN</t>
  </si>
  <si>
    <t>PLANTA TEOTIHUACAN</t>
  </si>
  <si>
    <t xml:space="preserve">CESAR </t>
  </si>
  <si>
    <t>CCM-MALTERIA LARA GRAJALES</t>
  </si>
  <si>
    <t>SABADO</t>
  </si>
  <si>
    <t>1 CAJA CON MUESTRAS</t>
  </si>
  <si>
    <t>CONE DENIM</t>
  </si>
  <si>
    <t>ENTREGA EN YECAPIXTLA EDO MEX</t>
  </si>
  <si>
    <t>RESTAURANTES TOKS</t>
  </si>
  <si>
    <t>SE ANEXA 1 MUESTRA</t>
  </si>
  <si>
    <t>MOLINOS AZTECA VERACRUZ</t>
  </si>
  <si>
    <t>ENTREGA EN JACONA MICH</t>
  </si>
  <si>
    <t>COLIDALES DUCHE</t>
  </si>
  <si>
    <t>RECOLECCION FRIALSA</t>
  </si>
  <si>
    <t>CONFECCIONES TEXTILES DE TEZIUTLAN</t>
  </si>
  <si>
    <t>BIOTECSA LEON-MUESTRA</t>
  </si>
  <si>
    <t>GPO IND CUADRITOS</t>
  </si>
  <si>
    <t>GPO AGROINDUSTRIAL POMET</t>
  </si>
  <si>
    <t>CCM LA MALTERIA LARA GRAJALES</t>
  </si>
  <si>
    <t>ENTREGA EN HUAMANTLA-TLAX</t>
  </si>
  <si>
    <t>PRODS INDUSTRIALES DE LEON</t>
  </si>
  <si>
    <t>EFREN/ANTONIO</t>
  </si>
  <si>
    <t>GPO INDUSTRIAL MICHEL</t>
  </si>
  <si>
    <t>PRODS INDS DE LEON</t>
  </si>
  <si>
    <t>ENTREGAR EN OFICINAS DORADO</t>
  </si>
  <si>
    <t>FLAVIO BERNARDINO</t>
  </si>
  <si>
    <t>CCM-GUADALAJARA</t>
  </si>
  <si>
    <t>QUIMICOS VEMONT</t>
  </si>
  <si>
    <t>RECOLECCION EN POCHTECA</t>
  </si>
  <si>
    <t>DIOXIDO DE SILICIO</t>
  </si>
  <si>
    <t>MARTIN/CESAR</t>
  </si>
  <si>
    <t>C&amp;L ALIMENTOS</t>
  </si>
  <si>
    <t>RECOLECCION PRIDA CD MEXICO</t>
  </si>
  <si>
    <t>BIMBO DE HERMOSILLO</t>
  </si>
  <si>
    <t>PRODUCTORA DE ALIMENTOS MEXICANOS</t>
  </si>
  <si>
    <t xml:space="preserve">CARLOS RAMOS </t>
  </si>
  <si>
    <t>LLEVAR AL DORADO</t>
  </si>
  <si>
    <t>SE LLEVO UNA MUESTRA</t>
  </si>
  <si>
    <t>ENTREGA EN SN JUAN TEOTIHUACAN</t>
  </si>
  <si>
    <t>QUIMICA HERNANDEZ RAMIREZ</t>
  </si>
  <si>
    <t>MARIA ELIZABETH MORENO</t>
  </si>
  <si>
    <t>BIMBO DE VERACRUZ</t>
  </si>
  <si>
    <t>ENVIO SANTIAGO EL DIA SABADO EL PEDIDO</t>
  </si>
  <si>
    <t>KERRYINGREDIENTS</t>
  </si>
  <si>
    <t>Cliente</t>
  </si>
  <si>
    <t>Operador</t>
  </si>
  <si>
    <t>Observaciones</t>
  </si>
  <si>
    <t>completada</t>
  </si>
  <si>
    <t>Conductor</t>
  </si>
  <si>
    <t>Clasificación</t>
  </si>
  <si>
    <t>Conducto</t>
  </si>
  <si>
    <t>Tipo de Logistica</t>
  </si>
  <si>
    <t>Documentos erróneos</t>
  </si>
  <si>
    <t>Si</t>
  </si>
  <si>
    <t>Efren Alvarez</t>
  </si>
  <si>
    <t>Calidad</t>
  </si>
  <si>
    <t>Biotecsa</t>
  </si>
  <si>
    <t>Entrega</t>
  </si>
  <si>
    <t>Falta de documentos</t>
  </si>
  <si>
    <t>No</t>
  </si>
  <si>
    <t>Marco Antonio Flores</t>
  </si>
  <si>
    <t>Inocuidad</t>
  </si>
  <si>
    <t>Fletera-3 guerras</t>
  </si>
  <si>
    <t>Recolección</t>
  </si>
  <si>
    <t>Producto dañado</t>
  </si>
  <si>
    <t>Cesar Gómez</t>
  </si>
  <si>
    <t>Documental</t>
  </si>
  <si>
    <t>Fletera-Flechisa</t>
  </si>
  <si>
    <t>Devolución</t>
  </si>
  <si>
    <t>Producto cambiado</t>
  </si>
  <si>
    <t>Edgar Segura</t>
  </si>
  <si>
    <t>Servicio</t>
  </si>
  <si>
    <t>Fletera-Trasportes León mex.</t>
  </si>
  <si>
    <t>Muestra</t>
  </si>
  <si>
    <t>Llegada tardía</t>
  </si>
  <si>
    <t>Martín Manjarrez</t>
  </si>
  <si>
    <t>Fletera-Logisticos de tehuacán</t>
  </si>
  <si>
    <t>Mal comportamiento del conductor</t>
  </si>
  <si>
    <t>Carlos Ramos</t>
  </si>
  <si>
    <t>Fletera-Logisticos de la angelopolis</t>
  </si>
  <si>
    <t>Pago de IMSS</t>
  </si>
  <si>
    <t>Antonio Valtierra</t>
  </si>
  <si>
    <t>Fletera-Transportes la Anita</t>
  </si>
  <si>
    <t>Falta de maniobra para descarga</t>
  </si>
  <si>
    <t>Fernando Arenas</t>
  </si>
  <si>
    <t>Fletera- Almex</t>
  </si>
  <si>
    <t>incumplimiento en inocuidad</t>
  </si>
  <si>
    <t>Fletera-Autolineas villarreal</t>
  </si>
  <si>
    <t>incumplimiento en calidad</t>
  </si>
  <si>
    <t>Fletera-Estrella blanca</t>
  </si>
  <si>
    <t>Fletera-Transportes castores</t>
  </si>
  <si>
    <t>Feltera-expresso</t>
  </si>
  <si>
    <t>Fletera-Weldex</t>
  </si>
  <si>
    <t>Fletera-Metepori</t>
  </si>
  <si>
    <t>Fletera-Transportes condesa</t>
  </si>
  <si>
    <t>Fletera-Transportes grupo Barba</t>
  </si>
  <si>
    <t>PROALMEX</t>
  </si>
  <si>
    <t>60 a 70</t>
  </si>
  <si>
    <t>clientes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</si>
</sst>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0"/>
      <name val="Arial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sz val="10"/>
      <color rgb="FF0000FF"/>
      <name val="Arial Narrow"/>
      <family val="2"/>
    </font>
    <font>
      <sz val="10"/>
      <color rgb="FFFF0000"/>
      <name val="Arial Narrow"/>
      <family val="2"/>
    </font>
    <font>
      <sz val="12"/>
      <name val="Arial Narrow"/>
      <family val="2"/>
    </font>
    <font>
      <sz val="10"/>
      <color rgb="FF00B0F0"/>
      <name val="Arial Narrow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theme="0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sz val="2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79">
    <xf numFmtId="0" fontId="0" fillId="0" borderId="0" xfId="0"/>
    <xf numFmtId="0" fontId="1" fillId="0" borderId="1" xfId="0" applyFont="1" applyBorder="1"/>
    <xf numFmtId="2" fontId="1" fillId="0" borderId="1" xfId="0" applyNumberFormat="1" applyFont="1" applyBorder="1"/>
    <xf numFmtId="0" fontId="1" fillId="0" borderId="2" xfId="0" applyFont="1" applyBorder="1"/>
    <xf numFmtId="0" fontId="1" fillId="0" borderId="4" xfId="0" applyFont="1" applyBorder="1"/>
    <xf numFmtId="0" fontId="1" fillId="0" borderId="5" xfId="0" applyFont="1" applyBorder="1"/>
    <xf numFmtId="2" fontId="1" fillId="0" borderId="1" xfId="0" applyNumberFormat="1" applyFont="1" applyBorder="1" applyAlignment="1">
      <alignment horizontal="right"/>
    </xf>
    <xf numFmtId="4" fontId="1" fillId="0" borderId="1" xfId="0" applyNumberFormat="1" applyFont="1" applyBorder="1"/>
    <xf numFmtId="0" fontId="1" fillId="0" borderId="6" xfId="0" applyFont="1" applyBorder="1"/>
    <xf numFmtId="2" fontId="1" fillId="0" borderId="4" xfId="0" applyNumberFormat="1" applyFont="1" applyBorder="1"/>
    <xf numFmtId="2" fontId="1" fillId="0" borderId="6" xfId="0" applyNumberFormat="1" applyFont="1" applyBorder="1"/>
    <xf numFmtId="2" fontId="1" fillId="0" borderId="6" xfId="0" applyNumberFormat="1" applyFont="1" applyBorder="1" applyAlignment="1">
      <alignment horizontal="right"/>
    </xf>
    <xf numFmtId="2" fontId="1" fillId="0" borderId="5" xfId="0" applyNumberFormat="1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2" xfId="0" applyFont="1" applyBorder="1"/>
    <xf numFmtId="4" fontId="1" fillId="0" borderId="6" xfId="0" applyNumberFormat="1" applyFont="1" applyBorder="1"/>
    <xf numFmtId="4" fontId="1" fillId="0" borderId="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6" xfId="0" applyFont="1" applyBorder="1"/>
    <xf numFmtId="0" fontId="1" fillId="0" borderId="3" xfId="0" applyFont="1" applyBorder="1"/>
    <xf numFmtId="0" fontId="1" fillId="0" borderId="13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11" xfId="0" applyFont="1" applyBorder="1"/>
    <xf numFmtId="2" fontId="1" fillId="0" borderId="11" xfId="0" applyNumberFormat="1" applyFont="1" applyBorder="1"/>
    <xf numFmtId="2" fontId="1" fillId="0" borderId="11" xfId="0" applyNumberFormat="1" applyFont="1" applyBorder="1" applyAlignment="1">
      <alignment horizontal="right"/>
    </xf>
    <xf numFmtId="0" fontId="1" fillId="0" borderId="21" xfId="0" applyFont="1" applyBorder="1"/>
    <xf numFmtId="0" fontId="1" fillId="0" borderId="6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2" fontId="1" fillId="0" borderId="7" xfId="0" applyNumberFormat="1" applyFont="1" applyBorder="1"/>
    <xf numFmtId="2" fontId="1" fillId="0" borderId="22" xfId="0" applyNumberFormat="1" applyFont="1" applyBorder="1" applyAlignment="1">
      <alignment horizontal="right"/>
    </xf>
    <xf numFmtId="2" fontId="1" fillId="0" borderId="23" xfId="0" applyNumberFormat="1" applyFont="1" applyBorder="1"/>
    <xf numFmtId="2" fontId="1" fillId="0" borderId="21" xfId="0" applyNumberFormat="1" applyFont="1" applyBorder="1" applyAlignment="1">
      <alignment horizontal="right"/>
    </xf>
    <xf numFmtId="2" fontId="1" fillId="0" borderId="24" xfId="0" applyNumberFormat="1" applyFont="1" applyBorder="1"/>
    <xf numFmtId="2" fontId="1" fillId="0" borderId="0" xfId="0" applyNumberFormat="1" applyFont="1"/>
    <xf numFmtId="2" fontId="1" fillId="0" borderId="26" xfId="0" applyNumberFormat="1" applyFont="1" applyBorder="1"/>
    <xf numFmtId="2" fontId="1" fillId="0" borderId="22" xfId="0" applyNumberFormat="1" applyFont="1" applyBorder="1"/>
    <xf numFmtId="2" fontId="1" fillId="0" borderId="21" xfId="0" applyNumberFormat="1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8" xfId="0" applyFont="1" applyBorder="1" applyAlignment="1">
      <alignment horizontal="left"/>
    </xf>
    <xf numFmtId="2" fontId="1" fillId="0" borderId="4" xfId="0" applyNumberFormat="1" applyFont="1" applyBorder="1" applyAlignment="1">
      <alignment horizontal="left"/>
    </xf>
    <xf numFmtId="2" fontId="1" fillId="0" borderId="6" xfId="0" applyNumberFormat="1" applyFont="1" applyBorder="1" applyAlignment="1">
      <alignment horizontal="left"/>
    </xf>
    <xf numFmtId="2" fontId="1" fillId="0" borderId="22" xfId="0" applyNumberFormat="1" applyFont="1" applyBorder="1" applyAlignment="1">
      <alignment horizontal="left"/>
    </xf>
    <xf numFmtId="2" fontId="1" fillId="0" borderId="1" xfId="0" applyNumberFormat="1" applyFont="1" applyBorder="1" applyAlignment="1">
      <alignment horizontal="left"/>
    </xf>
    <xf numFmtId="0" fontId="1" fillId="0" borderId="20" xfId="0" applyFont="1" applyBorder="1"/>
    <xf numFmtId="0" fontId="3" fillId="0" borderId="2" xfId="0" quotePrefix="1" applyFont="1" applyBorder="1" applyAlignment="1">
      <alignment horizontal="left"/>
    </xf>
    <xf numFmtId="2" fontId="1" fillId="0" borderId="27" xfId="0" applyNumberFormat="1" applyFont="1" applyBorder="1"/>
    <xf numFmtId="0" fontId="1" fillId="0" borderId="22" xfId="0" applyFont="1" applyBorder="1" applyAlignment="1">
      <alignment horizontal="left"/>
    </xf>
    <xf numFmtId="4" fontId="1" fillId="0" borderId="24" xfId="0" applyNumberFormat="1" applyFont="1" applyBorder="1"/>
    <xf numFmtId="2" fontId="1" fillId="0" borderId="4" xfId="0" applyNumberFormat="1" applyFont="1" applyBorder="1" applyAlignment="1">
      <alignment horizontal="center"/>
    </xf>
    <xf numFmtId="2" fontId="1" fillId="0" borderId="6" xfId="0" applyNumberFormat="1" applyFont="1" applyBorder="1" applyAlignment="1">
      <alignment horizontal="center"/>
    </xf>
    <xf numFmtId="0" fontId="1" fillId="0" borderId="28" xfId="0" applyFont="1" applyBorder="1"/>
    <xf numFmtId="0" fontId="1" fillId="0" borderId="10" xfId="0" applyFont="1" applyBorder="1" applyAlignment="1">
      <alignment horizontal="left"/>
    </xf>
    <xf numFmtId="2" fontId="1" fillId="0" borderId="2" xfId="0" applyNumberFormat="1" applyFont="1" applyBorder="1" applyAlignment="1">
      <alignment horizontal="left"/>
    </xf>
    <xf numFmtId="2" fontId="1" fillId="0" borderId="8" xfId="0" applyNumberFormat="1" applyFont="1" applyBorder="1"/>
    <xf numFmtId="4" fontId="1" fillId="0" borderId="11" xfId="0" applyNumberFormat="1" applyFont="1" applyBorder="1"/>
    <xf numFmtId="4" fontId="1" fillId="0" borderId="7" xfId="0" applyNumberFormat="1" applyFont="1" applyBorder="1"/>
    <xf numFmtId="0" fontId="1" fillId="0" borderId="24" xfId="0" applyFont="1" applyBorder="1" applyAlignment="1">
      <alignment horizontal="left"/>
    </xf>
    <xf numFmtId="0" fontId="1" fillId="0" borderId="8" xfId="0" applyFont="1" applyBorder="1"/>
    <xf numFmtId="2" fontId="1" fillId="0" borderId="0" xfId="0" applyNumberFormat="1" applyFont="1" applyAlignment="1">
      <alignment horizontal="left"/>
    </xf>
    <xf numFmtId="2" fontId="1" fillId="0" borderId="9" xfId="0" applyNumberFormat="1" applyFont="1" applyBorder="1" applyAlignment="1">
      <alignment horizontal="left"/>
    </xf>
    <xf numFmtId="0" fontId="4" fillId="0" borderId="2" xfId="0" applyFont="1" applyBorder="1"/>
    <xf numFmtId="4" fontId="1" fillId="0" borderId="8" xfId="0" applyNumberFormat="1" applyFont="1" applyBorder="1"/>
    <xf numFmtId="0" fontId="1" fillId="0" borderId="11" xfId="0" applyFont="1" applyBorder="1" applyAlignment="1">
      <alignment horizontal="left"/>
    </xf>
    <xf numFmtId="2" fontId="5" fillId="0" borderId="1" xfId="0" applyNumberFormat="1" applyFont="1" applyBorder="1"/>
    <xf numFmtId="2" fontId="1" fillId="0" borderId="17" xfId="0" applyNumberFormat="1" applyFont="1" applyBorder="1"/>
    <xf numFmtId="2" fontId="1" fillId="0" borderId="29" xfId="0" applyNumberFormat="1" applyFont="1" applyBorder="1" applyAlignment="1">
      <alignment horizontal="left"/>
    </xf>
    <xf numFmtId="4" fontId="1" fillId="0" borderId="23" xfId="0" applyNumberFormat="1" applyFont="1" applyBorder="1"/>
    <xf numFmtId="2" fontId="4" fillId="0" borderId="2" xfId="0" applyNumberFormat="1" applyFont="1" applyBorder="1" applyAlignment="1">
      <alignment horizontal="left"/>
    </xf>
    <xf numFmtId="4" fontId="1" fillId="0" borderId="25" xfId="0" applyNumberFormat="1" applyFont="1" applyBorder="1"/>
    <xf numFmtId="0" fontId="5" fillId="0" borderId="14" xfId="0" applyFont="1" applyBorder="1"/>
    <xf numFmtId="0" fontId="5" fillId="0" borderId="1" xfId="0" applyFont="1" applyBorder="1"/>
    <xf numFmtId="2" fontId="5" fillId="0" borderId="21" xfId="0" applyNumberFormat="1" applyFont="1" applyBorder="1"/>
    <xf numFmtId="4" fontId="1" fillId="0" borderId="22" xfId="0" applyNumberFormat="1" applyFont="1" applyBorder="1"/>
    <xf numFmtId="0" fontId="1" fillId="0" borderId="23" xfId="0" applyFont="1" applyBorder="1"/>
    <xf numFmtId="2" fontId="1" fillId="0" borderId="11" xfId="0" applyNumberFormat="1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4" fillId="0" borderId="1" xfId="0" applyFont="1" applyBorder="1"/>
    <xf numFmtId="2" fontId="4" fillId="0" borderId="1" xfId="0" applyNumberFormat="1" applyFont="1" applyBorder="1"/>
    <xf numFmtId="2" fontId="4" fillId="0" borderId="1" xfId="0" applyNumberFormat="1" applyFont="1" applyBorder="1" applyAlignment="1">
      <alignment horizontal="left"/>
    </xf>
    <xf numFmtId="2" fontId="1" fillId="0" borderId="7" xfId="0" applyNumberFormat="1" applyFont="1" applyBorder="1" applyAlignment="1">
      <alignment horizontal="left"/>
    </xf>
    <xf numFmtId="2" fontId="1" fillId="0" borderId="10" xfId="0" applyNumberFormat="1" applyFont="1" applyBorder="1" applyAlignment="1">
      <alignment horizontal="left"/>
    </xf>
    <xf numFmtId="4" fontId="1" fillId="0" borderId="26" xfId="0" applyNumberFormat="1" applyFont="1" applyBorder="1"/>
    <xf numFmtId="2" fontId="1" fillId="0" borderId="8" xfId="0" applyNumberFormat="1" applyFont="1" applyBorder="1" applyAlignment="1">
      <alignment horizontal="right"/>
    </xf>
    <xf numFmtId="2" fontId="1" fillId="0" borderId="24" xfId="0" applyNumberFormat="1" applyFont="1" applyBorder="1" applyAlignment="1">
      <alignment horizontal="right"/>
    </xf>
    <xf numFmtId="2" fontId="1" fillId="0" borderId="24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6" xfId="0" applyFont="1" applyBorder="1"/>
    <xf numFmtId="0" fontId="1" fillId="0" borderId="8" xfId="0" applyFont="1" applyBorder="1" applyAlignment="1">
      <alignment horizontal="left"/>
    </xf>
    <xf numFmtId="0" fontId="4" fillId="0" borderId="5" xfId="0" applyFont="1" applyBorder="1"/>
    <xf numFmtId="0" fontId="1" fillId="0" borderId="25" xfId="0" applyFont="1" applyBorder="1"/>
    <xf numFmtId="0" fontId="1" fillId="0" borderId="12" xfId="0" applyFont="1" applyBorder="1" applyAlignment="1">
      <alignment horizontal="left"/>
    </xf>
    <xf numFmtId="2" fontId="4" fillId="0" borderId="6" xfId="0" applyNumberFormat="1" applyFont="1" applyBorder="1" applyAlignment="1">
      <alignment horizontal="right"/>
    </xf>
    <xf numFmtId="2" fontId="4" fillId="0" borderId="21" xfId="0" applyNumberFormat="1" applyFont="1" applyBorder="1" applyAlignment="1">
      <alignment horizontal="left"/>
    </xf>
    <xf numFmtId="0" fontId="5" fillId="0" borderId="4" xfId="0" applyFont="1" applyBorder="1"/>
    <xf numFmtId="0" fontId="5" fillId="0" borderId="9" xfId="0" applyFont="1" applyBorder="1"/>
    <xf numFmtId="0" fontId="5" fillId="0" borderId="6" xfId="0" applyFont="1" applyBorder="1"/>
    <xf numFmtId="4" fontId="5" fillId="0" borderId="1" xfId="0" applyNumberFormat="1" applyFont="1" applyBorder="1"/>
    <xf numFmtId="2" fontId="5" fillId="0" borderId="4" xfId="0" applyNumberFormat="1" applyFont="1" applyBorder="1"/>
    <xf numFmtId="0" fontId="5" fillId="0" borderId="12" xfId="0" applyFont="1" applyBorder="1"/>
    <xf numFmtId="0" fontId="5" fillId="0" borderId="8" xfId="0" applyFont="1" applyBorder="1"/>
    <xf numFmtId="2" fontId="5" fillId="0" borderId="8" xfId="0" applyNumberFormat="1" applyFont="1" applyBorder="1"/>
    <xf numFmtId="0" fontId="5" fillId="0" borderId="10" xfId="0" applyFont="1" applyBorder="1"/>
    <xf numFmtId="4" fontId="4" fillId="0" borderId="1" xfId="0" applyNumberFormat="1" applyFont="1" applyBorder="1"/>
    <xf numFmtId="0" fontId="4" fillId="0" borderId="9" xfId="0" applyFont="1" applyBorder="1"/>
    <xf numFmtId="0" fontId="1" fillId="0" borderId="15" xfId="0" applyFont="1" applyBorder="1" applyAlignment="1">
      <alignment horizontal="left"/>
    </xf>
    <xf numFmtId="2" fontId="4" fillId="0" borderId="1" xfId="0" applyNumberFormat="1" applyFont="1" applyBorder="1" applyAlignment="1">
      <alignment horizontal="right"/>
    </xf>
    <xf numFmtId="0" fontId="5" fillId="0" borderId="1" xfId="0" applyFont="1" applyBorder="1" applyAlignment="1">
      <alignment horizontal="left"/>
    </xf>
    <xf numFmtId="2" fontId="5" fillId="0" borderId="1" xfId="0" applyNumberFormat="1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30" xfId="0" applyFont="1" applyBorder="1"/>
    <xf numFmtId="4" fontId="1" fillId="0" borderId="0" xfId="0" applyNumberFormat="1" applyFont="1"/>
    <xf numFmtId="2" fontId="5" fillId="0" borderId="1" xfId="0" applyNumberFormat="1" applyFont="1" applyBorder="1" applyAlignment="1">
      <alignment horizontal="right"/>
    </xf>
    <xf numFmtId="0" fontId="5" fillId="0" borderId="2" xfId="0" applyFont="1" applyBorder="1"/>
    <xf numFmtId="0" fontId="5" fillId="0" borderId="6" xfId="0" applyFont="1" applyBorder="1" applyAlignment="1">
      <alignment horizontal="left"/>
    </xf>
    <xf numFmtId="2" fontId="5" fillId="0" borderId="6" xfId="0" applyNumberFormat="1" applyFont="1" applyBorder="1"/>
    <xf numFmtId="2" fontId="1" fillId="0" borderId="30" xfId="0" applyNumberFormat="1" applyFont="1" applyBorder="1"/>
    <xf numFmtId="2" fontId="5" fillId="0" borderId="5" xfId="0" applyNumberFormat="1" applyFont="1" applyBorder="1"/>
    <xf numFmtId="2" fontId="5" fillId="0" borderId="26" xfId="0" applyNumberFormat="1" applyFont="1" applyBorder="1"/>
    <xf numFmtId="2" fontId="1" fillId="0" borderId="21" xfId="0" applyNumberFormat="1" applyFont="1" applyBorder="1"/>
    <xf numFmtId="0" fontId="5" fillId="0" borderId="16" xfId="0" applyFont="1" applyBorder="1"/>
    <xf numFmtId="2" fontId="5" fillId="0" borderId="11" xfId="0" applyNumberFormat="1" applyFont="1" applyBorder="1"/>
    <xf numFmtId="2" fontId="1" fillId="0" borderId="27" xfId="0" applyNumberFormat="1" applyFont="1" applyBorder="1" applyAlignment="1">
      <alignment horizontal="left"/>
    </xf>
    <xf numFmtId="4" fontId="4" fillId="0" borderId="23" xfId="0" applyNumberFormat="1" applyFont="1" applyBorder="1"/>
    <xf numFmtId="2" fontId="4" fillId="0" borderId="5" xfId="0" applyNumberFormat="1" applyFont="1" applyBorder="1"/>
    <xf numFmtId="0" fontId="4" fillId="0" borderId="14" xfId="0" applyFont="1" applyBorder="1"/>
    <xf numFmtId="2" fontId="1" fillId="0" borderId="8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right"/>
    </xf>
    <xf numFmtId="2" fontId="1" fillId="0" borderId="20" xfId="0" applyNumberFormat="1" applyFont="1" applyBorder="1" applyAlignment="1">
      <alignment horizontal="left"/>
    </xf>
    <xf numFmtId="4" fontId="1" fillId="3" borderId="1" xfId="0" applyNumberFormat="1" applyFont="1" applyFill="1" applyBorder="1"/>
    <xf numFmtId="0" fontId="1" fillId="3" borderId="1" xfId="0" applyFont="1" applyFill="1" applyBorder="1"/>
    <xf numFmtId="0" fontId="2" fillId="2" borderId="5" xfId="0" applyFont="1" applyFill="1" applyBorder="1" applyAlignment="1">
      <alignment horizontal="center" vertical="center"/>
    </xf>
    <xf numFmtId="2" fontId="2" fillId="2" borderId="5" xfId="0" quotePrefix="1" applyNumberFormat="1" applyFont="1" applyFill="1" applyBorder="1" applyAlignment="1">
      <alignment horizontal="center" vertical="center" wrapText="1"/>
    </xf>
    <xf numFmtId="2" fontId="2" fillId="2" borderId="5" xfId="0" applyNumberFormat="1" applyFont="1" applyFill="1" applyBorder="1" applyAlignment="1">
      <alignment horizontal="center" vertical="center" wrapText="1"/>
    </xf>
    <xf numFmtId="2" fontId="5" fillId="0" borderId="6" xfId="0" applyNumberFormat="1" applyFont="1" applyBorder="1" applyAlignment="1">
      <alignment horizontal="right"/>
    </xf>
    <xf numFmtId="2" fontId="5" fillId="0" borderId="21" xfId="0" applyNumberFormat="1" applyFont="1" applyBorder="1" applyAlignment="1">
      <alignment horizontal="left"/>
    </xf>
    <xf numFmtId="4" fontId="4" fillId="0" borderId="4" xfId="0" applyNumberFormat="1" applyFont="1" applyBorder="1"/>
    <xf numFmtId="2" fontId="1" fillId="0" borderId="16" xfId="0" applyNumberFormat="1" applyFont="1" applyBorder="1" applyAlignment="1">
      <alignment horizontal="left"/>
    </xf>
    <xf numFmtId="4" fontId="1" fillId="0" borderId="5" xfId="0" applyNumberFormat="1" applyFont="1" applyBorder="1"/>
    <xf numFmtId="4" fontId="1" fillId="0" borderId="27" xfId="0" applyNumberFormat="1" applyFont="1" applyBorder="1"/>
    <xf numFmtId="0" fontId="1" fillId="0" borderId="19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2" fontId="4" fillId="0" borderId="26" xfId="0" applyNumberFormat="1" applyFont="1" applyBorder="1" applyAlignment="1">
      <alignment horizontal="left"/>
    </xf>
    <xf numFmtId="0" fontId="1" fillId="0" borderId="1" xfId="0" applyFont="1" applyBorder="1" applyAlignment="1">
      <alignment wrapText="1"/>
    </xf>
    <xf numFmtId="0" fontId="5" fillId="0" borderId="15" xfId="0" applyFont="1" applyBorder="1"/>
    <xf numFmtId="0" fontId="1" fillId="0" borderId="1" xfId="0" applyFont="1" applyBorder="1" applyAlignment="1">
      <alignment horizontal="left" wrapText="1"/>
    </xf>
    <xf numFmtId="4" fontId="4" fillId="0" borderId="6" xfId="0" applyNumberFormat="1" applyFont="1" applyBorder="1"/>
    <xf numFmtId="2" fontId="5" fillId="0" borderId="17" xfId="0" applyNumberFormat="1" applyFont="1" applyBorder="1"/>
    <xf numFmtId="2" fontId="5" fillId="0" borderId="29" xfId="0" applyNumberFormat="1" applyFont="1" applyBorder="1" applyAlignment="1">
      <alignment horizontal="left"/>
    </xf>
    <xf numFmtId="2" fontId="4" fillId="0" borderId="21" xfId="0" applyNumberFormat="1" applyFont="1" applyBorder="1" applyAlignment="1">
      <alignment horizontal="right"/>
    </xf>
    <xf numFmtId="2" fontId="4" fillId="0" borderId="16" xfId="0" applyNumberFormat="1" applyFont="1" applyBorder="1" applyAlignment="1">
      <alignment horizontal="left"/>
    </xf>
    <xf numFmtId="0" fontId="7" fillId="0" borderId="2" xfId="0" applyFont="1" applyBorder="1"/>
    <xf numFmtId="2" fontId="5" fillId="0" borderId="22" xfId="0" applyNumberFormat="1" applyFont="1" applyBorder="1"/>
    <xf numFmtId="2" fontId="5" fillId="0" borderId="25" xfId="0" applyNumberFormat="1" applyFont="1" applyBorder="1"/>
    <xf numFmtId="0" fontId="1" fillId="0" borderId="7" xfId="0" applyFont="1" applyBorder="1" applyAlignment="1">
      <alignment horizontal="left"/>
    </xf>
    <xf numFmtId="0" fontId="1" fillId="0" borderId="31" xfId="0" applyFont="1" applyBorder="1" applyAlignment="1">
      <alignment horizontal="left"/>
    </xf>
    <xf numFmtId="0" fontId="1" fillId="0" borderId="31" xfId="0" applyFont="1" applyBorder="1"/>
    <xf numFmtId="0" fontId="1" fillId="0" borderId="32" xfId="0" applyFont="1" applyBorder="1"/>
    <xf numFmtId="0" fontId="5" fillId="0" borderId="31" xfId="0" applyFont="1" applyBorder="1"/>
    <xf numFmtId="0" fontId="1" fillId="0" borderId="33" xfId="0" applyFont="1" applyBorder="1"/>
    <xf numFmtId="0" fontId="4" fillId="0" borderId="31" xfId="0" applyFont="1" applyBorder="1"/>
    <xf numFmtId="0" fontId="1" fillId="0" borderId="33" xfId="0" applyFont="1" applyBorder="1" applyAlignment="1">
      <alignment horizontal="left"/>
    </xf>
    <xf numFmtId="0" fontId="1" fillId="0" borderId="30" xfId="0" applyFont="1" applyBorder="1" applyAlignment="1">
      <alignment horizontal="left"/>
    </xf>
    <xf numFmtId="0" fontId="1" fillId="0" borderId="32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5" fillId="0" borderId="33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17" xfId="0" applyFont="1" applyBorder="1"/>
    <xf numFmtId="0" fontId="1" fillId="0" borderId="34" xfId="0" applyFont="1" applyBorder="1"/>
    <xf numFmtId="0" fontId="4" fillId="0" borderId="32" xfId="0" applyFont="1" applyBorder="1"/>
    <xf numFmtId="0" fontId="1" fillId="0" borderId="34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1" fillId="0" borderId="31" xfId="0" applyFont="1" applyBorder="1" applyAlignment="1">
      <alignment wrapText="1"/>
    </xf>
    <xf numFmtId="0" fontId="1" fillId="0" borderId="31" xfId="0" applyFont="1" applyBorder="1" applyAlignment="1">
      <alignment horizontal="left" wrapText="1"/>
    </xf>
    <xf numFmtId="0" fontId="4" fillId="0" borderId="17" xfId="0" applyFont="1" applyBorder="1"/>
    <xf numFmtId="0" fontId="4" fillId="0" borderId="33" xfId="0" applyFont="1" applyBorder="1"/>
    <xf numFmtId="0" fontId="5" fillId="0" borderId="17" xfId="0" applyFont="1" applyBorder="1"/>
    <xf numFmtId="0" fontId="5" fillId="0" borderId="30" xfId="0" applyFont="1" applyBorder="1"/>
    <xf numFmtId="0" fontId="5" fillId="0" borderId="32" xfId="0" applyFont="1" applyBorder="1"/>
    <xf numFmtId="0" fontId="5" fillId="0" borderId="33" xfId="0" applyFont="1" applyBorder="1"/>
    <xf numFmtId="0" fontId="5" fillId="0" borderId="31" xfId="0" applyFont="1" applyBorder="1" applyAlignment="1">
      <alignment horizontal="left"/>
    </xf>
    <xf numFmtId="0" fontId="4" fillId="0" borderId="12" xfId="0" applyFont="1" applyBorder="1"/>
    <xf numFmtId="0" fontId="5" fillId="0" borderId="21" xfId="0" applyFont="1" applyBorder="1"/>
    <xf numFmtId="0" fontId="5" fillId="0" borderId="10" xfId="0" applyFont="1" applyBorder="1" applyAlignment="1">
      <alignment horizontal="left"/>
    </xf>
    <xf numFmtId="0" fontId="1" fillId="0" borderId="26" xfId="0" applyFont="1" applyBorder="1" applyAlignment="1">
      <alignment horizontal="left"/>
    </xf>
    <xf numFmtId="4" fontId="5" fillId="0" borderId="4" xfId="0" applyNumberFormat="1" applyFont="1" applyBorder="1"/>
    <xf numFmtId="2" fontId="1" fillId="0" borderId="5" xfId="0" applyNumberFormat="1" applyFont="1" applyBorder="1" applyAlignment="1">
      <alignment horizontal="right"/>
    </xf>
    <xf numFmtId="2" fontId="1" fillId="0" borderId="26" xfId="0" applyNumberFormat="1" applyFont="1" applyBorder="1" applyAlignment="1">
      <alignment horizontal="left"/>
    </xf>
    <xf numFmtId="4" fontId="5" fillId="0" borderId="8" xfId="0" applyNumberFormat="1" applyFont="1" applyBorder="1"/>
    <xf numFmtId="4" fontId="5" fillId="0" borderId="24" xfId="0" applyNumberFormat="1" applyFont="1" applyBorder="1"/>
    <xf numFmtId="2" fontId="5" fillId="0" borderId="16" xfId="0" applyNumberFormat="1" applyFont="1" applyBorder="1" applyAlignment="1">
      <alignment horizontal="left"/>
    </xf>
    <xf numFmtId="4" fontId="5" fillId="0" borderId="26" xfId="0" applyNumberFormat="1" applyFont="1" applyBorder="1"/>
    <xf numFmtId="2" fontId="5" fillId="0" borderId="10" xfId="0" applyNumberFormat="1" applyFont="1" applyBorder="1" applyAlignment="1">
      <alignment horizontal="left"/>
    </xf>
    <xf numFmtId="2" fontId="4" fillId="0" borderId="26" xfId="0" applyNumberFormat="1" applyFont="1" applyBorder="1"/>
    <xf numFmtId="2" fontId="1" fillId="0" borderId="25" xfId="0" applyNumberFormat="1" applyFont="1" applyBorder="1"/>
    <xf numFmtId="0" fontId="4" fillId="0" borderId="11" xfId="0" applyFont="1" applyBorder="1"/>
    <xf numFmtId="2" fontId="4" fillId="0" borderId="11" xfId="0" applyNumberFormat="1" applyFont="1" applyBorder="1"/>
    <xf numFmtId="2" fontId="4" fillId="0" borderId="22" xfId="0" applyNumberFormat="1" applyFont="1" applyBorder="1"/>
    <xf numFmtId="4" fontId="4" fillId="0" borderId="5" xfId="0" applyNumberFormat="1" applyFont="1" applyBorder="1"/>
    <xf numFmtId="4" fontId="4" fillId="0" borderId="27" xfId="0" applyNumberFormat="1" applyFont="1" applyBorder="1"/>
    <xf numFmtId="0" fontId="4" fillId="0" borderId="20" xfId="0" applyFont="1" applyBorder="1"/>
    <xf numFmtId="0" fontId="5" fillId="0" borderId="11" xfId="0" applyFont="1" applyBorder="1"/>
    <xf numFmtId="4" fontId="5" fillId="0" borderId="11" xfId="0" applyNumberFormat="1" applyFont="1" applyBorder="1"/>
    <xf numFmtId="4" fontId="5" fillId="0" borderId="7" xfId="0" applyNumberFormat="1" applyFont="1" applyBorder="1"/>
    <xf numFmtId="0" fontId="5" fillId="0" borderId="3" xfId="0" applyFont="1" applyBorder="1"/>
    <xf numFmtId="2" fontId="5" fillId="0" borderId="4" xfId="0" applyNumberFormat="1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2" fontId="5" fillId="0" borderId="7" xfId="0" applyNumberFormat="1" applyFont="1" applyBorder="1"/>
    <xf numFmtId="2" fontId="5" fillId="0" borderId="11" xfId="0" applyNumberFormat="1" applyFont="1" applyBorder="1" applyAlignment="1">
      <alignment horizontal="left"/>
    </xf>
    <xf numFmtId="0" fontId="5" fillId="0" borderId="13" xfId="0" applyFont="1" applyBorder="1"/>
    <xf numFmtId="2" fontId="5" fillId="0" borderId="21" xfId="0" applyNumberFormat="1" applyFont="1" applyBorder="1" applyAlignment="1">
      <alignment horizontal="right"/>
    </xf>
    <xf numFmtId="2" fontId="5" fillId="0" borderId="20" xfId="0" applyNumberFormat="1" applyFont="1" applyBorder="1" applyAlignment="1">
      <alignment horizontal="left"/>
    </xf>
    <xf numFmtId="0" fontId="5" fillId="0" borderId="25" xfId="0" applyFont="1" applyBorder="1"/>
    <xf numFmtId="0" fontId="5" fillId="0" borderId="22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2" fontId="4" fillId="0" borderId="4" xfId="0" applyNumberFormat="1" applyFont="1" applyBorder="1"/>
    <xf numFmtId="0" fontId="4" fillId="0" borderId="22" xfId="0" applyFont="1" applyBorder="1" applyAlignment="1">
      <alignment horizontal="left"/>
    </xf>
    <xf numFmtId="2" fontId="5" fillId="0" borderId="24" xfId="0" applyNumberFormat="1" applyFont="1" applyBorder="1"/>
    <xf numFmtId="0" fontId="4" fillId="0" borderId="18" xfId="0" applyFont="1" applyBorder="1"/>
    <xf numFmtId="2" fontId="4" fillId="0" borderId="6" xfId="0" applyNumberFormat="1" applyFont="1" applyBorder="1"/>
    <xf numFmtId="2" fontId="4" fillId="0" borderId="6" xfId="0" applyNumberFormat="1" applyFont="1" applyBorder="1" applyAlignment="1">
      <alignment horizontal="center"/>
    </xf>
    <xf numFmtId="0" fontId="4" fillId="0" borderId="10" xfId="0" applyFont="1" applyBorder="1"/>
    <xf numFmtId="0" fontId="1" fillId="0" borderId="28" xfId="0" applyFont="1" applyBorder="1" applyAlignment="1">
      <alignment horizontal="left"/>
    </xf>
    <xf numFmtId="0" fontId="8" fillId="0" borderId="0" xfId="0" applyFont="1"/>
    <xf numFmtId="2" fontId="5" fillId="0" borderId="2" xfId="0" applyNumberFormat="1" applyFont="1" applyBorder="1" applyAlignment="1">
      <alignment horizontal="left"/>
    </xf>
    <xf numFmtId="2" fontId="4" fillId="0" borderId="20" xfId="0" applyNumberFormat="1" applyFont="1" applyBorder="1" applyAlignment="1">
      <alignment horizontal="left"/>
    </xf>
    <xf numFmtId="2" fontId="1" fillId="0" borderId="27" xfId="0" applyNumberFormat="1" applyFont="1" applyBorder="1" applyAlignment="1">
      <alignment horizontal="right"/>
    </xf>
    <xf numFmtId="0" fontId="4" fillId="0" borderId="24" xfId="0" applyFont="1" applyBorder="1" applyAlignment="1">
      <alignment horizontal="left"/>
    </xf>
    <xf numFmtId="4" fontId="4" fillId="0" borderId="8" xfId="0" applyNumberFormat="1" applyFont="1" applyBorder="1"/>
    <xf numFmtId="4" fontId="4" fillId="0" borderId="24" xfId="0" applyNumberFormat="1" applyFont="1" applyBorder="1"/>
    <xf numFmtId="0" fontId="4" fillId="0" borderId="16" xfId="0" applyFont="1" applyBorder="1"/>
    <xf numFmtId="2" fontId="5" fillId="0" borderId="30" xfId="0" applyNumberFormat="1" applyFont="1" applyBorder="1"/>
    <xf numFmtId="2" fontId="5" fillId="0" borderId="0" xfId="0" applyNumberFormat="1" applyFont="1" applyAlignment="1">
      <alignment horizontal="left"/>
    </xf>
    <xf numFmtId="0" fontId="5" fillId="0" borderId="11" xfId="0" applyFont="1" applyBorder="1" applyAlignment="1">
      <alignment horizontal="left"/>
    </xf>
    <xf numFmtId="0" fontId="5" fillId="0" borderId="5" xfId="0" applyFont="1" applyBorder="1"/>
    <xf numFmtId="4" fontId="5" fillId="0" borderId="5" xfId="0" applyNumberFormat="1" applyFont="1" applyBorder="1"/>
    <xf numFmtId="4" fontId="5" fillId="0" borderId="27" xfId="0" applyNumberFormat="1" applyFont="1" applyBorder="1"/>
    <xf numFmtId="0" fontId="5" fillId="0" borderId="20" xfId="0" applyFont="1" applyBorder="1"/>
    <xf numFmtId="2" fontId="1" fillId="0" borderId="5" xfId="0" applyNumberFormat="1" applyFont="1" applyBorder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14" fontId="6" fillId="0" borderId="31" xfId="0" applyNumberFormat="1" applyFont="1" applyBorder="1" applyAlignment="1">
      <alignment horizontal="center" vertical="center" wrapText="1"/>
    </xf>
    <xf numFmtId="14" fontId="6" fillId="0" borderId="31" xfId="0" applyNumberFormat="1" applyFont="1" applyBorder="1" applyAlignment="1">
      <alignment horizontal="center"/>
    </xf>
    <xf numFmtId="14" fontId="6" fillId="0" borderId="32" xfId="0" applyNumberFormat="1" applyFont="1" applyBorder="1" applyAlignment="1">
      <alignment horizontal="center"/>
    </xf>
    <xf numFmtId="14" fontId="6" fillId="0" borderId="7" xfId="0" applyNumberFormat="1" applyFont="1" applyBorder="1" applyAlignment="1">
      <alignment horizontal="center" vertical="center" wrapText="1"/>
    </xf>
    <xf numFmtId="14" fontId="6" fillId="0" borderId="17" xfId="0" applyNumberFormat="1" applyFont="1" applyBorder="1" applyAlignment="1">
      <alignment horizontal="center"/>
    </xf>
    <xf numFmtId="14" fontId="6" fillId="0" borderId="34" xfId="0" applyNumberFormat="1" applyFont="1" applyBorder="1" applyAlignment="1">
      <alignment horizontal="center"/>
    </xf>
    <xf numFmtId="14" fontId="6" fillId="0" borderId="35" xfId="0" applyNumberFormat="1" applyFont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/>
    </xf>
    <xf numFmtId="0" fontId="8" fillId="0" borderId="1" xfId="0" applyFont="1" applyBorder="1"/>
    <xf numFmtId="14" fontId="0" fillId="0" borderId="0" xfId="0" applyNumberFormat="1"/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4" fontId="8" fillId="0" borderId="1" xfId="0" applyNumberFormat="1" applyFont="1" applyBorder="1"/>
    <xf numFmtId="0" fontId="0" fillId="4" borderId="0" xfId="0" applyFill="1" applyAlignment="1">
      <alignment horizontal="center"/>
    </xf>
    <xf numFmtId="0" fontId="1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0" fillId="5" borderId="0" xfId="0" applyFont="1" applyFill="1" applyAlignment="1">
      <alignment horizontal="center"/>
    </xf>
    <xf numFmtId="0" fontId="0" fillId="0" borderId="1" xfId="0" applyBorder="1"/>
    <xf numFmtId="0" fontId="11" fillId="0" borderId="0" xfId="0" applyFont="1" applyAlignment="1">
      <alignment vertical="center"/>
    </xf>
    <xf numFmtId="0" fontId="1" fillId="0" borderId="0" xfId="0" applyFont="1"/>
    <xf numFmtId="0" fontId="9" fillId="4" borderId="36" xfId="0" applyFont="1" applyFill="1" applyBorder="1" applyAlignment="1">
      <alignment horizontal="center"/>
    </xf>
    <xf numFmtId="14" fontId="14" fillId="6" borderId="37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 wrapText="1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14" fontId="0" fillId="0" borderId="0" xfId="0" applyNumberFormat="1" applyAlignment="1">
      <alignment horizontal="left"/>
    </xf>
    <xf numFmtId="0" fontId="14" fillId="6" borderId="37" xfId="0" applyFont="1" applyFill="1" applyBorder="1" applyAlignment="1">
      <alignment horizontal="center"/>
    </xf>
    <xf numFmtId="0" fontId="10" fillId="0" borderId="0" xfId="0" applyFont="1"/>
    <xf numFmtId="0" fontId="15" fillId="0" borderId="0" xfId="0" applyFont="1"/>
    <xf numFmtId="0" fontId="0" fillId="4" borderId="0" xfId="0" applyFill="1" applyAlignment="1">
      <alignment horizontal="center"/>
    </xf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8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99FF99"/>
      <color rgb="FF0000FF"/>
      <color rgb="FFFF0066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[PEF04 Reporte de entregas.xlsm]Graficos!Tabla 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Kg</a:t>
            </a:r>
            <a:r>
              <a:rPr lang="en-US" sz="2400" baseline="0"/>
              <a:t> Día /Cte</a:t>
            </a:r>
            <a:endParaRPr lang="en-US" sz="2400"/>
          </a:p>
        </c:rich>
      </c:tx>
      <c:layout>
        <c:manualLayout>
          <c:xMode val="edge"/>
          <c:yMode val="edge"/>
          <c:x val="0.45019161457018325"/>
          <c:y val="3.3843125378558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4522945910564927E-2"/>
          <c:y val="0.19825030284675954"/>
          <c:w val="0.8448057600828236"/>
          <c:h val="0.575884312537855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Graficos!$B$4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Graficos!$A$5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Graficos!$B$5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17A-4153-AD0B-43216476EC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2525536"/>
        <c:axId val="382524752"/>
      </c:barChart>
      <c:catAx>
        <c:axId val="38252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24752"/>
        <c:crosses val="autoZero"/>
        <c:auto val="1"/>
        <c:lblAlgn val="ctr"/>
        <c:lblOffset val="100"/>
        <c:noMultiLvlLbl val="0"/>
      </c:catAx>
      <c:valAx>
        <c:axId val="38252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2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[PEF04 Reporte de entregas.xlsm]Graficos!Tabla 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Entregas</a:t>
            </a:r>
            <a:r>
              <a:rPr lang="en-US" b="1" baseline="0"/>
              <a:t> (Kg) por mes</a:t>
            </a:r>
            <a:endParaRPr lang="en-US" b="1"/>
          </a:p>
        </c:rich>
      </c:tx>
      <c:layout>
        <c:manualLayout>
          <c:xMode val="edge"/>
          <c:yMode val="edge"/>
          <c:x val="0.3532949760590271"/>
          <c:y val="6.95885134215049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6.5533946550665909E-17"/>
              <c:y val="-1.79694519317160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Graficos!$A$33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5B0-4410-A822-883CE40DF4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Graficos!$A$34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Graficos!$A$34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45B0-4410-A822-883CE40DF4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2527104"/>
        <c:axId val="382525928"/>
      </c:barChart>
      <c:catAx>
        <c:axId val="38252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25928"/>
        <c:crosses val="autoZero"/>
        <c:auto val="1"/>
        <c:lblAlgn val="ctr"/>
        <c:lblOffset val="100"/>
        <c:noMultiLvlLbl val="0"/>
      </c:catAx>
      <c:valAx>
        <c:axId val="382525928"/>
        <c:scaling>
          <c:orientation val="minMax"/>
        </c:scaling>
        <c:delete val="0"/>
        <c:axPos val="l"/>
        <c:majorGridlines>
          <c:spPr>
            <a:ln w="0" cap="flat" cmpd="sng" algn="ctr">
              <a:solidFill>
                <a:schemeClr val="accent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2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[PEF04 Reporte de entregas.xlsm]Gráfico Kg Mensuales!Tabla dinámica8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kg</a:t>
            </a:r>
            <a:r>
              <a:rPr lang="en-US" sz="1800" b="1" baseline="0"/>
              <a:t> entregas Mensual</a:t>
            </a:r>
            <a:endParaRPr lang="en-US" sz="1800" b="1"/>
          </a:p>
        </c:rich>
      </c:tx>
      <c:layout>
        <c:manualLayout>
          <c:xMode val="edge"/>
          <c:yMode val="edge"/>
          <c:x val="0.38030076871813995"/>
          <c:y val="0.101951097204060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9169875418180833E-2"/>
          <c:y val="0.27005459878996668"/>
          <c:w val="0.81239484812703289"/>
          <c:h val="0.5729519550886724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'Gráfico Kg Mensuales'!$B$4</c:f>
              <c:strCache>
                <c:ptCount val="1"/>
                <c:pt idx="0">
                  <c:v>Suma de KILOS ENTREGADOS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'Gráfico Kg Mensuales'!$A$5:$A$16</c:f>
              <c:strCache>
                <c:ptCount val="11"/>
                <c:pt idx="0">
                  <c:v>Ene</c:v>
                </c:pt>
                <c:pt idx="1">
                  <c:v>Abril</c:v>
                </c:pt>
                <c:pt idx="2">
                  <c:v>Feb</c:v>
                </c:pt>
                <c:pt idx="3">
                  <c:v>Mar</c:v>
                </c:pt>
                <c:pt idx="4">
                  <c:v>May</c:v>
                </c:pt>
                <c:pt idx="5">
                  <c:v>Jun</c:v>
                </c:pt>
                <c:pt idx="6">
                  <c:v>Ago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Dic</c:v>
                </c:pt>
              </c:strCache>
            </c:strRef>
          </c:cat>
          <c:val>
            <c:numRef>
              <c:f>'Gráfico Kg Mensuales'!$B$5:$B$16</c:f>
              <c:numCache>
                <c:formatCode>General</c:formatCode>
                <c:ptCount val="11"/>
                <c:pt idx="0">
                  <c:v>72807</c:v>
                </c:pt>
                <c:pt idx="1">
                  <c:v>71979.5</c:v>
                </c:pt>
                <c:pt idx="2">
                  <c:v>73649.399999999994</c:v>
                </c:pt>
                <c:pt idx="3">
                  <c:v>87595.45</c:v>
                </c:pt>
                <c:pt idx="4">
                  <c:v>56122.7</c:v>
                </c:pt>
                <c:pt idx="5">
                  <c:v>170198.14999999997</c:v>
                </c:pt>
                <c:pt idx="6">
                  <c:v>111657.75</c:v>
                </c:pt>
                <c:pt idx="7">
                  <c:v>89605.05</c:v>
                </c:pt>
                <c:pt idx="8">
                  <c:v>63703.05</c:v>
                </c:pt>
                <c:pt idx="9">
                  <c:v>72902.399999999994</c:v>
                </c:pt>
                <c:pt idx="10">
                  <c:v>6440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B-41F3-B10F-59FC98A5E14B}"/>
            </c:ext>
          </c:extLst>
        </c:ser>
        <c:ser>
          <c:idx val="1"/>
          <c:order val="1"/>
          <c:tx>
            <c:strRef>
              <c:f>'Gráfico Kg Mensuales'!$C$4</c:f>
              <c:strCache>
                <c:ptCount val="1"/>
                <c:pt idx="0">
                  <c:v>Suma de KILOS RECOLECTADOS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'Gráfico Kg Mensuales'!$A$5:$A$16</c:f>
              <c:strCache>
                <c:ptCount val="11"/>
                <c:pt idx="0">
                  <c:v>Ene</c:v>
                </c:pt>
                <c:pt idx="1">
                  <c:v>Abril</c:v>
                </c:pt>
                <c:pt idx="2">
                  <c:v>Feb</c:v>
                </c:pt>
                <c:pt idx="3">
                  <c:v>Mar</c:v>
                </c:pt>
                <c:pt idx="4">
                  <c:v>May</c:v>
                </c:pt>
                <c:pt idx="5">
                  <c:v>Jun</c:v>
                </c:pt>
                <c:pt idx="6">
                  <c:v>Ago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Dic</c:v>
                </c:pt>
              </c:strCache>
            </c:strRef>
          </c:cat>
          <c:val>
            <c:numRef>
              <c:f>'Gráfico Kg Mensuales'!$C$5:$C$16</c:f>
              <c:numCache>
                <c:formatCode>General</c:formatCode>
                <c:ptCount val="11"/>
                <c:pt idx="0">
                  <c:v>5690</c:v>
                </c:pt>
                <c:pt idx="1">
                  <c:v>920</c:v>
                </c:pt>
                <c:pt idx="2">
                  <c:v>420</c:v>
                </c:pt>
                <c:pt idx="3">
                  <c:v>3105</c:v>
                </c:pt>
                <c:pt idx="4">
                  <c:v>485</c:v>
                </c:pt>
                <c:pt idx="5">
                  <c:v>7055</c:v>
                </c:pt>
                <c:pt idx="6">
                  <c:v>115</c:v>
                </c:pt>
                <c:pt idx="7">
                  <c:v>4355</c:v>
                </c:pt>
                <c:pt idx="8">
                  <c:v>2315</c:v>
                </c:pt>
                <c:pt idx="9">
                  <c:v>5700</c:v>
                </c:pt>
                <c:pt idx="1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B-41F3-B10F-59FC98A5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2527888"/>
        <c:axId val="382527496"/>
      </c:barChart>
      <c:catAx>
        <c:axId val="38252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27496"/>
        <c:crosses val="autoZero"/>
        <c:auto val="1"/>
        <c:lblAlgn val="ctr"/>
        <c:lblOffset val="100"/>
        <c:noMultiLvlLbl val="0"/>
      </c:catAx>
      <c:valAx>
        <c:axId val="38252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2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[PEF04 Reporte de entregas.xlsm]Kg entregados por cliente!Tabla dinámica9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Kh</a:t>
            </a:r>
            <a:r>
              <a:rPr lang="en-US" baseline="0"/>
              <a:t> entregador mes</a:t>
            </a:r>
            <a:endParaRPr lang="en-US"/>
          </a:p>
        </c:rich>
      </c:tx>
      <c:layout>
        <c:manualLayout>
          <c:xMode val="edge"/>
          <c:yMode val="edge"/>
          <c:x val="0.46597222222222223"/>
          <c:y val="8.003523880142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4.6296296296296294E-3"/>
              <c:y val="-0.128467133595090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'Kg entregados por cliente'!$B$3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A60-4108-89BE-FE47E403F9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'Kg entregados por cliente'!$A$4:$A$7</c:f>
              <c:strCache>
                <c:ptCount val="3"/>
                <c:pt idx="0">
                  <c:v>Jun</c:v>
                </c:pt>
                <c:pt idx="1">
                  <c:v>Sep</c:v>
                </c:pt>
                <c:pt idx="2">
                  <c:v>Oct</c:v>
                </c:pt>
              </c:strCache>
            </c:strRef>
          </c:cat>
          <c:val>
            <c:numRef>
              <c:f>'Kg entregados por cliente'!$B$4:$B$7</c:f>
              <c:numCache>
                <c:formatCode>General</c:formatCode>
                <c:ptCount val="3"/>
                <c:pt idx="0">
                  <c:v>100</c:v>
                </c:pt>
                <c:pt idx="1">
                  <c:v>75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60-4108-89BE-FE47E403F9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13649760"/>
        <c:axId val="313651328"/>
      </c:barChart>
      <c:catAx>
        <c:axId val="31364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51328"/>
        <c:crosses val="autoZero"/>
        <c:auto val="1"/>
        <c:lblAlgn val="ctr"/>
        <c:lblOffset val="100"/>
        <c:noMultiLvlLbl val="0"/>
      </c:catAx>
      <c:valAx>
        <c:axId val="3136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4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[PEF04 Reporte de entregas.xlsm]Hoja7!Tabla dinámica10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Hoja7!$B$4</c:f>
              <c:strCache>
                <c:ptCount val="1"/>
                <c:pt idx="0">
                  <c:v>Cuenta de KILOS ENTREGADOS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Hoja7!$A$5:$A$16</c:f>
              <c:strCache>
                <c:ptCount val="11"/>
                <c:pt idx="0">
                  <c:v>Feb</c:v>
                </c:pt>
                <c:pt idx="1">
                  <c:v>Abril</c:v>
                </c:pt>
                <c:pt idx="2">
                  <c:v>Ene</c:v>
                </c:pt>
                <c:pt idx="3">
                  <c:v>Mar</c:v>
                </c:pt>
                <c:pt idx="4">
                  <c:v>May</c:v>
                </c:pt>
                <c:pt idx="5">
                  <c:v>Jun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Ago</c:v>
                </c:pt>
                <c:pt idx="10">
                  <c:v>Dic</c:v>
                </c:pt>
              </c:strCache>
            </c:strRef>
          </c:cat>
          <c:val>
            <c:numRef>
              <c:f>Hoja7!$B$5:$B$16</c:f>
              <c:numCache>
                <c:formatCode>General</c:formatCode>
                <c:ptCount val="11"/>
                <c:pt idx="0">
                  <c:v>71</c:v>
                </c:pt>
                <c:pt idx="1">
                  <c:v>75</c:v>
                </c:pt>
                <c:pt idx="2">
                  <c:v>79</c:v>
                </c:pt>
                <c:pt idx="3">
                  <c:v>87</c:v>
                </c:pt>
                <c:pt idx="4">
                  <c:v>81</c:v>
                </c:pt>
                <c:pt idx="5">
                  <c:v>186</c:v>
                </c:pt>
                <c:pt idx="6">
                  <c:v>90</c:v>
                </c:pt>
                <c:pt idx="7">
                  <c:v>100</c:v>
                </c:pt>
                <c:pt idx="8">
                  <c:v>81</c:v>
                </c:pt>
                <c:pt idx="9">
                  <c:v>102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2-4B81-B7BA-639864CF7AA4}"/>
            </c:ext>
          </c:extLst>
        </c:ser>
        <c:ser>
          <c:idx val="1"/>
          <c:order val="1"/>
          <c:tx>
            <c:strRef>
              <c:f>Hoja7!$C$4</c:f>
              <c:strCache>
                <c:ptCount val="1"/>
                <c:pt idx="0">
                  <c:v>Cuenta de ENTREGO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Hoja7!$A$5:$A$16</c:f>
              <c:strCache>
                <c:ptCount val="11"/>
                <c:pt idx="0">
                  <c:v>Feb</c:v>
                </c:pt>
                <c:pt idx="1">
                  <c:v>Abril</c:v>
                </c:pt>
                <c:pt idx="2">
                  <c:v>Ene</c:v>
                </c:pt>
                <c:pt idx="3">
                  <c:v>Mar</c:v>
                </c:pt>
                <c:pt idx="4">
                  <c:v>May</c:v>
                </c:pt>
                <c:pt idx="5">
                  <c:v>Jun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Ago</c:v>
                </c:pt>
                <c:pt idx="10">
                  <c:v>Dic</c:v>
                </c:pt>
              </c:strCache>
            </c:strRef>
          </c:cat>
          <c:val>
            <c:numRef>
              <c:f>Hoja7!$C$5:$C$16</c:f>
              <c:numCache>
                <c:formatCode>General</c:formatCode>
                <c:ptCount val="11"/>
                <c:pt idx="0">
                  <c:v>72</c:v>
                </c:pt>
                <c:pt idx="1">
                  <c:v>79</c:v>
                </c:pt>
                <c:pt idx="2">
                  <c:v>84</c:v>
                </c:pt>
                <c:pt idx="3">
                  <c:v>91</c:v>
                </c:pt>
                <c:pt idx="4">
                  <c:v>85</c:v>
                </c:pt>
                <c:pt idx="5">
                  <c:v>192</c:v>
                </c:pt>
                <c:pt idx="6">
                  <c:v>95</c:v>
                </c:pt>
                <c:pt idx="7">
                  <c:v>99</c:v>
                </c:pt>
                <c:pt idx="8">
                  <c:v>87</c:v>
                </c:pt>
                <c:pt idx="9">
                  <c:v>105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2-4B81-B7BA-639864CF7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6201320"/>
        <c:axId val="386202104"/>
      </c:barChart>
      <c:catAx>
        <c:axId val="38620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02104"/>
        <c:crosses val="autoZero"/>
        <c:auto val="1"/>
        <c:lblAlgn val="ctr"/>
        <c:lblOffset val="100"/>
        <c:noMultiLvlLbl val="0"/>
      </c:catAx>
      <c:valAx>
        <c:axId val="38620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01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1076325</xdr:colOff>
      <xdr:row>0</xdr:row>
      <xdr:rowOff>57150</xdr:rowOff>
    </xdr:from>
    <xdr:to>
      <xdr:col>9</xdr:col>
      <xdr:colOff>1257300</xdr:colOff>
      <xdr:row>3</xdr:row>
      <xdr:rowOff>95250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54450" y="57150"/>
          <a:ext cx="1714500" cy="52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14</xdr:row>
          <xdr:rowOff>9525</xdr:rowOff>
        </xdr:from>
        <xdr:to>
          <xdr:col>6</xdr:col>
          <xdr:colOff>1533525</xdr:colOff>
          <xdr:row>17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GRABAR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13</xdr:row>
          <xdr:rowOff>152400</xdr:rowOff>
        </xdr:from>
        <xdr:to>
          <xdr:col>5</xdr:col>
          <xdr:colOff>1771650</xdr:colOff>
          <xdr:row>16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0</xdr:row>
      <xdr:rowOff>57150</xdr:rowOff>
    </xdr:from>
    <xdr:to>
      <xdr:col>11</xdr:col>
      <xdr:colOff>581025</xdr:colOff>
      <xdr:row>24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304800</xdr:colOff>
      <xdr:row>28</xdr:row>
      <xdr:rowOff>19050</xdr:rowOff>
    </xdr:from>
    <xdr:to>
      <xdr:col>11</xdr:col>
      <xdr:colOff>552450</xdr:colOff>
      <xdr:row>49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0</xdr:row>
      <xdr:rowOff>0</xdr:rowOff>
    </xdr:from>
    <xdr:to>
      <xdr:col>10</xdr:col>
      <xdr:colOff>190500</xdr:colOff>
      <xdr:row>29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723900</xdr:colOff>
      <xdr:row>5</xdr:row>
      <xdr:rowOff>4761</xdr:rowOff>
    </xdr:from>
    <xdr:to>
      <xdr:col>10</xdr:col>
      <xdr:colOff>114300</xdr:colOff>
      <xdr:row>25</xdr:row>
      <xdr:rowOff>28574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309562</xdr:colOff>
      <xdr:row>2</xdr:row>
      <xdr:rowOff>128587</xdr:rowOff>
    </xdr:from>
    <xdr:to>
      <xdr:col>10</xdr:col>
      <xdr:colOff>109537</xdr:colOff>
      <xdr:row>19</xdr:row>
      <xdr:rowOff>119062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a Martínez" refreshedDate="45366.682761342592" createdVersion="5" refreshedVersion="8" minRefreshableVersion="3" recordCount="1009" xr:uid="{00000000-000A-0000-FFFF-FFFF00000000}">
  <cacheSource type="worksheet">
    <worksheetSource ref="A2:G1011" sheet="Prueba anual"/>
  </cacheSource>
  <cacheFields count="7">
    <cacheField name="MES" numFmtId="0">
      <sharedItems containsMixedTypes="1" containsNumber="1" containsInteger="1" minValue="1" maxValue="12" count="23">
        <s v="Ene"/>
        <s v="Feb"/>
        <s v="Mar"/>
        <s v="Abril"/>
        <s v="May"/>
        <s v="Jun"/>
        <s v="Ago"/>
        <s v="Sep"/>
        <s v="Oct"/>
        <s v="Nov"/>
        <s v="Dic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FECHA DE ENTREGA" numFmtId="14">
      <sharedItems containsSemiMixedTypes="0" containsNonDate="0" containsDate="1" containsString="0" minDate="2019-01-02T00:00:00" maxDate="2019-12-04T00:00:00"/>
    </cacheField>
    <cacheField name="CLIENTE" numFmtId="0">
      <sharedItems containsBlank="1" count="220">
        <s v="HARINERA DE MAIZ DE JALISCO"/>
        <s v="MOLINOS AZTECA DE CHIHUAHUA"/>
        <s v="HARINERA DE YUCATAN"/>
        <s v="CUEROMEX"/>
        <s v="PROGEL MEXICANA"/>
        <s v="MOLINOS AZTECA DE CHALCO"/>
        <s v="KERRY INGREDIENTS"/>
        <s v="MICHEL ONTIVEROS"/>
        <s v="HARINERA DE VERACRUZ"/>
        <s v="PRODS CURTIENTES"/>
        <s v="MOLINOS AZTECA DE VERACRUZ"/>
        <s v="BIMBO DE COSTA RICA"/>
        <s v="AVIGM"/>
        <s v="RICAP"/>
        <s v="SUELAS WYNY"/>
        <s v="DISTRIBUIDORA TEXTIL ARRTEX"/>
        <s v="CCM GUADALAJARA"/>
        <s v="HEINEKEN PUEBLA"/>
        <s v="CURFIMEX"/>
        <s v="BIMBO DE PANAMA"/>
        <s v="BIMBO STA MARIA"/>
        <s v="AGRANA FRUIT"/>
        <s v="GRIFFITH FOODS"/>
        <s v="C &amp; L ALIMENTOS"/>
        <s v="QUIMICA HERNANDEZ"/>
        <s v="PROGEL"/>
        <s v="CURTEC"/>
        <s v="RECOLECCION EN FRIALSA CUAUTITLAN"/>
        <s v="RECOLECCION EN NOVOZYMES"/>
        <s v="HERSHEY'S  MEXICO"/>
        <s v="CCM-TECATE"/>
        <s v="DISTRIBUIDORA DE TEXTILES AVANTE"/>
        <s v="ANGELICA PADILLA"/>
        <s v="CITROLIM"/>
        <s v="BIMBO VERACRUZ"/>
        <s v="MOLINOS AZTECA DE CHALCO-PLANTA TEOTIHUCAN"/>
        <s v="ACABADOS RIO TEJO"/>
        <s v="TECNODENIM"/>
        <s v="INDUSTRIAS HOMETEX"/>
        <s v="QUESERIA DOS LAGUNAS"/>
        <s v="BIOTECSA TORREON"/>
        <s v="RECOLECCION EN PRIDA"/>
        <s v="BIMBO TOLUCA"/>
        <s v="MANUFACTURAS KALTEX-PLANTA 2"/>
        <s v="GPO INDUSTRIAL CUADRITOS"/>
        <s v="AZTECA MILLING"/>
        <s v="CURTIDOS ROMO"/>
        <s v="CCM-MEOQUI"/>
        <s v="ZAFRE"/>
        <s v="PQ INTEGRADORA"/>
        <s v="BIMBO PANAMA"/>
        <s v="BIMBO DE YUCATAN"/>
        <s v="IPICYT"/>
        <s v="GRUPO INDIGO PURO"/>
        <s v="BIMBO VILLAHERMOSA"/>
        <s v="MARIA AGUILERA"/>
        <s v="LAVAEXPORT"/>
        <s v="RECOLECCION FRIALSA CUAUTITLAN"/>
        <s v="MOLINOS AZTECA DE CHALCO-PLANTA TEOTIHUACAN"/>
        <s v="BIMBO AZCAPOTZALCO"/>
        <s v="HERSHEY'S MEXICO"/>
        <s v="CURTIDOS TREVIÑO"/>
        <s v="BIMBO HERMOSILLO"/>
        <s v="LA MALTERIA EN LARA GRAJALES"/>
        <s v="RECOLECCION EN PUERTO DE VERACRUZ"/>
        <s v="CCM ORIZABA"/>
        <s v="CITRICOS APATZINGAN"/>
        <s v="NATURAL &amp; ORGANICS FARMS MEXICO"/>
        <s v="DEVOLUCION EN NOVOZYMES MEXICO"/>
        <s v="MANUFACTURAS KALTEX"/>
        <s v="BIMBO YUCATAN"/>
        <s v="MOLINOS AZTECA TAMPICO"/>
        <s v="REYNALDO RUEDAS"/>
        <s v="MANUFACTURAS KALTEX-PLANTA 4"/>
        <s v="PRODS PERLA"/>
        <s v="WRANGLER DE MEXICO"/>
        <s v="CCM-ORIZABA"/>
        <s v="GELITA MEXICO"/>
        <s v="BLANCA ARMIDA BELTRAN"/>
        <s v="MOLINERA DE MEXICO"/>
        <s v="MEXENIL ADITIVOS"/>
        <s v="CITROJUGO"/>
        <s v="MALTERIA-HUAMANTLA"/>
        <s v="BIMBO SN LUIS POTOSI"/>
        <s v="CCM-TOLUCA"/>
        <s v="BIMBO PUEBLA"/>
        <s v="COMPAÑÍA CERVECERA DE COAHUILA"/>
        <s v="MOLINOS AZTECA NUEVO LEON"/>
        <s v="COLOIDALES DUCHE"/>
        <s v="BIMBO CENTROAMERICA"/>
        <s v="RECOLECCION NOVOZYMES"/>
        <s v="GPO INDIGO PURO"/>
        <s v="MAURICIO WONG"/>
        <s v="MUESTRAS LEON"/>
        <s v="HEINEKEN (MALTERIA)"/>
        <s v="RECOLECCION EN LIQUID QUIMICA"/>
        <s v="GRUPO INDUSTRIAL CUADRITOS"/>
        <s v="BIOTECSA LEON"/>
        <s v="CCM-NAVOJOA"/>
        <s v="GRIFFITH LABORATORIOS"/>
        <s v="MOLINOS AZTECA DE CHALCO PLANTA TEOTIHUCAN"/>
        <s v="MOLINOS AZTECA DE CHIAPAS"/>
        <s v="PROVO BEVEAGES"/>
        <s v="BIMBO DE CENTROAMERICA"/>
        <s v="RECOLECCION EN NOVOZYMES "/>
        <s v="ANILINAS Y QUIMICOS TEXTILES"/>
        <s v="RAMON DELGADILLO"/>
        <s v="CCM TECATE"/>
        <s v="TECHNICAL SUPPLIER"/>
        <s v="DEUTSCHE QUIMICA"/>
        <s v="NOVO ORGANICA"/>
        <m/>
        <s v="DISTRIBUIDORA DE TEXTILES AVANTE-TESATI"/>
        <s v="DISTRIBUIDORA TEXTIL ARTTEX"/>
        <s v="BIOTECNICA INTERNACIONAL"/>
        <s v="RECOLECCION EN FRIALSA"/>
        <s v="MOLINOS AZTECA DE TAMPICO"/>
        <s v="ALIMENTOS PROFUSA"/>
        <s v="TECNICOS ESPECIALIZADOS EN ALIMENTOS"/>
        <s v="MOLINO LA ROSALEDA"/>
        <s v="LAVANDERIA LIDER"/>
        <s v="GRUPO MICHEL"/>
        <s v="MANUFACTURAS KALTEX PLANTA 2"/>
        <s v="MANUFACTURAS KALTEX PLANTA 4"/>
        <s v="MOLINOS AZTECA CHIHUAHUA"/>
        <s v="BIMBO SANTA MARIA"/>
        <s v="CUALQUIER LAVADO"/>
        <s v="RECOLECCION EN LEON MEXICO"/>
        <s v="RECOLECCION LIQUID QUIMICA"/>
        <s v="GELITA"/>
        <s v="VILLA VERDE AGRICOLA"/>
        <s v="HERSHEY'S"/>
        <s v="RECOLECCION EN LOGISTICOS DE TEHUCAN"/>
        <s v="DANIEL ROMO CUELLAR"/>
        <s v="STONE LAV"/>
        <s v="DISTRIBUIDORA DE TEXTILES AVANTE.TESATI"/>
        <s v="CCM MALTERIA DE LARA GRAJALES"/>
        <s v="BIOTECSA LEON-MUESTRAS"/>
        <s v="PRODUCTOS PERLA"/>
        <s v="PRODS TANIART"/>
        <s v="BIMBO TEPEJI"/>
        <s v="DISTRIBUIDORA DE TEXTILES AVANTE-TOLUCA"/>
        <s v="ARCHROMA"/>
        <s v="BIMBO COSTA RICA"/>
        <s v="CITRICOS DE APATZINGAN"/>
        <s v="DISTRIBUIDORA DE TEXTILES AVANTE-PLANTA TESATI"/>
        <s v="CCM-TOLUCA-MUESTRAS"/>
        <s v="MOLINOS AZTECA RIO BRAVO"/>
        <s v="QUIMTOL"/>
        <s v="VALLE REDONDO"/>
        <s v="MEXICANA DE FORMULACIONES"/>
        <s v="DISTRIBUIDORA DE TEXTIL ARRTEX"/>
        <s v="HARI MASA"/>
        <s v="CCM-MONTERREY"/>
        <s v="GPUPO IND CUADRITOS"/>
        <s v="BLANCA ARMIDA"/>
        <s v="VERTICAL KNITS"/>
        <s v="CONFRUTTA"/>
        <s v="EDUARDO WONG"/>
        <s v="PC BIOLOGICS"/>
        <s v="MEXENIL ALIMENTOS"/>
        <s v="TBG APPAREL"/>
        <s v="INDUSTRIAS ZUCO"/>
        <s v="CCM-MALTERIA DE GRAJALES"/>
        <s v="LIDER JEANS"/>
        <s v="MAXICANA DE FORMULACIONES"/>
        <s v="GRUPO INDUSTRIAL POMET"/>
        <s v="RECOLECCION EN ARCHROMA"/>
        <s v="INVESTIGACION PRODUCTIVA"/>
        <s v="DISTRIBUIRORA TEXTIL ARRTEX"/>
        <s v="DIET LINE LATIN AMERICA"/>
        <s v="QUIMITEXSA"/>
        <s v="CCM TOLUCA"/>
        <s v="CCM MEOQUI"/>
        <s v="CIATEJ"/>
        <s v="SEMINIS VEGETABLES SEED MEXICANA"/>
        <s v="MALTERIA LARA GRAJALES"/>
        <s v="GRUPO IND CUADRITOS"/>
        <s v="AGROPECUARIA SANS SOUCI"/>
        <s v="HARIMASA"/>
        <s v="DANIEL ROMO"/>
        <s v="RECOLECCION ARCHROMA"/>
        <s v="INDUSTRIAS SEA"/>
        <s v="NOVA ORGANICA"/>
        <s v="RECOLECCION EN TRANSP. CALAFIA"/>
        <s v="PROVEEDOR INTERNACIONAL DE QUIMICOS"/>
        <s v="MOLINOS AZTECA DE NUEVO LEON"/>
        <s v="MEJORPLUS"/>
        <s v="LAVANDERIA LOS ALAMOS"/>
        <s v="PROVO BEVERAGES"/>
        <s v="PRODUCTOS CURTIENTES"/>
        <s v="COMERCIALIZADORA EL ORO"/>
        <s v="STRONGEST JEANS"/>
        <s v="HERSHEY'S DE MEXICO"/>
        <s v="CCM-MALTERIA LARA GRAJALES"/>
        <s v="CONE DENIM"/>
        <s v="RESTAURANTES TOKS"/>
        <s v="MOLINOS AZTECA VERACRUZ"/>
        <s v="COLIDALES DUCHE"/>
        <s v="RECOLECCION FRIALSA"/>
        <s v="CONFECCIONES TEXTILES DE TEZIUTLAN"/>
        <s v="BIOTECSA LEON-MUESTRA"/>
        <s v="GPO IND CUADRITOS"/>
        <s v="GPO AGROINDUSTRIAL POMET"/>
        <s v="CCM LA MALTERIA LARA GRAJALES"/>
        <s v="PRODS INDUSTRIALES DE LEON"/>
        <s v="GPO INDUSTRIAL MICHEL"/>
        <s v="PRODS INDS DE LEON"/>
        <s v="FLAVIO BERNARDINO"/>
        <s v="CCM-GUADALAJARA"/>
        <s v="QUIMICOS VEMONT"/>
        <s v="RECOLECCION EN POCHTECA"/>
        <s v="C&amp;L ALIMENTOS"/>
        <s v="RECOLECCION PRIDA CD MEXICO"/>
        <s v="BIMBO DE HERMOSILLO"/>
        <s v="PRODUCTORA DE ALIMENTOS MEXICANOS"/>
        <s v="QUIMICA HERNANDEZ RAMIREZ"/>
        <s v="MARIA ELIZABETH MORENO"/>
        <s v="BIMBO DE VERACRUZ"/>
        <s v="KERRYINGREDIENTS"/>
      </sharedItems>
    </cacheField>
    <cacheField name="KILOS ENTREGADOS " numFmtId="0">
      <sharedItems containsString="0" containsBlank="1" containsNumber="1" minValue="1" maxValue="11210"/>
    </cacheField>
    <cacheField name="KILOS RECOLECTADOS" numFmtId="0">
      <sharedItems containsString="0" containsBlank="1" containsNumber="1" containsInteger="1" minValue="5" maxValue="5100"/>
    </cacheField>
    <cacheField name="ENTREGO" numFmtId="0">
      <sharedItems containsBlank="1"/>
    </cacheField>
    <cacheField name="COMENTARIOS / 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a Martínez" refreshedDate="45366.682762152777" createdVersion="5" refreshedVersion="8" minRefreshableVersion="3" recordCount="50" xr:uid="{00000000-000A-0000-FFFF-FFFF01000000}">
  <cacheSource type="worksheet">
    <worksheetSource ref="A2:K52" sheet="BD"/>
  </cacheSource>
  <cacheFields count="11">
    <cacheField name="Mes" numFmtId="14">
      <sharedItems containsNonDate="0" containsBlank="1" count="3">
        <m/>
        <s v="Abril" u="1"/>
        <s v="enero" u="1"/>
      </sharedItems>
    </cacheField>
    <cacheField name="Mes #" numFmtId="0">
      <sharedItems containsNonDate="0" containsString="0" containsBlank="1"/>
    </cacheField>
    <cacheField name="FECHA DE ENTREGA" numFmtId="14">
      <sharedItems containsNonDate="0" containsDate="1" containsString="0" containsBlank="1" minDate="2020-01-02T00:00:00" maxDate="2020-04-25T00:00:00" count="19">
        <m/>
        <d v="2020-04-24T00:00:00" u="1"/>
        <d v="2020-01-24T00:00:00" u="1"/>
        <d v="2020-01-22T00:00:00" u="1"/>
        <d v="2020-01-21T00:00:00" u="1"/>
        <d v="2020-01-20T00:00:00" u="1"/>
        <d v="2020-01-17T00:00:00" u="1"/>
        <d v="2020-01-16T00:00:00" u="1"/>
        <d v="2020-01-15T00:00:00" u="1"/>
        <d v="2020-01-14T00:00:00" u="1"/>
        <d v="2020-01-13T00:00:00" u="1"/>
        <d v="2020-01-10T00:00:00" u="1"/>
        <d v="2020-01-09T00:00:00" u="1"/>
        <d v="2020-01-08T00:00:00" u="1"/>
        <d v="2020-01-07T00:00:00" u="1"/>
        <d v="2020-01-06T00:00:00" u="1"/>
        <d v="2020-01-03T00:00:00" u="1"/>
        <d v="2020-01-02T00:00:00" u="1"/>
        <d v="2020-02-02T00:00:00" u="1"/>
      </sharedItems>
    </cacheField>
    <cacheField name="CLIENTE" numFmtId="0">
      <sharedItems containsNonDate="0" containsBlank="1" count="43">
        <m/>
        <s v="ZAFRE" u="1"/>
        <s v="PROALMEX" u="1"/>
        <s v="GRIFFITH FOODS" u="1"/>
        <s v="RECOLECCION FRIALSA CUAUTITLAN" u="1"/>
        <s v="RECOLECCION EN NOVOZYMES" u="1"/>
        <s v="CUEROMEX" u="1"/>
        <s v="BIMBO DE VERACRUZ" u="1"/>
        <s v="HERSHEY'S  MEXICO" u="1"/>
        <s v="MOLINOS AZTECA VERACRUZ" u="1"/>
        <s v="PROGEL" u="1"/>
        <s v="PRODUCTOS PERLA" u="1"/>
        <s v="CCM TECATE" u="1"/>
        <s v="CITROLIM" u="1"/>
        <s v="VERTICAL KNITS" u="1"/>
        <s v="CURFIMEX" u="1"/>
        <s v="STRONGEST JEANS" u="1"/>
        <s v="BIMBO HERMOSILLO" u="1"/>
        <s v="HARINERA DE YUCATAN" u="1"/>
        <s v="BIMBO YUCATAN" u="1"/>
        <s v="BIMBO COSTA RICA" u="1"/>
        <s v="PRODUCTOS CURTIENTES" u="1"/>
        <s v="GPO INDUSTRIAL CUADRITOS" u="1"/>
        <s v="BIMBO TOLUCA" u="1"/>
        <s v="PC BIOLOGICS" u="1"/>
        <s v="MARIA AGUILERA" u="1"/>
        <s v="CURTIDOS TREVIÑO" u="1"/>
        <s v="SUELAS WYNY" u="1"/>
        <s v="MOLINOS AZTECA DE TAMPICO" u="1"/>
        <s v="QUIMICA HERNANDEZ" u="1"/>
        <s v="RAMON DELGADILLO" u="1"/>
        <s v="MOLINOS AZTECA DE CHALCO" u="1"/>
        <s v="HARINERA DE VERACRUZ" u="1"/>
        <s v="BIMBO STA MARIA" u="1"/>
        <s v="CITROJUGO" u="1"/>
        <s v="CCM MEOQUI" u="1"/>
        <s v="CCM ORIZABA" u="1"/>
        <s v="CCM TOLUCA" u="1"/>
        <s v="RECOLECCION EN FRIALSA CUAUTITLAN" u="1"/>
        <s v="MOLINOS AZTECA CHIHUAHUA" u="1"/>
        <s v="HARINERA DE MAIZ DE JALISCO" u="1"/>
        <s v="COMERCIALIZADORA EL ORO" u="1"/>
        <s v="VALLE REDONDO" u="1"/>
      </sharedItems>
    </cacheField>
    <cacheField name="KILOS ENTREGADOS" numFmtId="0">
      <sharedItems containsNonDate="0" containsString="0" containsBlank="1"/>
    </cacheField>
    <cacheField name="TIPO DE ENTREGA" numFmtId="0">
      <sharedItems containsNonDate="0" containsString="0" containsBlank="1"/>
    </cacheField>
    <cacheField name="CONDUCTOR" numFmtId="0">
      <sharedItems containsNonDate="0" containsString="0" containsBlank="1"/>
    </cacheField>
    <cacheField name="ENTREGA COMPLETADA" numFmtId="0">
      <sharedItems containsNonDate="0" containsString="0" containsBlank="1"/>
    </cacheField>
    <cacheField name="CONDUCTO" numFmtId="0">
      <sharedItems containsNonDate="0" containsString="0" containsBlank="1"/>
    </cacheField>
    <cacheField name="MOTIVOS EN _x000a_CASO DE RECHAZO" numFmtId="0">
      <sharedItems containsNonDate="0" containsString="0" containsBlank="1"/>
    </cacheField>
    <cacheField name="CLASIFICACIÓ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9">
  <r>
    <x v="0"/>
    <d v="2019-01-02T00:00:00"/>
    <x v="0"/>
    <n v="1500"/>
    <m/>
    <s v="MARTIN"/>
    <m/>
  </r>
  <r>
    <x v="0"/>
    <d v="2019-01-02T00:00:00"/>
    <x v="1"/>
    <n v="3720"/>
    <m/>
    <s v="MARTIN"/>
    <m/>
  </r>
  <r>
    <x v="0"/>
    <d v="2019-01-02T00:00:00"/>
    <x v="2"/>
    <n v="20"/>
    <m/>
    <s v="MARTIN"/>
    <m/>
  </r>
  <r>
    <x v="0"/>
    <d v="2019-01-02T00:00:00"/>
    <x v="3"/>
    <n v="300"/>
    <m/>
    <s v="MARTIN"/>
    <m/>
  </r>
  <r>
    <x v="0"/>
    <d v="2019-01-02T00:00:00"/>
    <x v="4"/>
    <n v="375"/>
    <m/>
    <s v="MARTIN"/>
    <m/>
  </r>
  <r>
    <x v="0"/>
    <d v="2019-01-03T00:00:00"/>
    <x v="5"/>
    <n v="1500"/>
    <m/>
    <s v="CESAR"/>
    <m/>
  </r>
  <r>
    <x v="0"/>
    <d v="2019-01-03T00:00:00"/>
    <x v="6"/>
    <m/>
    <n v="60"/>
    <s v="No aplica"/>
    <s v="CLIENTE RECOLECTA"/>
  </r>
  <r>
    <x v="0"/>
    <d v="2019-01-03T00:00:00"/>
    <x v="7"/>
    <n v="20"/>
    <m/>
    <s v="CESAR"/>
    <m/>
  </r>
  <r>
    <x v="0"/>
    <d v="2019-01-04T00:00:00"/>
    <x v="8"/>
    <n v="1540"/>
    <m/>
    <s v="MARTIN"/>
    <m/>
  </r>
  <r>
    <x v="0"/>
    <d v="2019-01-04T00:00:00"/>
    <x v="9"/>
    <n v="400"/>
    <m/>
    <s v="MARTIN"/>
    <m/>
  </r>
  <r>
    <x v="0"/>
    <d v="2019-01-04T00:00:00"/>
    <x v="10"/>
    <n v="2000"/>
    <m/>
    <s v="MARTIN"/>
    <m/>
  </r>
  <r>
    <x v="0"/>
    <d v="2019-01-04T00:00:00"/>
    <x v="11"/>
    <n v="250"/>
    <m/>
    <s v="EDUARDO SANCHEZ"/>
    <m/>
  </r>
  <r>
    <x v="0"/>
    <d v="2019-01-04T00:00:00"/>
    <x v="12"/>
    <n v="20"/>
    <m/>
    <s v="ALFREDO"/>
    <m/>
  </r>
  <r>
    <x v="0"/>
    <d v="2019-01-04T00:00:00"/>
    <x v="13"/>
    <n v="40"/>
    <m/>
    <s v="MARTIN"/>
    <m/>
  </r>
  <r>
    <x v="0"/>
    <d v="2019-01-07T00:00:00"/>
    <x v="14"/>
    <n v="1500"/>
    <m/>
    <s v="EFREN"/>
    <m/>
  </r>
  <r>
    <x v="0"/>
    <d v="2019-01-07T00:00:00"/>
    <x v="15"/>
    <n v="400"/>
    <m/>
    <s v="CESAR"/>
    <m/>
  </r>
  <r>
    <x v="0"/>
    <d v="2019-01-07T00:00:00"/>
    <x v="10"/>
    <n v="20"/>
    <m/>
    <s v="EFREN"/>
    <m/>
  </r>
  <r>
    <x v="0"/>
    <d v="2019-01-07T00:00:00"/>
    <x v="3"/>
    <n v="250"/>
    <m/>
    <s v="EFREN"/>
    <m/>
  </r>
  <r>
    <x v="0"/>
    <d v="2019-01-07T00:00:00"/>
    <x v="16"/>
    <m/>
    <n v="5100"/>
    <s v="No aplica"/>
    <s v="RECOLECTA ESTAFETA"/>
  </r>
  <r>
    <x v="0"/>
    <d v="2019-01-08T00:00:00"/>
    <x v="17"/>
    <n v="300"/>
    <m/>
    <s v="MARTIN"/>
    <s v="MUESTRAS"/>
  </r>
  <r>
    <x v="0"/>
    <d v="2019-01-08T00:00:00"/>
    <x v="18"/>
    <n v="100"/>
    <m/>
    <s v="EFREN"/>
    <m/>
  </r>
  <r>
    <x v="0"/>
    <d v="2019-01-08T00:00:00"/>
    <x v="19"/>
    <m/>
    <n v="125"/>
    <s v="No aplica"/>
    <s v="RECOLECTA DHL"/>
  </r>
  <r>
    <x v="0"/>
    <d v="2019-01-09T00:00:00"/>
    <x v="20"/>
    <n v="250"/>
    <m/>
    <s v="EDUARDO SANCHEZ"/>
    <m/>
  </r>
  <r>
    <x v="0"/>
    <d v="2019-01-09T00:00:00"/>
    <x v="2"/>
    <n v="3000"/>
    <m/>
    <s v="EFREN"/>
    <m/>
  </r>
  <r>
    <x v="0"/>
    <d v="2019-01-09T00:00:00"/>
    <x v="18"/>
    <n v="1000"/>
    <m/>
    <s v="EFREN"/>
    <m/>
  </r>
  <r>
    <x v="0"/>
    <d v="2019-01-09T00:00:00"/>
    <x v="15"/>
    <n v="1000"/>
    <m/>
    <s v="ALFREDO"/>
    <s v="ENTREGA EN HUEHUETOCA"/>
  </r>
  <r>
    <x v="0"/>
    <d v="2019-01-09T00:00:00"/>
    <x v="21"/>
    <n v="400"/>
    <m/>
    <s v="EFREN"/>
    <m/>
  </r>
  <r>
    <x v="0"/>
    <d v="2019-01-10T00:00:00"/>
    <x v="22"/>
    <n v="40"/>
    <m/>
    <s v="EFREN"/>
    <s v="ENTREGA EN ATITALAQUIA HGO"/>
  </r>
  <r>
    <x v="0"/>
    <d v="2019-01-10T00:00:00"/>
    <x v="23"/>
    <n v="100"/>
    <m/>
    <s v="ALFREDO"/>
    <m/>
  </r>
  <r>
    <x v="0"/>
    <d v="2019-01-10T00:00:00"/>
    <x v="24"/>
    <n v="100"/>
    <m/>
    <s v="ALFREDO"/>
    <m/>
  </r>
  <r>
    <x v="0"/>
    <d v="2019-01-10T00:00:00"/>
    <x v="25"/>
    <n v="400"/>
    <m/>
    <s v="ALFREDO"/>
    <m/>
  </r>
  <r>
    <x v="0"/>
    <d v="2019-01-10T00:00:00"/>
    <x v="26"/>
    <n v="500"/>
    <m/>
    <s v="ALFREDO"/>
    <m/>
  </r>
  <r>
    <x v="0"/>
    <d v="2019-01-10T00:00:00"/>
    <x v="3"/>
    <n v="150"/>
    <m/>
    <s v="ALFREDO"/>
    <m/>
  </r>
  <r>
    <x v="0"/>
    <d v="2019-01-10T00:00:00"/>
    <x v="27"/>
    <n v="9000"/>
    <m/>
    <s v="EFREN"/>
    <m/>
  </r>
  <r>
    <x v="0"/>
    <d v="2019-01-10T00:00:00"/>
    <x v="28"/>
    <n v="1200"/>
    <m/>
    <s v="ALFREDO"/>
    <m/>
  </r>
  <r>
    <x v="0"/>
    <d v="2019-01-11T00:00:00"/>
    <x v="29"/>
    <n v="50"/>
    <m/>
    <s v="EDUARDO SANCHEZ"/>
    <s v="ENTREGA EN GUADALAJARA"/>
  </r>
  <r>
    <x v="0"/>
    <d v="2019-01-11T00:00:00"/>
    <x v="0"/>
    <n v="20"/>
    <m/>
    <s v="EDUARDO SANCHEZ"/>
    <s v="ENTREGA EN GUADALAJARA-CAMBIO FISICO"/>
  </r>
  <r>
    <x v="0"/>
    <d v="2019-01-11T00:00:00"/>
    <x v="30"/>
    <n v="1200"/>
    <m/>
    <s v="EFREN"/>
    <m/>
  </r>
  <r>
    <x v="0"/>
    <d v="2019-01-11T00:00:00"/>
    <x v="31"/>
    <n v="2000"/>
    <m/>
    <s v="ALFREDO"/>
    <s v="ENTREGA EN TOLUCA"/>
  </r>
  <r>
    <x v="0"/>
    <d v="2019-01-14T00:00:00"/>
    <x v="32"/>
    <n v="200"/>
    <m/>
    <s v="EDUARDO SANCHEZ"/>
    <m/>
  </r>
  <r>
    <x v="0"/>
    <d v="2019-01-14T00:00:00"/>
    <x v="33"/>
    <n v="40"/>
    <m/>
    <s v="EDUARDO SANCHEZ"/>
    <m/>
  </r>
  <r>
    <x v="0"/>
    <d v="2019-01-15T00:00:00"/>
    <x v="34"/>
    <n v="75"/>
    <m/>
    <s v="EDGAR SEGURA"/>
    <m/>
  </r>
  <r>
    <x v="0"/>
    <d v="2019-01-15T00:00:00"/>
    <x v="0"/>
    <n v="1500"/>
    <m/>
    <s v="EFREN"/>
    <m/>
  </r>
  <r>
    <x v="0"/>
    <d v="2019-01-15T00:00:00"/>
    <x v="35"/>
    <n v="2000"/>
    <m/>
    <s v="ALFREDO"/>
    <m/>
  </r>
  <r>
    <x v="0"/>
    <d v="2019-01-15T00:00:00"/>
    <x v="36"/>
    <n v="3200"/>
    <m/>
    <s v="MARTIN"/>
    <s v="ENTREGA EN PUEBLA"/>
  </r>
  <r>
    <x v="0"/>
    <d v="2019-01-15T00:00:00"/>
    <x v="37"/>
    <n v="50"/>
    <m/>
    <s v="EDGAR SEGURA"/>
    <m/>
  </r>
  <r>
    <x v="0"/>
    <d v="2019-01-16T00:00:00"/>
    <x v="38"/>
    <n v="100"/>
    <m/>
    <s v="JUAN GERARDO"/>
    <s v="VENDEDOR"/>
  </r>
  <r>
    <x v="0"/>
    <d v="2019-01-17T00:00:00"/>
    <x v="3"/>
    <n v="250"/>
    <m/>
    <s v="EFREN"/>
    <m/>
  </r>
  <r>
    <x v="0"/>
    <d v="2019-01-17T00:00:00"/>
    <x v="39"/>
    <n v="20"/>
    <m/>
    <s v="ALFREDO"/>
    <m/>
  </r>
  <r>
    <x v="0"/>
    <d v="2019-01-17T00:00:00"/>
    <x v="40"/>
    <n v="875"/>
    <m/>
    <s v="EFREN"/>
    <m/>
  </r>
  <r>
    <x v="0"/>
    <d v="2019-01-17T00:00:00"/>
    <x v="10"/>
    <n v="2000"/>
    <m/>
    <s v="EFREN"/>
    <m/>
  </r>
  <r>
    <x v="0"/>
    <d v="2019-01-18T00:00:00"/>
    <x v="41"/>
    <n v="15"/>
    <m/>
    <s v="EDUARDO SANCHEZ"/>
    <m/>
  </r>
  <r>
    <x v="0"/>
    <d v="2019-01-21T00:00:00"/>
    <x v="42"/>
    <n v="150"/>
    <m/>
    <s v="EDUARDO SANCHEZ"/>
    <m/>
  </r>
  <r>
    <x v="0"/>
    <d v="2019-01-21T00:00:00"/>
    <x v="43"/>
    <n v="4000"/>
    <m/>
    <s v="CESAR"/>
    <s v="ENTREGA EN SN JUAN DEL RIO QRO"/>
  </r>
  <r>
    <x v="0"/>
    <d v="2019-01-21T00:00:00"/>
    <x v="44"/>
    <n v="40"/>
    <m/>
    <s v="ALFREDO"/>
    <m/>
  </r>
  <r>
    <x v="0"/>
    <d v="2019-01-21T00:00:00"/>
    <x v="6"/>
    <m/>
    <n v="5"/>
    <s v="No aplica"/>
    <s v="CLIENTE RECOLECTA"/>
  </r>
  <r>
    <x v="0"/>
    <d v="2019-01-21T00:00:00"/>
    <x v="26"/>
    <n v="500"/>
    <m/>
    <s v="EFREN"/>
    <m/>
  </r>
  <r>
    <x v="0"/>
    <d v="2019-01-22T00:00:00"/>
    <x v="45"/>
    <m/>
    <n v="400"/>
    <s v="No aplica"/>
    <s v="RECOLECTA WELLDEX"/>
  </r>
  <r>
    <x v="0"/>
    <d v="2019-01-22T00:00:00"/>
    <x v="9"/>
    <n v="225"/>
    <m/>
    <s v="EFREN"/>
    <m/>
  </r>
  <r>
    <x v="0"/>
    <d v="2019-01-22T00:00:00"/>
    <x v="46"/>
    <n v="1"/>
    <m/>
    <s v="EFREN"/>
    <s v="MUESTRA"/>
  </r>
  <r>
    <x v="0"/>
    <d v="2019-01-22T00:00:00"/>
    <x v="47"/>
    <n v="2000"/>
    <m/>
    <s v="EFREN"/>
    <m/>
  </r>
  <r>
    <x v="0"/>
    <d v="2019-01-22T00:00:00"/>
    <x v="18"/>
    <n v="1000"/>
    <m/>
    <s v="EFREN"/>
    <m/>
  </r>
  <r>
    <x v="0"/>
    <d v="2019-01-23T00:00:00"/>
    <x v="48"/>
    <n v="120"/>
    <m/>
    <s v="EDUARDO SANCHEZ"/>
    <m/>
  </r>
  <r>
    <x v="0"/>
    <d v="2019-01-23T00:00:00"/>
    <x v="49"/>
    <n v="200"/>
    <m/>
    <s v="ALFREDO"/>
    <m/>
  </r>
  <r>
    <x v="0"/>
    <d v="2019-01-24T00:00:00"/>
    <x v="32"/>
    <n v="250"/>
    <m/>
    <s v="CESAR"/>
    <m/>
  </r>
  <r>
    <x v="0"/>
    <d v="2019-01-24T00:00:00"/>
    <x v="50"/>
    <n v="250"/>
    <m/>
    <s v="CESAR"/>
    <m/>
  </r>
  <r>
    <x v="0"/>
    <d v="2019-01-24T00:00:00"/>
    <x v="51"/>
    <n v="75"/>
    <m/>
    <s v="CESAR"/>
    <m/>
  </r>
  <r>
    <x v="0"/>
    <d v="2019-01-24T00:00:00"/>
    <x v="33"/>
    <n v="100"/>
    <m/>
    <s v="EDUARDO SANCHEZ"/>
    <m/>
  </r>
  <r>
    <x v="0"/>
    <d v="2019-01-24T00:00:00"/>
    <x v="14"/>
    <n v="1500"/>
    <m/>
    <s v="CESAR"/>
    <m/>
  </r>
  <r>
    <x v="0"/>
    <d v="2019-01-25T00:00:00"/>
    <x v="30"/>
    <n v="1390"/>
    <m/>
    <s v="EFREN"/>
    <m/>
  </r>
  <r>
    <x v="0"/>
    <d v="2019-01-25T00:00:00"/>
    <x v="52"/>
    <n v="30"/>
    <m/>
    <s v="EFREN"/>
    <m/>
  </r>
  <r>
    <x v="0"/>
    <d v="2019-01-25T00:00:00"/>
    <x v="53"/>
    <n v="160"/>
    <m/>
    <s v="MARTIN"/>
    <m/>
  </r>
  <r>
    <x v="0"/>
    <d v="2019-01-28T00:00:00"/>
    <x v="4"/>
    <n v="425"/>
    <m/>
    <s v="MARTIN"/>
    <m/>
  </r>
  <r>
    <x v="0"/>
    <d v="2019-01-29T00:00:00"/>
    <x v="18"/>
    <n v="225"/>
    <m/>
    <s v="EFREN"/>
    <m/>
  </r>
  <r>
    <x v="0"/>
    <d v="2019-01-30T00:00:00"/>
    <x v="34"/>
    <n v="50"/>
    <m/>
    <s v="EDGAR SEGURA"/>
    <m/>
  </r>
  <r>
    <x v="0"/>
    <d v="2019-01-30T00:00:00"/>
    <x v="54"/>
    <n v="125"/>
    <m/>
    <s v="EDGAR SEGURA"/>
    <m/>
  </r>
  <r>
    <x v="0"/>
    <d v="2019-01-30T00:00:00"/>
    <x v="55"/>
    <n v="50"/>
    <m/>
    <s v="EDUARDO SANCHEZ"/>
    <m/>
  </r>
  <r>
    <x v="0"/>
    <d v="2019-01-30T00:00:00"/>
    <x v="43"/>
    <n v="4000"/>
    <m/>
    <s v="EFREN"/>
    <s v="ENTREGA EN SN JUAN DEL RIO"/>
  </r>
  <r>
    <x v="0"/>
    <d v="2019-01-31T00:00:00"/>
    <x v="40"/>
    <n v="1"/>
    <m/>
    <s v="MARTIN"/>
    <s v="MUESTRAS"/>
  </r>
  <r>
    <x v="0"/>
    <d v="2019-01-31T00:00:00"/>
    <x v="10"/>
    <n v="2000"/>
    <m/>
    <s v="MARTIN"/>
    <m/>
  </r>
  <r>
    <x v="0"/>
    <d v="2019-01-31T00:00:00"/>
    <x v="56"/>
    <n v="200"/>
    <m/>
    <s v="ALFREDO"/>
    <m/>
  </r>
  <r>
    <x v="0"/>
    <d v="2019-01-31T00:00:00"/>
    <x v="3"/>
    <n v="150"/>
    <m/>
    <s v="MARTIN"/>
    <m/>
  </r>
  <r>
    <x v="0"/>
    <d v="2019-01-31T00:00:00"/>
    <x v="47"/>
    <n v="1000"/>
    <m/>
    <s v="MARTIN"/>
    <m/>
  </r>
  <r>
    <x v="0"/>
    <d v="2019-01-31T00:00:00"/>
    <x v="57"/>
    <n v="7600"/>
    <m/>
    <s v="EFREN"/>
    <m/>
  </r>
  <r>
    <x v="1"/>
    <d v="2019-02-01T00:00:00"/>
    <x v="8"/>
    <n v="2560"/>
    <m/>
    <s v="EFREN"/>
    <m/>
  </r>
  <r>
    <x v="1"/>
    <d v="2019-02-01T00:00:00"/>
    <x v="58"/>
    <n v="1500"/>
    <m/>
    <s v="EFREN"/>
    <m/>
  </r>
  <r>
    <x v="1"/>
    <d v="2019-02-01T00:00:00"/>
    <x v="9"/>
    <n v="400"/>
    <m/>
    <s v="EFREN"/>
    <m/>
  </r>
  <r>
    <x v="1"/>
    <d v="2019-02-05T00:00:00"/>
    <x v="59"/>
    <n v="200"/>
    <m/>
    <s v="MARTIN"/>
    <m/>
  </r>
  <r>
    <x v="1"/>
    <d v="2019-02-05T00:00:00"/>
    <x v="4"/>
    <n v="600"/>
    <m/>
    <s v="EFREN"/>
    <m/>
  </r>
  <r>
    <x v="1"/>
    <d v="2019-02-05T00:00:00"/>
    <x v="60"/>
    <n v="100"/>
    <m/>
    <s v="EDUARDO SANCHEZ"/>
    <s v="ENTREGA EN GUADALAJARA"/>
  </r>
  <r>
    <x v="1"/>
    <d v="2019-02-06T00:00:00"/>
    <x v="0"/>
    <n v="3000"/>
    <m/>
    <s v="EFREN"/>
    <m/>
  </r>
  <r>
    <x v="1"/>
    <d v="2019-02-06T00:00:00"/>
    <x v="31"/>
    <n v="68.099999999999994"/>
    <m/>
    <s v="MARTIN"/>
    <s v="ENTREGA EN TOLUCA"/>
  </r>
  <r>
    <x v="1"/>
    <d v="2019-02-06T00:00:00"/>
    <x v="20"/>
    <n v="250"/>
    <m/>
    <s v="EDUARDO SANCHEZ"/>
    <m/>
  </r>
  <r>
    <x v="1"/>
    <d v="2019-02-06T00:00:00"/>
    <x v="61"/>
    <n v="18.600000000000001"/>
    <m/>
    <s v="EFREN"/>
    <m/>
  </r>
  <r>
    <x v="1"/>
    <d v="2019-02-07T00:00:00"/>
    <x v="62"/>
    <n v="25"/>
    <m/>
    <s v="EFREN"/>
    <m/>
  </r>
  <r>
    <x v="1"/>
    <d v="2019-02-07T00:00:00"/>
    <x v="47"/>
    <n v="2200"/>
    <m/>
    <s v="CESAR"/>
    <m/>
  </r>
  <r>
    <x v="1"/>
    <d v="2019-02-08T00:00:00"/>
    <x v="58"/>
    <n v="2020"/>
    <m/>
    <s v="EFREN"/>
    <m/>
  </r>
  <r>
    <x v="1"/>
    <d v="2019-02-08T00:00:00"/>
    <x v="43"/>
    <n v="4000"/>
    <m/>
    <s v="CESAR"/>
    <s v="ENTREGA EN SN JUAN DEL RIO QRO"/>
  </r>
  <r>
    <x v="1"/>
    <d v="2019-02-08T00:00:00"/>
    <x v="63"/>
    <n v="500"/>
    <m/>
    <s v="MARTIN/JOAQUIN"/>
    <s v="ENTREGA EN HUAMANTLA TLAXCALA"/>
  </r>
  <r>
    <x v="1"/>
    <d v="2019-02-09T00:00:00"/>
    <x v="64"/>
    <m/>
    <m/>
    <s v="MARTIN/JOAQUIN"/>
    <m/>
  </r>
  <r>
    <x v="1"/>
    <d v="2019-02-11T00:00:00"/>
    <x v="19"/>
    <n v="150"/>
    <m/>
    <s v="EFREN"/>
    <m/>
  </r>
  <r>
    <x v="1"/>
    <d v="2019-02-11T00:00:00"/>
    <x v="65"/>
    <n v="2800"/>
    <m/>
    <s v="MARTIN"/>
    <m/>
  </r>
  <r>
    <x v="1"/>
    <d v="2019-02-11T00:00:00"/>
    <x v="40"/>
    <n v="1111.3499999999999"/>
    <m/>
    <s v="EFREN"/>
    <m/>
  </r>
  <r>
    <x v="1"/>
    <d v="2019-02-11T00:00:00"/>
    <x v="66"/>
    <n v="120"/>
    <m/>
    <s v="MARTIN"/>
    <m/>
  </r>
  <r>
    <x v="1"/>
    <d v="2019-02-12T00:00:00"/>
    <x v="56"/>
    <n v="50"/>
    <m/>
    <s v="MARTIN"/>
    <m/>
  </r>
  <r>
    <x v="1"/>
    <d v="2019-02-12T00:00:00"/>
    <x v="3"/>
    <n v="1000"/>
    <m/>
    <s v="EFREN"/>
    <s v="ENTREGA EN LEON GTO"/>
  </r>
  <r>
    <x v="1"/>
    <d v="2019-02-12T00:00:00"/>
    <x v="18"/>
    <n v="200"/>
    <m/>
    <s v="EFREN"/>
    <s v="ENTREGA EN LEON GTO"/>
  </r>
  <r>
    <x v="1"/>
    <d v="2019-02-12T00:00:00"/>
    <x v="9"/>
    <n v="75"/>
    <m/>
    <s v="EFREN"/>
    <s v="ENTREGA EN LEON GTO"/>
  </r>
  <r>
    <x v="1"/>
    <d v="2019-02-12T00:00:00"/>
    <x v="67"/>
    <n v="20"/>
    <m/>
    <s v="EDUARDO SANCHEZ"/>
    <m/>
  </r>
  <r>
    <x v="1"/>
    <d v="2019-02-12T00:00:00"/>
    <x v="68"/>
    <n v="450"/>
    <m/>
    <s v="EDGAR SEGURA"/>
    <s v="2 TAMBOS DE ATTENUZYME"/>
  </r>
  <r>
    <x v="1"/>
    <d v="2019-02-12T00:00:00"/>
    <x v="28"/>
    <n v="180"/>
    <m/>
    <s v="EDGAR SEGURA"/>
    <m/>
  </r>
  <r>
    <x v="1"/>
    <d v="2019-02-13T00:00:00"/>
    <x v="10"/>
    <n v="2000"/>
    <m/>
    <s v="EFREN"/>
    <m/>
  </r>
  <r>
    <x v="1"/>
    <d v="2019-02-13T00:00:00"/>
    <x v="2"/>
    <n v="2020"/>
    <m/>
    <s v="EFREN"/>
    <m/>
  </r>
  <r>
    <x v="1"/>
    <d v="2019-02-13T00:00:00"/>
    <x v="69"/>
    <n v="4000"/>
    <m/>
    <s v="MARTIN"/>
    <s v="ENTREGA EN SN JUAN DEL RIO QRO"/>
  </r>
  <r>
    <x v="1"/>
    <d v="2019-02-14T00:00:00"/>
    <x v="22"/>
    <n v="40"/>
    <m/>
    <s v="OMAR GARDUÑO"/>
    <s v="ENTREGA EN ATITALAQUIA HGO"/>
  </r>
  <r>
    <x v="1"/>
    <d v="2019-02-15T00:00:00"/>
    <x v="70"/>
    <n v="75"/>
    <m/>
    <s v="EDUARDO SANCHEZ"/>
    <m/>
  </r>
  <r>
    <x v="1"/>
    <d v="2019-02-15T00:00:00"/>
    <x v="15"/>
    <n v="1200"/>
    <m/>
    <s v="CESAR"/>
    <s v="ENTREGA EN HUEHUETOCA"/>
  </r>
  <r>
    <x v="1"/>
    <d v="2019-02-15T00:00:00"/>
    <x v="18"/>
    <n v="500"/>
    <m/>
    <s v="EFREN"/>
    <m/>
  </r>
  <r>
    <x v="1"/>
    <d v="2019-02-15T00:00:00"/>
    <x v="4"/>
    <n v="200"/>
    <m/>
    <s v="EFREN"/>
    <m/>
  </r>
  <r>
    <x v="1"/>
    <d v="2019-02-15T00:00:00"/>
    <x v="9"/>
    <n v="200"/>
    <m/>
    <s v="EFREN"/>
    <m/>
  </r>
  <r>
    <x v="1"/>
    <d v="2019-02-15T00:00:00"/>
    <x v="27"/>
    <n v="2000"/>
    <m/>
    <s v="CESAR"/>
    <m/>
  </r>
  <r>
    <x v="1"/>
    <d v="2019-02-18T00:00:00"/>
    <x v="42"/>
    <n v="125"/>
    <m/>
    <s v="EDGAR SEGURA"/>
    <m/>
  </r>
  <r>
    <x v="1"/>
    <d v="2019-02-18T00:00:00"/>
    <x v="11"/>
    <n v="75"/>
    <m/>
    <s v="ALFREDO"/>
    <m/>
  </r>
  <r>
    <x v="1"/>
    <d v="2019-02-18T00:00:00"/>
    <x v="71"/>
    <n v="500"/>
    <m/>
    <s v="EFREN"/>
    <m/>
  </r>
  <r>
    <x v="1"/>
    <d v="2019-02-18T00:00:00"/>
    <x v="31"/>
    <n v="2000"/>
    <m/>
    <s v="EDGAR SEGURA"/>
    <s v="ENTREGA EN TOLUCA"/>
  </r>
  <r>
    <x v="1"/>
    <d v="2019-02-18T00:00:00"/>
    <x v="72"/>
    <n v="40"/>
    <m/>
    <s v="ALFREDO"/>
    <m/>
  </r>
  <r>
    <x v="1"/>
    <d v="2019-02-18T00:00:00"/>
    <x v="32"/>
    <n v="140"/>
    <m/>
    <s v="ALFREDO"/>
    <m/>
  </r>
  <r>
    <x v="1"/>
    <d v="2019-02-19T00:00:00"/>
    <x v="6"/>
    <m/>
    <n v="20"/>
    <m/>
    <s v="CLIENTE RECOLECTA"/>
  </r>
  <r>
    <x v="1"/>
    <d v="2019-02-19T00:00:00"/>
    <x v="38"/>
    <n v="200"/>
    <m/>
    <s v="ALFREDO"/>
    <m/>
  </r>
  <r>
    <x v="1"/>
    <d v="2019-02-19T00:00:00"/>
    <x v="27"/>
    <n v="6000"/>
    <m/>
    <s v="CESAR"/>
    <s v="CITA 08:00 HRS"/>
  </r>
  <r>
    <x v="1"/>
    <d v="2019-02-19T00:00:00"/>
    <x v="28"/>
    <n v="1010"/>
    <m/>
    <s v="EFREN"/>
    <m/>
  </r>
  <r>
    <x v="1"/>
    <d v="2019-02-20T00:00:00"/>
    <x v="58"/>
    <n v="1500"/>
    <m/>
    <s v="EDUARDO SANCHEZ"/>
    <m/>
  </r>
  <r>
    <x v="1"/>
    <d v="2019-02-20T00:00:00"/>
    <x v="43"/>
    <n v="4000"/>
    <m/>
    <s v="CESAR"/>
    <s v="ENTREGA EN SN JUAN DEL RIO QRO"/>
  </r>
  <r>
    <x v="1"/>
    <d v="2019-02-20T00:00:00"/>
    <x v="73"/>
    <n v="240"/>
    <m/>
    <s v="CESAR"/>
    <s v="ENTREGA EN SN JUAN DEL RIO QRO"/>
  </r>
  <r>
    <x v="1"/>
    <d v="2019-02-20T00:00:00"/>
    <x v="74"/>
    <n v="180"/>
    <m/>
    <s v="EFREN"/>
    <m/>
  </r>
  <r>
    <x v="1"/>
    <d v="2019-02-20T00:00:00"/>
    <x v="75"/>
    <n v="61.35"/>
    <m/>
    <s v="EFREN"/>
    <m/>
  </r>
  <r>
    <x v="1"/>
    <d v="2019-02-21T00:00:00"/>
    <x v="76"/>
    <n v="2800"/>
    <m/>
    <s v="EFREN"/>
    <m/>
  </r>
  <r>
    <x v="1"/>
    <d v="2019-02-21T00:00:00"/>
    <x v="77"/>
    <n v="100"/>
    <m/>
    <s v="MARTIN"/>
    <s v="ENTREGA EN TOLUCA"/>
  </r>
  <r>
    <x v="1"/>
    <d v="2019-02-21T00:00:00"/>
    <x v="18"/>
    <n v="600"/>
    <m/>
    <s v="CESAR"/>
    <m/>
  </r>
  <r>
    <x v="1"/>
    <d v="2019-02-22T00:00:00"/>
    <x v="48"/>
    <n v="160"/>
    <m/>
    <s v="EDUARDO SANCHEZ"/>
    <m/>
  </r>
  <r>
    <x v="1"/>
    <d v="2019-02-22T00:00:00"/>
    <x v="14"/>
    <n v="1500"/>
    <m/>
    <s v="EFREN"/>
    <m/>
  </r>
  <r>
    <x v="1"/>
    <d v="2019-02-22T00:00:00"/>
    <x v="3"/>
    <n v="700"/>
    <m/>
    <s v="EFREN"/>
    <m/>
  </r>
  <r>
    <x v="1"/>
    <d v="2019-02-22T00:00:00"/>
    <x v="18"/>
    <n v="400"/>
    <m/>
    <s v="EFREN"/>
    <m/>
  </r>
  <r>
    <x v="1"/>
    <d v="2019-02-22T00:00:00"/>
    <x v="78"/>
    <n v="20"/>
    <m/>
    <s v="EFREN"/>
    <m/>
  </r>
  <r>
    <x v="1"/>
    <d v="2019-02-25T00:00:00"/>
    <x v="79"/>
    <n v="20"/>
    <m/>
    <s v="EFREN"/>
    <m/>
  </r>
  <r>
    <x v="1"/>
    <d v="2019-02-25T00:00:00"/>
    <x v="80"/>
    <n v="120"/>
    <m/>
    <s v="EFREN"/>
    <m/>
  </r>
  <r>
    <x v="1"/>
    <d v="2019-02-25T00:00:00"/>
    <x v="45"/>
    <m/>
    <n v="400"/>
    <s v="No aplica"/>
    <s v="RECOLECTA WELLDEX"/>
  </r>
  <r>
    <x v="1"/>
    <d v="2019-02-25T00:00:00"/>
    <x v="4"/>
    <n v="1100"/>
    <m/>
    <m/>
    <m/>
  </r>
  <r>
    <x v="1"/>
    <d v="2019-02-26T00:00:00"/>
    <x v="60"/>
    <n v="100"/>
    <m/>
    <s v="EDGAR SEGURA"/>
    <s v="ENTREGA EN GUADALAJARA"/>
  </r>
  <r>
    <x v="1"/>
    <d v="2019-02-26T00:00:00"/>
    <x v="81"/>
    <n v="100"/>
    <m/>
    <s v="EDUARDO SANCHEZ"/>
    <m/>
  </r>
  <r>
    <x v="1"/>
    <d v="2019-02-26T00:00:00"/>
    <x v="82"/>
    <n v="180"/>
    <m/>
    <s v="EFREN"/>
    <s v="ENTREGA EN HUAMANTLA-TLAXCALA"/>
  </r>
  <r>
    <x v="1"/>
    <d v="2019-02-27T00:00:00"/>
    <x v="37"/>
    <n v="50"/>
    <m/>
    <s v="EDGAR SEGURA"/>
    <m/>
  </r>
  <r>
    <x v="1"/>
    <d v="2019-02-27T00:00:00"/>
    <x v="43"/>
    <n v="4000"/>
    <m/>
    <s v="MARTIN"/>
    <s v="ENTREGA EN SN JUAN DEL RIO QRO"/>
  </r>
  <r>
    <x v="1"/>
    <d v="2019-02-27T00:00:00"/>
    <x v="18"/>
    <n v="500"/>
    <m/>
    <s v="CESAR"/>
    <m/>
  </r>
  <r>
    <x v="1"/>
    <d v="2019-02-27T00:00:00"/>
    <x v="83"/>
    <n v="125"/>
    <m/>
    <s v="ALFREDO"/>
    <m/>
  </r>
  <r>
    <x v="1"/>
    <d v="2019-02-27T00:00:00"/>
    <x v="27"/>
    <n v="5150"/>
    <m/>
    <s v="EFREN"/>
    <m/>
  </r>
  <r>
    <x v="1"/>
    <d v="2019-02-28T00:00:00"/>
    <x v="10"/>
    <n v="2020"/>
    <m/>
    <s v="EFREN"/>
    <m/>
  </r>
  <r>
    <x v="1"/>
    <d v="2019-02-28T00:00:00"/>
    <x v="47"/>
    <n v="2000"/>
    <m/>
    <s v="EFREN"/>
    <m/>
  </r>
  <r>
    <x v="2"/>
    <d v="2019-03-01T00:00:00"/>
    <x v="84"/>
    <n v="3440"/>
    <m/>
    <s v="CESAR"/>
    <s v="ENTREGA EN TOLUCA"/>
  </r>
  <r>
    <x v="2"/>
    <d v="2019-03-01T00:00:00"/>
    <x v="35"/>
    <n v="2000"/>
    <m/>
    <s v="MARTIN"/>
    <m/>
  </r>
  <r>
    <x v="2"/>
    <d v="2019-03-01T00:00:00"/>
    <x v="85"/>
    <n v="150"/>
    <m/>
    <s v="EDUARDO SANCHEZ"/>
    <m/>
  </r>
  <r>
    <x v="2"/>
    <d v="2019-03-01T00:00:00"/>
    <x v="3"/>
    <n v="250"/>
    <m/>
    <s v="MARTIN"/>
    <m/>
  </r>
  <r>
    <x v="2"/>
    <d v="2019-03-01T00:00:00"/>
    <x v="14"/>
    <n v="400"/>
    <m/>
    <s v="MARTIN"/>
    <m/>
  </r>
  <r>
    <x v="2"/>
    <d v="2019-03-01T00:00:00"/>
    <x v="86"/>
    <n v="4000"/>
    <m/>
    <s v="EFREN/MARTIN"/>
    <s v="ENTREGA DIRECTA EN PIEDRAS NEGRAS COAHUILA"/>
  </r>
  <r>
    <x v="2"/>
    <d v="2019-03-04T00:00:00"/>
    <x v="87"/>
    <n v="240"/>
    <m/>
    <s v="CESAR"/>
    <m/>
  </r>
  <r>
    <x v="2"/>
    <d v="2019-03-04T00:00:00"/>
    <x v="8"/>
    <n v="3060"/>
    <m/>
    <s v="CESAR"/>
    <m/>
  </r>
  <r>
    <x v="2"/>
    <d v="2019-03-04T00:00:00"/>
    <x v="88"/>
    <n v="50"/>
    <m/>
    <s v="EDUARDO SANCHEZ"/>
    <s v="ENTREGA EN TOLUCA"/>
  </r>
  <r>
    <x v="2"/>
    <d v="2019-03-05T00:00:00"/>
    <x v="89"/>
    <n v="25"/>
    <m/>
    <s v="MARTIN"/>
    <m/>
  </r>
  <r>
    <x v="2"/>
    <d v="2019-03-05T00:00:00"/>
    <x v="34"/>
    <n v="125"/>
    <m/>
    <s v="MARTIN"/>
    <m/>
  </r>
  <r>
    <x v="2"/>
    <d v="2019-03-05T00:00:00"/>
    <x v="83"/>
    <n v="125"/>
    <m/>
    <s v="MARTIN"/>
    <m/>
  </r>
  <r>
    <x v="2"/>
    <d v="2019-03-05T00:00:00"/>
    <x v="20"/>
    <n v="300"/>
    <m/>
    <s v="EDGAR SEGURA"/>
    <m/>
  </r>
  <r>
    <x v="2"/>
    <d v="2019-03-05T00:00:00"/>
    <x v="27"/>
    <n v="1200"/>
    <m/>
    <s v="EFREN"/>
    <m/>
  </r>
  <r>
    <x v="2"/>
    <d v="2019-03-06T00:00:00"/>
    <x v="2"/>
    <n v="20"/>
    <m/>
    <s v="EFREN"/>
    <m/>
  </r>
  <r>
    <x v="2"/>
    <d v="2019-03-06T00:00:00"/>
    <x v="15"/>
    <n v="200"/>
    <m/>
    <s v="MARTIN"/>
    <s v="ENTREGA EN HUEHUETOCA"/>
  </r>
  <r>
    <x v="2"/>
    <d v="2019-03-06T00:00:00"/>
    <x v="43"/>
    <n v="4000"/>
    <m/>
    <s v="MARTIN"/>
    <s v="ENTREGA EN SN JUAN DEL RIO QRO"/>
  </r>
  <r>
    <x v="2"/>
    <d v="2019-03-06T00:00:00"/>
    <x v="90"/>
    <n v="600"/>
    <m/>
    <s v="EDGAR SEGURA"/>
    <m/>
  </r>
  <r>
    <x v="2"/>
    <d v="2019-03-06T00:00:00"/>
    <x v="41"/>
    <n v="525"/>
    <m/>
    <s v="CESAR"/>
    <m/>
  </r>
  <r>
    <x v="2"/>
    <d v="2019-03-07T00:00:00"/>
    <x v="91"/>
    <n v="200"/>
    <m/>
    <s v="ALFREDO"/>
    <m/>
  </r>
  <r>
    <x v="2"/>
    <d v="2019-03-07T00:00:00"/>
    <x v="76"/>
    <n v="180"/>
    <m/>
    <s v="ALFREDO"/>
    <m/>
  </r>
  <r>
    <x v="2"/>
    <d v="2019-03-07T00:00:00"/>
    <x v="92"/>
    <n v="150"/>
    <m/>
    <s v="MARTIN"/>
    <m/>
  </r>
  <r>
    <x v="2"/>
    <d v="2019-03-07T00:00:00"/>
    <x v="3"/>
    <n v="375"/>
    <m/>
    <s v="MARTIN"/>
    <m/>
  </r>
  <r>
    <x v="2"/>
    <d v="2019-03-07T00:00:00"/>
    <x v="26"/>
    <n v="500"/>
    <m/>
    <s v="MARTIN"/>
    <m/>
  </r>
  <r>
    <x v="2"/>
    <d v="2019-03-07T00:00:00"/>
    <x v="14"/>
    <n v="1100"/>
    <m/>
    <s v="MARTIN"/>
    <m/>
  </r>
  <r>
    <x v="2"/>
    <d v="2019-03-07T00:00:00"/>
    <x v="9"/>
    <n v="275"/>
    <m/>
    <s v="MARTIN"/>
    <m/>
  </r>
  <r>
    <x v="2"/>
    <d v="2019-03-07T00:00:00"/>
    <x v="93"/>
    <n v="51"/>
    <m/>
    <s v="MARTIN"/>
    <m/>
  </r>
  <r>
    <x v="2"/>
    <d v="2019-03-07T00:00:00"/>
    <x v="27"/>
    <n v="5000"/>
    <m/>
    <s v="MARTIN"/>
    <m/>
  </r>
  <r>
    <x v="2"/>
    <d v="2019-03-08T00:00:00"/>
    <x v="4"/>
    <n v="600"/>
    <m/>
    <s v="CESAR"/>
    <m/>
  </r>
  <r>
    <x v="2"/>
    <d v="2019-03-08T00:00:00"/>
    <x v="94"/>
    <n v="2000"/>
    <m/>
    <s v="MARTIN"/>
    <s v="ENTREGA EN HUAMANTLA"/>
  </r>
  <r>
    <x v="2"/>
    <d v="2019-03-11T00:00:00"/>
    <x v="50"/>
    <n v="175"/>
    <m/>
    <s v="CESAR"/>
    <m/>
  </r>
  <r>
    <x v="2"/>
    <d v="2019-03-11T00:00:00"/>
    <x v="83"/>
    <n v="150"/>
    <m/>
    <s v="CESAR"/>
    <m/>
  </r>
  <r>
    <x v="2"/>
    <d v="2019-03-11T00:00:00"/>
    <x v="59"/>
    <n v="200"/>
    <m/>
    <s v="ALFREDO"/>
    <m/>
  </r>
  <r>
    <x v="2"/>
    <d v="2019-03-11T00:00:00"/>
    <x v="56"/>
    <n v="200"/>
    <m/>
    <s v="ALFREDO"/>
    <m/>
  </r>
  <r>
    <x v="2"/>
    <d v="2019-03-12T00:00:00"/>
    <x v="35"/>
    <n v="2000"/>
    <m/>
    <s v="EFREN"/>
    <m/>
  </r>
  <r>
    <x v="2"/>
    <d v="2019-03-12T00:00:00"/>
    <x v="0"/>
    <n v="3000"/>
    <m/>
    <s v="EFREN"/>
    <m/>
  </r>
  <r>
    <x v="2"/>
    <d v="2019-03-13T00:00:00"/>
    <x v="6"/>
    <m/>
    <n v="5"/>
    <s v="No aplica"/>
    <s v="CLIENTE RECOLECTA"/>
  </r>
  <r>
    <x v="2"/>
    <d v="2019-03-13T00:00:00"/>
    <x v="15"/>
    <n v="1000"/>
    <m/>
    <s v="MARTIN "/>
    <s v="ENTREGA EN HUEHUETOCA"/>
  </r>
  <r>
    <x v="2"/>
    <d v="2019-03-13T00:00:00"/>
    <x v="30"/>
    <n v="1000"/>
    <m/>
    <s v="EFREN"/>
    <m/>
  </r>
  <r>
    <x v="2"/>
    <d v="2019-03-14T00:00:00"/>
    <x v="53"/>
    <n v="320"/>
    <m/>
    <s v="EFREN"/>
    <s v="ENTREGA EN PUEBLA"/>
  </r>
  <r>
    <x v="2"/>
    <d v="2019-03-14T00:00:00"/>
    <x v="36"/>
    <n v="2000"/>
    <m/>
    <s v="EFREN"/>
    <s v="ENTREGA EN PUEBLA"/>
  </r>
  <r>
    <x v="2"/>
    <d v="2019-03-14T00:00:00"/>
    <x v="3"/>
    <n v="250"/>
    <m/>
    <s v="MARTIN"/>
    <m/>
  </r>
  <r>
    <x v="2"/>
    <d v="2019-03-14T00:00:00"/>
    <x v="18"/>
    <n v="1000"/>
    <m/>
    <s v="MARTIN"/>
    <m/>
  </r>
  <r>
    <x v="2"/>
    <d v="2019-03-14T00:00:00"/>
    <x v="95"/>
    <n v="100"/>
    <m/>
    <s v="CESAR"/>
    <m/>
  </r>
  <r>
    <x v="2"/>
    <d v="2019-03-15T00:00:00"/>
    <x v="96"/>
    <n v="40"/>
    <m/>
    <s v="CESAR"/>
    <m/>
  </r>
  <r>
    <x v="2"/>
    <d v="2019-03-15T00:00:00"/>
    <x v="25"/>
    <n v="200"/>
    <m/>
    <s v="EFREN"/>
    <m/>
  </r>
  <r>
    <x v="2"/>
    <d v="2019-03-15T00:00:00"/>
    <x v="75"/>
    <n v="11.35"/>
    <m/>
    <s v="EFREN"/>
    <m/>
  </r>
  <r>
    <x v="2"/>
    <d v="2019-03-15T00:00:00"/>
    <x v="97"/>
    <n v="10"/>
    <m/>
    <s v="EFREN"/>
    <s v="MUESTRAS"/>
  </r>
  <r>
    <x v="2"/>
    <d v="2019-03-15T00:00:00"/>
    <x v="15"/>
    <n v="200"/>
    <m/>
    <s v="MARTIN"/>
    <s v="ENTREGA EN HUEHUETOCA"/>
  </r>
  <r>
    <x v="2"/>
    <d v="2019-03-15T00:00:00"/>
    <x v="98"/>
    <m/>
    <n v="1600"/>
    <s v="No aplica"/>
    <s v="RECOLECTA ESTAFETA"/>
  </r>
  <r>
    <x v="2"/>
    <d v="2019-03-19T00:00:00"/>
    <x v="42"/>
    <n v="125"/>
    <m/>
    <s v="ALFREDO"/>
    <m/>
  </r>
  <r>
    <x v="2"/>
    <d v="2019-03-19T00:00:00"/>
    <x v="99"/>
    <n v="65"/>
    <m/>
    <s v="OMAR GARDUÑO"/>
    <s v="ENTREGA EN ATITALAQUIA HGO"/>
  </r>
  <r>
    <x v="2"/>
    <d v="2019-03-19T00:00:00"/>
    <x v="3"/>
    <n v="200"/>
    <m/>
    <s v="EFREN"/>
    <m/>
  </r>
  <r>
    <x v="2"/>
    <d v="2019-03-19T00:00:00"/>
    <x v="57"/>
    <n v="10025"/>
    <m/>
    <s v="EFREN"/>
    <m/>
  </r>
  <r>
    <x v="2"/>
    <d v="2019-03-20T00:00:00"/>
    <x v="2"/>
    <n v="3000"/>
    <m/>
    <s v="EFREN"/>
    <m/>
  </r>
  <r>
    <x v="2"/>
    <d v="2019-03-20T00:00:00"/>
    <x v="3"/>
    <n v="250"/>
    <m/>
    <s v="EFREN"/>
    <m/>
  </r>
  <r>
    <x v="2"/>
    <d v="2019-03-20T00:00:00"/>
    <x v="18"/>
    <n v="500"/>
    <m/>
    <s v="EFREN"/>
    <m/>
  </r>
  <r>
    <x v="2"/>
    <d v="2019-03-20T00:00:00"/>
    <x v="81"/>
    <n v="100"/>
    <m/>
    <s v="EDUARDO SANCHEZ"/>
    <m/>
  </r>
  <r>
    <x v="2"/>
    <d v="2019-03-20T00:00:00"/>
    <x v="100"/>
    <n v="20"/>
    <m/>
    <s v="EDUARDO SANCHEZ"/>
    <m/>
  </r>
  <r>
    <x v="2"/>
    <d v="2019-03-20T00:00:00"/>
    <x v="27"/>
    <n v="6690"/>
    <m/>
    <s v="CESAR"/>
    <m/>
  </r>
  <r>
    <x v="2"/>
    <d v="2019-03-21T00:00:00"/>
    <x v="101"/>
    <n v="1000"/>
    <m/>
    <s v="EFREN"/>
    <m/>
  </r>
  <r>
    <x v="2"/>
    <d v="2019-03-21T00:00:00"/>
    <x v="102"/>
    <m/>
    <n v="100"/>
    <s v="No aplica"/>
    <s v="RECOLECTA FEDEX"/>
  </r>
  <r>
    <x v="2"/>
    <d v="2019-03-22T00:00:00"/>
    <x v="48"/>
    <n v="160"/>
    <m/>
    <s v="EDUARDO SANCHEZ"/>
    <m/>
  </r>
  <r>
    <x v="2"/>
    <d v="2019-03-22T00:00:00"/>
    <x v="31"/>
    <n v="68.099999999999994"/>
    <m/>
    <s v="EDGAR SEGURA"/>
    <s v="ENTREGA EN TOLUCA"/>
  </r>
  <r>
    <x v="2"/>
    <d v="2019-03-22T00:00:00"/>
    <x v="54"/>
    <n v="50"/>
    <m/>
    <s v="MARTIN"/>
    <m/>
  </r>
  <r>
    <x v="2"/>
    <d v="2019-03-22T00:00:00"/>
    <x v="103"/>
    <n v="25"/>
    <m/>
    <s v="MARTIN"/>
    <m/>
  </r>
  <r>
    <x v="2"/>
    <d v="2019-03-22T00:00:00"/>
    <x v="47"/>
    <n v="2200"/>
    <m/>
    <s v="EFREN"/>
    <m/>
  </r>
  <r>
    <x v="2"/>
    <d v="2019-03-22T00:00:00"/>
    <x v="104"/>
    <n v="2400"/>
    <m/>
    <s v="EFREN"/>
    <m/>
  </r>
  <r>
    <x v="2"/>
    <d v="2019-03-22T00:00:00"/>
    <x v="4"/>
    <n v="1300"/>
    <m/>
    <s v="CESAR"/>
    <m/>
  </r>
  <r>
    <x v="2"/>
    <d v="2019-03-22T00:00:00"/>
    <x v="105"/>
    <m/>
    <n v="1400"/>
    <s v="No aplica"/>
    <s v="CLIENTE RECOLECTA"/>
  </r>
  <r>
    <x v="2"/>
    <d v="2019-03-25T00:00:00"/>
    <x v="10"/>
    <n v="2000"/>
    <m/>
    <s v="EFREN"/>
    <m/>
  </r>
  <r>
    <x v="2"/>
    <d v="2019-03-25T00:00:00"/>
    <x v="60"/>
    <n v="100"/>
    <m/>
    <s v="EDGAR SEGURA"/>
    <s v="ENTREGA EN GUADALAJARA"/>
  </r>
  <r>
    <x v="2"/>
    <d v="2019-03-25T00:00:00"/>
    <x v="16"/>
    <n v="125"/>
    <m/>
    <s v="EDGAR SEGURA"/>
    <s v="ENTREGA EN GUADALAJARA"/>
  </r>
  <r>
    <x v="2"/>
    <d v="2019-03-25T00:00:00"/>
    <x v="106"/>
    <n v="300"/>
    <m/>
    <s v="EFREN"/>
    <m/>
  </r>
  <r>
    <x v="2"/>
    <d v="2019-03-25T00:00:00"/>
    <x v="107"/>
    <n v="2200"/>
    <m/>
    <s v="EFREN"/>
    <m/>
  </r>
  <r>
    <x v="2"/>
    <d v="2019-03-26T00:00:00"/>
    <x v="11"/>
    <n v="50"/>
    <m/>
    <s v="EDGAR SEGURA"/>
    <m/>
  </r>
  <r>
    <x v="2"/>
    <d v="2019-03-26T00:00:00"/>
    <x v="3"/>
    <n v="100"/>
    <m/>
    <s v="MARTIN"/>
    <m/>
  </r>
  <r>
    <x v="2"/>
    <d v="2019-03-26T00:00:00"/>
    <x v="108"/>
    <n v="5"/>
    <m/>
    <s v="MARTIN"/>
    <m/>
  </r>
  <r>
    <x v="2"/>
    <d v="2019-03-26T00:00:00"/>
    <x v="26"/>
    <n v="500"/>
    <m/>
    <s v="MARTIN"/>
    <m/>
  </r>
  <r>
    <x v="2"/>
    <d v="2019-03-26T00:00:00"/>
    <x v="14"/>
    <n v="1500"/>
    <m/>
    <s v="MARTIN"/>
    <m/>
  </r>
  <r>
    <x v="2"/>
    <d v="2019-03-27T00:00:00"/>
    <x v="92"/>
    <n v="125"/>
    <m/>
    <s v="MARTIN"/>
    <m/>
  </r>
  <r>
    <x v="2"/>
    <d v="2019-03-27T00:00:00"/>
    <x v="69"/>
    <n v="4000"/>
    <m/>
    <s v="CESAR"/>
    <m/>
  </r>
  <r>
    <x v="2"/>
    <d v="2019-03-27T00:00:00"/>
    <x v="21"/>
    <n v="125"/>
    <m/>
    <s v="EDGAR SEGURA"/>
    <m/>
  </r>
  <r>
    <x v="2"/>
    <d v="2019-03-28T00:00:00"/>
    <x v="62"/>
    <n v="25"/>
    <m/>
    <s v="EDGAR SEGURA"/>
    <m/>
  </r>
  <r>
    <x v="2"/>
    <d v="2019-03-28T00:00:00"/>
    <x v="54"/>
    <n v="125"/>
    <m/>
    <s v="EDGAR SEGURA"/>
    <m/>
  </r>
  <r>
    <x v="2"/>
    <d v="2019-03-28T00:00:00"/>
    <x v="109"/>
    <n v="100"/>
    <m/>
    <s v="ALFREDO"/>
    <s v="ENTREGA EN SANTIAGO TIANGUISTENGO"/>
  </r>
  <r>
    <x v="2"/>
    <d v="2019-03-29T00:00:00"/>
    <x v="31"/>
    <n v="2000"/>
    <m/>
    <s v="MARTIN"/>
    <s v="ENTREGA EN TOLUCA"/>
  </r>
  <r>
    <x v="2"/>
    <d v="2019-03-29T00:00:00"/>
    <x v="97"/>
    <n v="10"/>
    <m/>
    <s v="EDUARDO SANCHEZ"/>
    <s v="MUESTRA"/>
  </r>
  <r>
    <x v="2"/>
    <d v="2019-03-29T00:00:00"/>
    <x v="110"/>
    <n v="20"/>
    <m/>
    <s v="EDUARDO SANCHEZ"/>
    <m/>
  </r>
  <r>
    <x v="2"/>
    <d v="2019-03-29T00:00:00"/>
    <x v="28"/>
    <n v="1010"/>
    <m/>
    <s v="MARTIN"/>
    <m/>
  </r>
  <r>
    <x v="2"/>
    <d v="2019-03-29T00:00:00"/>
    <x v="27"/>
    <n v="2000"/>
    <m/>
    <s v="ALFREDO"/>
    <m/>
  </r>
  <r>
    <x v="3"/>
    <d v="2019-04-01T00:00:00"/>
    <x v="20"/>
    <n v="300"/>
    <m/>
    <s v="EDGAR SEGURA"/>
    <m/>
  </r>
  <r>
    <x v="3"/>
    <d v="2019-04-01T00:00:00"/>
    <x v="59"/>
    <n v="200"/>
    <m/>
    <s v="CESAR"/>
    <m/>
  </r>
  <r>
    <x v="3"/>
    <d v="2019-04-01T00:00:00"/>
    <x v="34"/>
    <n v="125"/>
    <m/>
    <s v="EDGAR SEGURA"/>
    <m/>
  </r>
  <r>
    <x v="3"/>
    <d v="2019-04-01T00:00:00"/>
    <x v="83"/>
    <n v="150"/>
    <m/>
    <s v="EDGAR SEGURA"/>
    <m/>
  </r>
  <r>
    <x v="3"/>
    <d v="2019-04-01T00:00:00"/>
    <x v="60"/>
    <n v="200"/>
    <m/>
    <s v="EDUARDO SANCHEZ"/>
    <s v="ENTREGA EN GUADALAJARA"/>
  </r>
  <r>
    <x v="3"/>
    <d v="2019-04-01T00:00:00"/>
    <x v="8"/>
    <n v="3000"/>
    <m/>
    <s v="CESAR"/>
    <m/>
  </r>
  <r>
    <x v="3"/>
    <d v="2019-04-01T00:00:00"/>
    <x v="24"/>
    <n v="130"/>
    <m/>
    <s v="CESAR"/>
    <m/>
  </r>
  <r>
    <x v="3"/>
    <d v="2019-04-01T00:00:00"/>
    <x v="111"/>
    <m/>
    <m/>
    <s v="No aplica"/>
    <m/>
  </r>
  <r>
    <x v="3"/>
    <d v="2019-04-02T00:00:00"/>
    <x v="58"/>
    <n v="2500"/>
    <m/>
    <s v="MARTIN"/>
    <m/>
  </r>
  <r>
    <x v="3"/>
    <d v="2019-04-02T00:00:00"/>
    <x v="77"/>
    <n v="100"/>
    <m/>
    <s v="ALFREDO"/>
    <s v="ENTREGA EN TOLUCA"/>
  </r>
  <r>
    <x v="3"/>
    <d v="2019-04-02T00:00:00"/>
    <x v="112"/>
    <n v="1000"/>
    <m/>
    <s v="ALFREDO"/>
    <s v="ENTREGA EN SANTIAGO TIANGUISTENGO"/>
  </r>
  <r>
    <x v="3"/>
    <d v="2019-04-02T00:00:00"/>
    <x v="113"/>
    <n v="200"/>
    <m/>
    <s v="EDUARDO SANCHEZ"/>
    <s v="ENTREGA EN HUEHUETOCA"/>
  </r>
  <r>
    <x v="3"/>
    <d v="2019-04-02T00:00:00"/>
    <x v="114"/>
    <n v="520"/>
    <m/>
    <s v="EDUARDO SANCHEZ"/>
    <m/>
  </r>
  <r>
    <x v="3"/>
    <d v="2019-04-02T00:00:00"/>
    <x v="1"/>
    <n v="740"/>
    <m/>
    <s v="MARTIN"/>
    <m/>
  </r>
  <r>
    <x v="3"/>
    <d v="2019-04-02T00:00:00"/>
    <x v="28"/>
    <n v="6930"/>
    <m/>
    <s v="EFREN"/>
    <m/>
  </r>
  <r>
    <x v="3"/>
    <d v="2019-04-03T00:00:00"/>
    <x v="56"/>
    <n v="280"/>
    <m/>
    <s v="EDUARDO SANCHEZ"/>
    <m/>
  </r>
  <r>
    <x v="3"/>
    <d v="2019-04-03T00:00:00"/>
    <x v="72"/>
    <n v="40"/>
    <m/>
    <s v="CESAR"/>
    <m/>
  </r>
  <r>
    <x v="3"/>
    <d v="2019-04-03T00:00:00"/>
    <x v="40"/>
    <n v="900"/>
    <m/>
    <s v="CESAR"/>
    <m/>
  </r>
  <r>
    <x v="3"/>
    <d v="2019-04-03T00:00:00"/>
    <x v="37"/>
    <n v="100"/>
    <m/>
    <s v="CESAR"/>
    <m/>
  </r>
  <r>
    <x v="3"/>
    <d v="2019-04-03T00:00:00"/>
    <x v="4"/>
    <n v="600"/>
    <m/>
    <s v="CESAR"/>
    <m/>
  </r>
  <r>
    <x v="3"/>
    <d v="2019-04-03T00:00:00"/>
    <x v="18"/>
    <n v="1000"/>
    <m/>
    <s v="CESAR"/>
    <m/>
  </r>
  <r>
    <x v="3"/>
    <d v="2019-04-03T00:00:00"/>
    <x v="115"/>
    <n v="6600"/>
    <m/>
    <s v="EFREN"/>
    <m/>
  </r>
  <r>
    <x v="3"/>
    <d v="2019-04-04T00:00:00"/>
    <x v="47"/>
    <n v="2200"/>
    <m/>
    <s v="EFREN"/>
    <m/>
  </r>
  <r>
    <x v="3"/>
    <d v="2019-04-04T00:00:00"/>
    <x v="76"/>
    <n v="180"/>
    <m/>
    <s v="EFREN"/>
    <m/>
  </r>
  <r>
    <x v="3"/>
    <d v="2019-04-05T00:00:00"/>
    <x v="0"/>
    <n v="2500"/>
    <m/>
    <s v="EFREN"/>
    <m/>
  </r>
  <r>
    <x v="3"/>
    <d v="2019-04-05T00:00:00"/>
    <x v="106"/>
    <n v="100"/>
    <m/>
    <s v="EFREN"/>
    <m/>
  </r>
  <r>
    <x v="3"/>
    <d v="2019-04-05T00:00:00"/>
    <x v="3"/>
    <n v="300"/>
    <m/>
    <s v="EFREN"/>
    <m/>
  </r>
  <r>
    <x v="3"/>
    <d v="2019-04-08T00:00:00"/>
    <x v="116"/>
    <n v="40"/>
    <m/>
    <s v="EFREN"/>
    <m/>
  </r>
  <r>
    <x v="3"/>
    <d v="2019-04-09T00:00:00"/>
    <x v="22"/>
    <n v="66"/>
    <m/>
    <s v="OMAR GARDUÑO"/>
    <s v="ENTREGA EN ATITALAQUIA HGO"/>
  </r>
  <r>
    <x v="3"/>
    <d v="2019-04-09T00:00:00"/>
    <x v="3"/>
    <n v="425"/>
    <m/>
    <s v="CESAR"/>
    <m/>
  </r>
  <r>
    <x v="3"/>
    <d v="2019-04-09T00:00:00"/>
    <x v="88"/>
    <n v="50"/>
    <m/>
    <s v="MARTIN"/>
    <s v="ENTREGA EN TOLUCA"/>
  </r>
  <r>
    <x v="3"/>
    <d v="2019-04-10T00:00:00"/>
    <x v="26"/>
    <n v="500"/>
    <m/>
    <s v="MARTIN"/>
    <m/>
  </r>
  <r>
    <x v="3"/>
    <d v="2019-04-10T00:00:00"/>
    <x v="85"/>
    <n v="150"/>
    <m/>
    <s v="EDGAR SEGURA"/>
    <m/>
  </r>
  <r>
    <x v="3"/>
    <d v="2019-04-10T00:00:00"/>
    <x v="117"/>
    <n v="1025"/>
    <m/>
    <s v="EFREN"/>
    <s v="ENTREGA EN ZAMORA MICH"/>
  </r>
  <r>
    <x v="3"/>
    <d v="2019-04-11T00:00:00"/>
    <x v="84"/>
    <n v="1800"/>
    <m/>
    <s v="MARTIN"/>
    <s v="ENTREGA EN TOLUCA"/>
  </r>
  <r>
    <x v="3"/>
    <d v="2019-04-11T00:00:00"/>
    <x v="118"/>
    <n v="21"/>
    <m/>
    <s v="MARTIN"/>
    <s v="ENTREGA EN TOLUCA-SE ENTREGA MUESTRA"/>
  </r>
  <r>
    <x v="3"/>
    <d v="2019-04-11T00:00:00"/>
    <x v="119"/>
    <n v="15"/>
    <m/>
    <s v="MARTIN"/>
    <s v="ENTREGA EN TOLUCA"/>
  </r>
  <r>
    <x v="3"/>
    <d v="2019-04-11T00:00:00"/>
    <x v="4"/>
    <n v="500"/>
    <m/>
    <s v="CESAR"/>
    <m/>
  </r>
  <r>
    <x v="3"/>
    <d v="2019-04-11T00:00:00"/>
    <x v="3"/>
    <n v="250"/>
    <m/>
    <s v="CESAR"/>
    <m/>
  </r>
  <r>
    <x v="3"/>
    <d v="2019-04-11T00:00:00"/>
    <x v="18"/>
    <n v="1000"/>
    <m/>
    <s v="CESAR"/>
    <m/>
  </r>
  <r>
    <x v="3"/>
    <d v="2019-04-11T00:00:00"/>
    <x v="120"/>
    <n v="351"/>
    <m/>
    <s v="EDGAR SEGURA"/>
    <s v="ENTREGA EN ZACUALTIPAN HGO SE ENTREGA MUESTRA"/>
  </r>
  <r>
    <x v="3"/>
    <d v="2019-04-11T00:00:00"/>
    <x v="15"/>
    <n v="1200"/>
    <m/>
    <s v="ALFREDO"/>
    <s v="ENTREGA EN HUEHUETOCA"/>
  </r>
  <r>
    <x v="3"/>
    <d v="2019-04-12T00:00:00"/>
    <x v="70"/>
    <n v="75"/>
    <m/>
    <s v="MARTIN"/>
    <m/>
  </r>
  <r>
    <x v="3"/>
    <d v="2019-04-12T00:00:00"/>
    <x v="11"/>
    <n v="50"/>
    <m/>
    <s v="MARTIN"/>
    <m/>
  </r>
  <r>
    <x v="3"/>
    <d v="2019-04-15T00:00:00"/>
    <x v="42"/>
    <n v="125"/>
    <m/>
    <s v="ALFREDO"/>
    <s v="ENTREGA EN TOLUCA EDO MEX"/>
  </r>
  <r>
    <x v="3"/>
    <d v="2019-04-15T00:00:00"/>
    <x v="10"/>
    <n v="2000"/>
    <m/>
    <s v="CESAR"/>
    <m/>
  </r>
  <r>
    <x v="3"/>
    <d v="2019-04-15T00:00:00"/>
    <x v="14"/>
    <n v="1500"/>
    <m/>
    <s v="CESAR"/>
    <m/>
  </r>
  <r>
    <x v="3"/>
    <d v="2019-04-15T00:00:00"/>
    <x v="4"/>
    <n v="600"/>
    <m/>
    <s v="CESAR"/>
    <m/>
  </r>
  <r>
    <x v="3"/>
    <d v="2019-04-16T00:00:00"/>
    <x v="121"/>
    <n v="20"/>
    <m/>
    <s v="EDUARDO SANCHEZ"/>
    <m/>
  </r>
  <r>
    <x v="3"/>
    <d v="2019-04-16T00:00:00"/>
    <x v="81"/>
    <n v="100"/>
    <m/>
    <s v="EDUARDO SANCHEZ"/>
    <m/>
  </r>
  <r>
    <x v="3"/>
    <d v="2019-04-16T00:00:00"/>
    <x v="90"/>
    <n v="760"/>
    <m/>
    <s v="EDUARDO SANCHEZ"/>
    <m/>
  </r>
  <r>
    <x v="3"/>
    <d v="2019-04-17T00:00:00"/>
    <x v="2"/>
    <n v="3020"/>
    <m/>
    <s v="CESAR"/>
    <m/>
  </r>
  <r>
    <x v="3"/>
    <d v="2019-04-17T00:00:00"/>
    <x v="45"/>
    <m/>
    <n v="400"/>
    <s v="No aplica"/>
    <s v="RECOLECTA WELLDEX"/>
  </r>
  <r>
    <x v="3"/>
    <d v="2019-04-17T00:00:00"/>
    <x v="54"/>
    <n v="25"/>
    <m/>
    <s v="ALFREDO"/>
    <m/>
  </r>
  <r>
    <x v="3"/>
    <d v="2019-04-17T00:00:00"/>
    <x v="23"/>
    <n v="100"/>
    <m/>
    <s v="CESAR"/>
    <m/>
  </r>
  <r>
    <x v="3"/>
    <d v="2019-04-17T00:00:00"/>
    <x v="75"/>
    <n v="11.5"/>
    <m/>
    <s v="CESAR"/>
    <m/>
  </r>
  <r>
    <x v="3"/>
    <d v="2019-04-22T00:00:00"/>
    <x v="58"/>
    <n v="2500"/>
    <m/>
    <s v="CESAR"/>
    <m/>
  </r>
  <r>
    <x v="3"/>
    <d v="2019-04-22T00:00:00"/>
    <x v="8"/>
    <n v="3000"/>
    <m/>
    <s v="CESAR"/>
    <m/>
  </r>
  <r>
    <x v="3"/>
    <d v="2019-04-23T00:00:00"/>
    <x v="6"/>
    <m/>
    <n v="20"/>
    <s v="No aplica"/>
    <s v="CLIENTE RECOLECTA"/>
  </r>
  <r>
    <x v="3"/>
    <d v="2019-04-23T00:00:00"/>
    <x v="92"/>
    <n v="200"/>
    <m/>
    <s v="EFREN"/>
    <m/>
  </r>
  <r>
    <x v="3"/>
    <d v="2019-04-23T00:00:00"/>
    <x v="47"/>
    <n v="2000"/>
    <m/>
    <s v="EFREN"/>
    <m/>
  </r>
  <r>
    <x v="3"/>
    <d v="2019-04-24T00:00:00"/>
    <x v="3"/>
    <n v="325"/>
    <m/>
    <s v="CESAR"/>
    <m/>
  </r>
  <r>
    <x v="3"/>
    <d v="2019-04-24T00:00:00"/>
    <x v="18"/>
    <n v="1000"/>
    <m/>
    <s v="CESAR"/>
    <m/>
  </r>
  <r>
    <x v="3"/>
    <d v="2019-04-24T00:00:00"/>
    <x v="98"/>
    <m/>
    <n v="500"/>
    <s v="No aplica"/>
    <s v="RECOLECTA ESTAFETA"/>
  </r>
  <r>
    <x v="3"/>
    <d v="2019-04-25T00:00:00"/>
    <x v="76"/>
    <n v="600"/>
    <m/>
    <s v="EFREN"/>
    <m/>
  </r>
  <r>
    <x v="3"/>
    <d v="2019-04-25T00:00:00"/>
    <x v="77"/>
    <n v="100"/>
    <m/>
    <s v="EDUARDO SANCHEZ"/>
    <s v="ENTREGA EN TOLUCA"/>
  </r>
  <r>
    <x v="3"/>
    <d v="2019-04-25T00:00:00"/>
    <x v="74"/>
    <n v="100"/>
    <m/>
    <s v="CESAR"/>
    <m/>
  </r>
  <r>
    <x v="3"/>
    <d v="2019-04-26T00:00:00"/>
    <x v="71"/>
    <n v="500"/>
    <m/>
    <s v="EFREN"/>
    <m/>
  </r>
  <r>
    <x v="3"/>
    <d v="2019-04-26T00:00:00"/>
    <x v="48"/>
    <n v="160"/>
    <m/>
    <s v="EDGAR SEGURA"/>
    <m/>
  </r>
  <r>
    <x v="3"/>
    <d v="2019-04-26T00:00:00"/>
    <x v="15"/>
    <n v="200"/>
    <m/>
    <s v="EDUARDO SANCHEZ"/>
    <s v="ENTREGA EN HUEHUETOCA"/>
  </r>
  <r>
    <x v="3"/>
    <d v="2019-04-26T00:00:00"/>
    <x v="122"/>
    <n v="8000"/>
    <m/>
    <s v="CESAR"/>
    <s v="ENTREGA EN SN JUAN DEL RIO QRO"/>
  </r>
  <r>
    <x v="3"/>
    <d v="2019-04-26T00:00:00"/>
    <x v="123"/>
    <n v="250"/>
    <m/>
    <s v="CESAR"/>
    <s v="ENTREGA EN SN JUAN DEL RIO QRO"/>
  </r>
  <r>
    <x v="3"/>
    <d v="2019-04-26T00:00:00"/>
    <x v="120"/>
    <n v="170"/>
    <m/>
    <s v="EDGAR MUÑOZ"/>
    <s v="ENTREGA EN ZACUALTIPAN HGO-RECOLECTO EDGAR MUÑOZ"/>
  </r>
  <r>
    <x v="3"/>
    <d v="2019-04-26T00:00:00"/>
    <x v="28"/>
    <n v="2000"/>
    <m/>
    <s v="EDUARDO SANCHEZ"/>
    <m/>
  </r>
  <r>
    <x v="3"/>
    <d v="2019-04-26T00:00:00"/>
    <x v="47"/>
    <n v="1000"/>
    <m/>
    <s v="EDUARDO SANCHEZ"/>
    <m/>
  </r>
  <r>
    <x v="3"/>
    <d v="2019-04-29T00:00:00"/>
    <x v="34"/>
    <n v="125"/>
    <m/>
    <s v="EDGAR SEGURA"/>
    <m/>
  </r>
  <r>
    <x v="3"/>
    <d v="2019-04-29T00:00:00"/>
    <x v="124"/>
    <n v="900"/>
    <m/>
    <s v="MARTIN"/>
    <m/>
  </r>
  <r>
    <x v="3"/>
    <d v="2019-04-29T00:00:00"/>
    <x v="31"/>
    <n v="2000"/>
    <m/>
    <s v="ALFREDO"/>
    <s v="ENTREGA EN TOLUCA"/>
  </r>
  <r>
    <x v="3"/>
    <d v="2019-04-30T00:00:00"/>
    <x v="54"/>
    <n v="175"/>
    <m/>
    <s v="EDUARDO SANCHEZ"/>
    <m/>
  </r>
  <r>
    <x v="4"/>
    <d v="2019-05-02T00:00:00"/>
    <x v="125"/>
    <n v="300"/>
    <m/>
    <s v="EDUARDO SANCHEZ"/>
    <m/>
  </r>
  <r>
    <x v="4"/>
    <d v="2019-05-02T00:00:00"/>
    <x v="62"/>
    <n v="25"/>
    <m/>
    <s v="EDGAR SEGURA"/>
    <m/>
  </r>
  <r>
    <x v="4"/>
    <d v="2019-05-02T00:00:00"/>
    <x v="103"/>
    <n v="25"/>
    <m/>
    <s v="EDGAR SEGURA"/>
    <m/>
  </r>
  <r>
    <x v="4"/>
    <d v="2019-05-02T00:00:00"/>
    <x v="65"/>
    <n v="1000"/>
    <m/>
    <s v="EDGAR SEGURA"/>
    <m/>
  </r>
  <r>
    <x v="4"/>
    <d v="2019-05-02T00:00:00"/>
    <x v="126"/>
    <n v="22.7"/>
    <m/>
    <s v="MARTIN MANJARREZ"/>
    <m/>
  </r>
  <r>
    <x v="4"/>
    <d v="2019-05-02T00:00:00"/>
    <x v="127"/>
    <n v="25"/>
    <m/>
    <s v="EFREN"/>
    <m/>
  </r>
  <r>
    <x v="4"/>
    <d v="2019-05-03T00:00:00"/>
    <x v="2"/>
    <n v="2000"/>
    <m/>
    <s v="CESAR"/>
    <m/>
  </r>
  <r>
    <x v="4"/>
    <d v="2019-05-03T00:00:00"/>
    <x v="6"/>
    <m/>
    <n v="40"/>
    <s v="No aplica"/>
    <s v="CLIENTE RECOLECTA"/>
  </r>
  <r>
    <x v="4"/>
    <d v="2019-05-03T00:00:00"/>
    <x v="3"/>
    <n v="200"/>
    <m/>
    <s v="CESAR"/>
    <m/>
  </r>
  <r>
    <x v="4"/>
    <d v="2019-05-03T00:00:00"/>
    <x v="9"/>
    <n v="50"/>
    <m/>
    <s v="CESAR"/>
    <m/>
  </r>
  <r>
    <x v="4"/>
    <d v="2019-05-03T00:00:00"/>
    <x v="14"/>
    <n v="1500"/>
    <m/>
    <s v="CESAR"/>
    <m/>
  </r>
  <r>
    <x v="4"/>
    <d v="2019-05-03T00:00:00"/>
    <x v="18"/>
    <n v="500"/>
    <m/>
    <s v="CESAR"/>
    <m/>
  </r>
  <r>
    <x v="4"/>
    <d v="2019-05-03T00:00:00"/>
    <x v="88"/>
    <n v="170.25"/>
    <m/>
    <s v="EDUARDO SANCHEZ"/>
    <s v="ENTREGA EN TOLUCA"/>
  </r>
  <r>
    <x v="4"/>
    <d v="2019-05-03T00:00:00"/>
    <x v="31"/>
    <n v="34.049999999999997"/>
    <m/>
    <s v="EDUARDO SANCHEZ"/>
    <s v="ENTREGA EN TOLUCA"/>
  </r>
  <r>
    <x v="4"/>
    <d v="2019-05-06T00:00:00"/>
    <x v="26"/>
    <n v="500"/>
    <m/>
    <s v="EFREN"/>
    <m/>
  </r>
  <r>
    <x v="4"/>
    <d v="2019-05-06T00:00:00"/>
    <x v="4"/>
    <n v="800"/>
    <m/>
    <s v="EFREN"/>
    <m/>
  </r>
  <r>
    <x v="4"/>
    <d v="2019-05-06T00:00:00"/>
    <x v="21"/>
    <n v="450"/>
    <m/>
    <s v="EDUARDO SANCHEZ"/>
    <m/>
  </r>
  <r>
    <x v="4"/>
    <d v="2019-05-06T00:00:00"/>
    <x v="27"/>
    <n v="1000"/>
    <m/>
    <s v="CESAR"/>
    <m/>
  </r>
  <r>
    <x v="4"/>
    <d v="2019-05-07T00:00:00"/>
    <x v="10"/>
    <n v="2020"/>
    <m/>
    <s v="CESAR"/>
    <m/>
  </r>
  <r>
    <x v="4"/>
    <d v="2019-05-07T00:00:00"/>
    <x v="9"/>
    <n v="200"/>
    <m/>
    <s v="CESAR"/>
    <m/>
  </r>
  <r>
    <x v="4"/>
    <d v="2019-05-07T00:00:00"/>
    <x v="28"/>
    <n v="2000"/>
    <m/>
    <s v="CESAR"/>
    <m/>
  </r>
  <r>
    <x v="4"/>
    <d v="2019-05-07T00:00:00"/>
    <x v="128"/>
    <n v="100"/>
    <m/>
    <s v="EDGAR SEGURA"/>
    <m/>
  </r>
  <r>
    <x v="4"/>
    <d v="2019-05-08T00:00:00"/>
    <x v="129"/>
    <n v="25"/>
    <m/>
    <s v="MARTIN"/>
    <s v="ENTREGA EN TOLUCA"/>
  </r>
  <r>
    <x v="4"/>
    <d v="2019-05-08T00:00:00"/>
    <x v="106"/>
    <n v="300"/>
    <m/>
    <s v="CESAR"/>
    <m/>
  </r>
  <r>
    <x v="4"/>
    <d v="2019-05-08T00:00:00"/>
    <x v="19"/>
    <n v="225"/>
    <m/>
    <s v="EFREN"/>
    <m/>
  </r>
  <r>
    <x v="4"/>
    <d v="2019-05-08T00:00:00"/>
    <x v="85"/>
    <n v="150"/>
    <m/>
    <s v="EFREN"/>
    <m/>
  </r>
  <r>
    <x v="4"/>
    <d v="2019-05-08T00:00:00"/>
    <x v="18"/>
    <n v="550"/>
    <m/>
    <s v="CESAR"/>
    <m/>
  </r>
  <r>
    <x v="4"/>
    <d v="2019-05-08T00:00:00"/>
    <x v="3"/>
    <n v="250"/>
    <m/>
    <s v="CESAR"/>
    <m/>
  </r>
  <r>
    <x v="4"/>
    <d v="2019-05-08T00:00:00"/>
    <x v="13"/>
    <n v="38"/>
    <m/>
    <s v="CESAR"/>
    <m/>
  </r>
  <r>
    <x v="4"/>
    <d v="2019-05-08T00:00:00"/>
    <x v="84"/>
    <n v="2740"/>
    <m/>
    <s v="MARTIN"/>
    <s v="ENTREGA EN TOLUCA"/>
  </r>
  <r>
    <x v="4"/>
    <d v="2019-05-09T00:00:00"/>
    <x v="6"/>
    <m/>
    <n v="25"/>
    <s v="No aplica"/>
    <s v="CLIENTE RECOLECTA"/>
  </r>
  <r>
    <x v="4"/>
    <d v="2019-05-09T00:00:00"/>
    <x v="39"/>
    <n v="40"/>
    <m/>
    <s v="EDUARDO SANCHEZ"/>
    <m/>
  </r>
  <r>
    <x v="4"/>
    <d v="2019-05-09T00:00:00"/>
    <x v="130"/>
    <n v="100"/>
    <m/>
    <s v="MARTIN"/>
    <m/>
  </r>
  <r>
    <x v="4"/>
    <d v="2019-05-10T00:00:00"/>
    <x v="58"/>
    <m/>
    <n v="20"/>
    <s v="No aplica"/>
    <s v="CLIENTE RECOLECTA"/>
  </r>
  <r>
    <x v="4"/>
    <d v="2019-05-13T00:00:00"/>
    <x v="42"/>
    <n v="125"/>
    <m/>
    <s v="EDUARDO SANCHEZ"/>
    <s v="ENTREGA EN TOLUCA"/>
  </r>
  <r>
    <x v="4"/>
    <d v="2019-05-13T00:00:00"/>
    <x v="88"/>
    <n v="50"/>
    <m/>
    <s v="EDUARDO SANCHEZ"/>
    <s v="ENTREGA EN TOLUCA"/>
  </r>
  <r>
    <x v="4"/>
    <d v="2019-05-13T00:00:00"/>
    <x v="8"/>
    <n v="2540"/>
    <m/>
    <s v="CESAR"/>
    <m/>
  </r>
  <r>
    <x v="4"/>
    <d v="2019-05-13T00:00:00"/>
    <x v="3"/>
    <n v="500"/>
    <m/>
    <s v="CESAR"/>
    <m/>
  </r>
  <r>
    <x v="4"/>
    <d v="2019-05-13T00:00:00"/>
    <x v="24"/>
    <n v="80"/>
    <m/>
    <s v="CESAR"/>
    <m/>
  </r>
  <r>
    <x v="4"/>
    <d v="2019-05-14T00:00:00"/>
    <x v="108"/>
    <n v="25"/>
    <m/>
    <s v="EDUARDO SANCHEZ"/>
    <m/>
  </r>
  <r>
    <x v="4"/>
    <d v="2019-05-15T00:00:00"/>
    <x v="87"/>
    <n v="240"/>
    <m/>
    <s v="EFREN"/>
    <m/>
  </r>
  <r>
    <x v="4"/>
    <d v="2019-05-15T00:00:00"/>
    <x v="47"/>
    <n v="2000"/>
    <m/>
    <s v="MARTIN"/>
    <m/>
  </r>
  <r>
    <x v="4"/>
    <d v="2019-05-16T00:00:00"/>
    <x v="129"/>
    <n v="100"/>
    <m/>
    <s v="ALFREDO"/>
    <s v="ENTREGA EN TOLUCA"/>
  </r>
  <r>
    <x v="4"/>
    <d v="2019-05-16T00:00:00"/>
    <x v="3"/>
    <n v="250"/>
    <m/>
    <s v="CESAR"/>
    <m/>
  </r>
  <r>
    <x v="4"/>
    <d v="2019-05-17T00:00:00"/>
    <x v="59"/>
    <n v="150"/>
    <m/>
    <s v="ALFREDO"/>
    <m/>
  </r>
  <r>
    <x v="4"/>
    <d v="2019-05-17T00:00:00"/>
    <x v="50"/>
    <n v="200"/>
    <m/>
    <s v="EFREN"/>
    <m/>
  </r>
  <r>
    <x v="4"/>
    <d v="2019-05-17T00:00:00"/>
    <x v="51"/>
    <n v="75"/>
    <m/>
    <s v="EFREN"/>
    <m/>
  </r>
  <r>
    <x v="4"/>
    <d v="2019-05-17T00:00:00"/>
    <x v="11"/>
    <n v="125"/>
    <m/>
    <s v="EFREN"/>
    <m/>
  </r>
  <r>
    <x v="4"/>
    <d v="2019-05-17T00:00:00"/>
    <x v="45"/>
    <m/>
    <n v="400"/>
    <s v="No aplica"/>
    <s v="RECOLECTA WELLDEX"/>
  </r>
  <r>
    <x v="4"/>
    <d v="2019-05-17T00:00:00"/>
    <x v="131"/>
    <n v="50"/>
    <m/>
    <s v="MARTIN"/>
    <s v="ENTREGA EN GUADALAJARA"/>
  </r>
  <r>
    <x v="4"/>
    <d v="2019-05-17T00:00:00"/>
    <x v="132"/>
    <n v="110"/>
    <m/>
    <s v="ALFREDO"/>
    <s v="DEVOLUCION DEL CLIENTE QUIMITEXSA"/>
  </r>
  <r>
    <x v="4"/>
    <d v="2019-05-17T00:00:00"/>
    <x v="27"/>
    <n v="4000"/>
    <m/>
    <s v="EFREN"/>
    <m/>
  </r>
  <r>
    <x v="4"/>
    <d v="2019-05-17T00:00:00"/>
    <x v="28"/>
    <n v="3000"/>
    <m/>
    <s v="ALFREDO"/>
    <m/>
  </r>
  <r>
    <x v="4"/>
    <d v="2019-05-20T00:00:00"/>
    <x v="58"/>
    <n v="2020"/>
    <m/>
    <s v="EFREN"/>
    <m/>
  </r>
  <r>
    <x v="4"/>
    <d v="2019-05-20T00:00:00"/>
    <x v="133"/>
    <n v="25"/>
    <m/>
    <s v="EFREN"/>
    <m/>
  </r>
  <r>
    <x v="4"/>
    <d v="2019-05-20T00:00:00"/>
    <x v="9"/>
    <n v="125"/>
    <m/>
    <s v="EFREN"/>
    <m/>
  </r>
  <r>
    <x v="4"/>
    <d v="2019-05-20T00:00:00"/>
    <x v="33"/>
    <n v="60"/>
    <m/>
    <s v="EDGAR SEGURA"/>
    <m/>
  </r>
  <r>
    <x v="4"/>
    <d v="2019-05-21T00:00:00"/>
    <x v="80"/>
    <n v="160"/>
    <m/>
    <s v="ALFREDO"/>
    <m/>
  </r>
  <r>
    <x v="4"/>
    <d v="2019-05-21T00:00:00"/>
    <x v="134"/>
    <n v="200"/>
    <m/>
    <s v="ALFREDO"/>
    <m/>
  </r>
  <r>
    <x v="4"/>
    <d v="2019-05-21T00:00:00"/>
    <x v="113"/>
    <n v="1000"/>
    <m/>
    <s v="CESAR"/>
    <s v="ENTREGA EN HUEHUETOCA"/>
  </r>
  <r>
    <x v="4"/>
    <d v="2019-05-21T00:00:00"/>
    <x v="18"/>
    <n v="1100"/>
    <m/>
    <s v="CESAR"/>
    <m/>
  </r>
  <r>
    <x v="4"/>
    <d v="2019-05-22T00:00:00"/>
    <x v="4"/>
    <n v="500"/>
    <m/>
    <s v="CESAR"/>
    <m/>
  </r>
  <r>
    <x v="4"/>
    <d v="2019-05-22T00:00:00"/>
    <x v="3"/>
    <n v="400"/>
    <m/>
    <s v="CESAR"/>
    <m/>
  </r>
  <r>
    <x v="4"/>
    <d v="2019-05-22T00:00:00"/>
    <x v="28"/>
    <n v="340"/>
    <m/>
    <s v="MARTIN"/>
    <m/>
  </r>
  <r>
    <x v="4"/>
    <d v="2019-05-23T00:00:00"/>
    <x v="76"/>
    <n v="2940"/>
    <m/>
    <s v="MARTIN"/>
    <m/>
  </r>
  <r>
    <x v="4"/>
    <d v="2019-05-23T00:00:00"/>
    <x v="84"/>
    <n v="35"/>
    <m/>
    <s v="CESAR"/>
    <s v="ENTREGA EN TOLUCA"/>
  </r>
  <r>
    <x v="4"/>
    <d v="2019-05-23T00:00:00"/>
    <x v="22"/>
    <n v="90"/>
    <m/>
    <s v="OMAR GARDUÑO"/>
    <s v="ENTREGA EN ATITALAQUIA HGO"/>
  </r>
  <r>
    <x v="4"/>
    <d v="2019-05-23T00:00:00"/>
    <x v="4"/>
    <n v="400"/>
    <m/>
    <s v="MARTIN"/>
    <m/>
  </r>
  <r>
    <x v="4"/>
    <d v="2019-05-23T00:00:00"/>
    <x v="30"/>
    <n v="1200"/>
    <m/>
    <s v="MARTIN"/>
    <m/>
  </r>
  <r>
    <x v="4"/>
    <d v="2019-05-24T00:00:00"/>
    <x v="0"/>
    <n v="3000"/>
    <m/>
    <s v="MARTIN"/>
    <m/>
  </r>
  <r>
    <x v="4"/>
    <d v="2019-05-24T00:00:00"/>
    <x v="9"/>
    <n v="50"/>
    <m/>
    <s v="MARTIN"/>
    <m/>
  </r>
  <r>
    <x v="4"/>
    <d v="2019-05-27T00:00:00"/>
    <x v="14"/>
    <n v="1500"/>
    <m/>
    <s v="CESAR"/>
    <m/>
  </r>
  <r>
    <x v="4"/>
    <d v="2019-05-27T00:00:00"/>
    <x v="3"/>
    <n v="200"/>
    <m/>
    <s v="CESAR"/>
    <m/>
  </r>
  <r>
    <x v="4"/>
    <d v="2019-05-27T00:00:00"/>
    <x v="75"/>
    <n v="11.35"/>
    <m/>
    <s v="CESAR"/>
    <m/>
  </r>
  <r>
    <x v="4"/>
    <d v="2019-05-27T00:00:00"/>
    <x v="81"/>
    <n v="200"/>
    <m/>
    <s v="MARTIN"/>
    <m/>
  </r>
  <r>
    <x v="4"/>
    <d v="2019-05-27T00:00:00"/>
    <x v="2"/>
    <n v="20"/>
    <m/>
    <s v="CESAR"/>
    <m/>
  </r>
  <r>
    <x v="4"/>
    <d v="2019-05-28T00:00:00"/>
    <x v="106"/>
    <n v="90"/>
    <m/>
    <s v="MARTIN"/>
    <m/>
  </r>
  <r>
    <x v="4"/>
    <d v="2019-05-29T00:00:00"/>
    <x v="26"/>
    <n v="500"/>
    <m/>
    <s v="EDGAR SEGURA"/>
    <m/>
  </r>
  <r>
    <x v="4"/>
    <d v="2019-05-30T00:00:00"/>
    <x v="54"/>
    <n v="100"/>
    <m/>
    <s v="EDUARDO SANCHEZ"/>
    <m/>
  </r>
  <r>
    <x v="4"/>
    <d v="2019-05-30T00:00:00"/>
    <x v="135"/>
    <n v="1000"/>
    <m/>
    <s v="MARTIN"/>
    <s v="ENTREGA EN SANTIAGO TIANGUISTENGO"/>
  </r>
  <r>
    <x v="4"/>
    <d v="2019-05-31T00:00:00"/>
    <x v="20"/>
    <n v="300"/>
    <m/>
    <s v="EDUARDO SANCHEZ"/>
    <m/>
  </r>
  <r>
    <x v="4"/>
    <d v="2019-05-31T00:00:00"/>
    <x v="8"/>
    <n v="4560"/>
    <m/>
    <s v="EFREN"/>
    <m/>
  </r>
  <r>
    <x v="4"/>
    <d v="2019-05-31T00:00:00"/>
    <x v="1"/>
    <n v="900"/>
    <m/>
    <s v="EFREN"/>
    <m/>
  </r>
  <r>
    <x v="4"/>
    <d v="2019-05-31T00:00:00"/>
    <x v="31"/>
    <n v="2011.35"/>
    <m/>
    <s v="EDGAR SEGURA"/>
    <s v="ENTREGA EN TOLUCA EDO MEX"/>
  </r>
  <r>
    <x v="4"/>
    <d v="2019-05-31T00:00:00"/>
    <x v="92"/>
    <n v="125"/>
    <m/>
    <s v="EFREN"/>
    <m/>
  </r>
  <r>
    <x v="5"/>
    <d v="2019-06-03T00:00:00"/>
    <x v="34"/>
    <n v="75"/>
    <m/>
    <s v="EDUARDO SANCHEZ"/>
    <m/>
  </r>
  <r>
    <x v="5"/>
    <d v="2019-06-03T00:00:00"/>
    <x v="59"/>
    <n v="150"/>
    <m/>
    <s v="EDUARDO SANCHEZ"/>
    <m/>
  </r>
  <r>
    <x v="5"/>
    <d v="2019-06-03T00:00:00"/>
    <x v="35"/>
    <n v="2000"/>
    <m/>
    <s v="MARTIN"/>
    <m/>
  </r>
  <r>
    <x v="5"/>
    <d v="2019-06-03T00:00:00"/>
    <x v="10"/>
    <n v="2020"/>
    <m/>
    <s v="CESAR"/>
    <m/>
  </r>
  <r>
    <x v="5"/>
    <d v="2019-06-03T00:00:00"/>
    <x v="56"/>
    <n v="200"/>
    <m/>
    <s v="EFREN"/>
    <m/>
  </r>
  <r>
    <x v="5"/>
    <d v="2019-06-04T00:00:00"/>
    <x v="60"/>
    <n v="250"/>
    <m/>
    <s v="EDGAR SEGURA"/>
    <s v="ENTREGA EN GUADALAJARA"/>
  </r>
  <r>
    <x v="5"/>
    <d v="2019-06-04T00:00:00"/>
    <x v="3"/>
    <n v="250"/>
    <m/>
    <s v="EFREN"/>
    <m/>
  </r>
  <r>
    <x v="5"/>
    <d v="2019-06-04T00:00:00"/>
    <x v="81"/>
    <n v="200"/>
    <m/>
    <s v="ALFREDO"/>
    <m/>
  </r>
  <r>
    <x v="5"/>
    <d v="2019-06-04T00:00:00"/>
    <x v="6"/>
    <m/>
    <n v="5"/>
    <s v="No aplica"/>
    <s v="CLIENTE RECOLECTA"/>
  </r>
  <r>
    <x v="5"/>
    <d v="2019-06-04T00:00:00"/>
    <x v="115"/>
    <n v="9610"/>
    <m/>
    <s v="EFREN"/>
    <m/>
  </r>
  <r>
    <x v="5"/>
    <d v="2019-06-05T00:00:00"/>
    <x v="18"/>
    <n v="500"/>
    <m/>
    <s v="MARTIN"/>
    <m/>
  </r>
  <r>
    <x v="5"/>
    <d v="2019-06-05T00:00:00"/>
    <x v="15"/>
    <n v="1400"/>
    <m/>
    <s v="EDUARDO SANCHEZ"/>
    <m/>
  </r>
  <r>
    <x v="5"/>
    <d v="2019-06-06T00:00:00"/>
    <x v="71"/>
    <n v="20"/>
    <m/>
    <s v="EFREN"/>
    <m/>
  </r>
  <r>
    <x v="5"/>
    <d v="2019-06-06T00:00:00"/>
    <x v="30"/>
    <n v="750"/>
    <m/>
    <s v="EFREN"/>
    <m/>
  </r>
  <r>
    <x v="5"/>
    <d v="2019-06-06T00:00:00"/>
    <x v="40"/>
    <n v="650"/>
    <m/>
    <s v="EFREN"/>
    <s v="1 MUESTRA"/>
  </r>
  <r>
    <x v="5"/>
    <d v="2019-06-06T00:00:00"/>
    <x v="3"/>
    <n v="400"/>
    <m/>
    <s v="EDUARDO SANCHEZ"/>
    <m/>
  </r>
  <r>
    <x v="5"/>
    <d v="2019-06-06T00:00:00"/>
    <x v="4"/>
    <n v="500"/>
    <m/>
    <s v="EDUARDO SANCHEZ"/>
    <m/>
  </r>
  <r>
    <x v="5"/>
    <d v="2019-06-07T00:00:00"/>
    <x v="47"/>
    <n v="5200"/>
    <m/>
    <s v="EFREN"/>
    <m/>
  </r>
  <r>
    <x v="5"/>
    <d v="2019-06-07T00:00:00"/>
    <x v="106"/>
    <n v="250"/>
    <m/>
    <s v="EFREN"/>
    <m/>
  </r>
  <r>
    <x v="5"/>
    <d v="2019-06-07T00:00:00"/>
    <x v="14"/>
    <n v="1500"/>
    <m/>
    <s v="EFREN"/>
    <m/>
  </r>
  <r>
    <x v="5"/>
    <d v="2019-06-07T00:00:00"/>
    <x v="136"/>
    <n v="500"/>
    <m/>
    <s v="MARTIN"/>
    <s v="ENTREGA EN TLAXCALA"/>
  </r>
  <r>
    <x v="5"/>
    <d v="2019-06-10T00:00:00"/>
    <x v="42"/>
    <n v="125"/>
    <m/>
    <s v="EDUARDO SANCHEZ"/>
    <s v="ENTREGA EN TOLUCA"/>
  </r>
  <r>
    <x v="5"/>
    <d v="2019-06-10T00:00:00"/>
    <x v="88"/>
    <n v="50"/>
    <m/>
    <s v="EDUARDO SANCHEZ"/>
    <s v="ENTREGA EN TOLUCA"/>
  </r>
  <r>
    <x v="5"/>
    <d v="2019-06-10T00:00:00"/>
    <x v="134"/>
    <n v="200"/>
    <m/>
    <s v="EDUARDO SANCHEZ"/>
    <m/>
  </r>
  <r>
    <x v="5"/>
    <d v="2019-06-10T00:00:00"/>
    <x v="3"/>
    <n v="300"/>
    <m/>
    <s v="ALFREDO"/>
    <m/>
  </r>
  <r>
    <x v="5"/>
    <d v="2019-06-10T00:00:00"/>
    <x v="137"/>
    <n v="15"/>
    <m/>
    <s v="ALFREDO"/>
    <m/>
  </r>
  <r>
    <x v="5"/>
    <d v="2019-06-10T00:00:00"/>
    <x v="28"/>
    <n v="420"/>
    <m/>
    <s v="ANTONIO VALTIERRA"/>
    <m/>
  </r>
  <r>
    <x v="5"/>
    <d v="2019-06-11T00:00:00"/>
    <x v="138"/>
    <n v="140"/>
    <m/>
    <s v="EFREN"/>
    <m/>
  </r>
  <r>
    <x v="5"/>
    <d v="2019-06-11T00:00:00"/>
    <x v="43"/>
    <n v="2000"/>
    <m/>
    <s v="MARTIN"/>
    <s v="ENTREGA EN SN JUAN DEL RIO QRO"/>
  </r>
  <r>
    <x v="5"/>
    <d v="2019-06-12T00:00:00"/>
    <x v="58"/>
    <n v="2020"/>
    <m/>
    <s v="EFREN"/>
    <m/>
  </r>
  <r>
    <x v="5"/>
    <d v="2019-06-12T00:00:00"/>
    <x v="18"/>
    <n v="25"/>
    <m/>
    <s v="MARTIN"/>
    <m/>
  </r>
  <r>
    <x v="5"/>
    <d v="2019-06-12T00:00:00"/>
    <x v="61"/>
    <n v="20"/>
    <m/>
    <s v="MARTIN"/>
    <m/>
  </r>
  <r>
    <x v="5"/>
    <d v="2019-06-12T00:00:00"/>
    <x v="139"/>
    <n v="20"/>
    <m/>
    <s v="CESAR"/>
    <m/>
  </r>
  <r>
    <x v="5"/>
    <d v="2019-06-12T00:00:00"/>
    <x v="114"/>
    <n v="520"/>
    <m/>
    <s v="CESAR"/>
    <m/>
  </r>
  <r>
    <x v="5"/>
    <d v="2019-06-13T00:00:00"/>
    <x v="2"/>
    <n v="2020"/>
    <m/>
    <s v="EFREN"/>
    <m/>
  </r>
  <r>
    <x v="5"/>
    <d v="2019-06-13T00:00:00"/>
    <x v="140"/>
    <n v="25"/>
    <m/>
    <s v="EFREN"/>
    <m/>
  </r>
  <r>
    <x v="5"/>
    <d v="2019-06-13T00:00:00"/>
    <x v="101"/>
    <n v="1000"/>
    <m/>
    <s v="MARTIN"/>
    <m/>
  </r>
  <r>
    <x v="5"/>
    <d v="2019-06-13T00:00:00"/>
    <x v="70"/>
    <n v="75"/>
    <m/>
    <s v="EFREN"/>
    <m/>
  </r>
  <r>
    <x v="5"/>
    <d v="2019-06-13T00:00:00"/>
    <x v="3"/>
    <n v="300"/>
    <m/>
    <s v="EFREN"/>
    <m/>
  </r>
  <r>
    <x v="5"/>
    <d v="2019-06-13T00:00:00"/>
    <x v="141"/>
    <n v="11.35"/>
    <m/>
    <s v="CESAR"/>
    <s v="ENTREGA EN TOLUCA"/>
  </r>
  <r>
    <x v="5"/>
    <d v="2019-06-13T00:00:00"/>
    <x v="142"/>
    <n v="3000"/>
    <m/>
    <s v="MARTIN"/>
    <m/>
  </r>
  <r>
    <x v="5"/>
    <d v="2019-06-14T00:00:00"/>
    <x v="30"/>
    <n v="2390"/>
    <m/>
    <s v="CESAR"/>
    <m/>
  </r>
  <r>
    <x v="5"/>
    <d v="2019-06-14T00:00:00"/>
    <x v="27"/>
    <n v="6950"/>
    <m/>
    <s v="CESAR"/>
    <m/>
  </r>
  <r>
    <x v="5"/>
    <d v="2019-06-17T00:00:00"/>
    <x v="143"/>
    <n v="100"/>
    <m/>
    <s v="EDUARDO SANCHEZ"/>
    <m/>
  </r>
  <r>
    <x v="5"/>
    <d v="2019-06-17T00:00:00"/>
    <x v="19"/>
    <n v="200"/>
    <m/>
    <s v="EDUARDO SANCHEZ"/>
    <m/>
  </r>
  <r>
    <x v="5"/>
    <d v="2019-06-17T00:00:00"/>
    <x v="85"/>
    <n v="150"/>
    <m/>
    <s v="EDUARDO SANCHEZ"/>
    <m/>
  </r>
  <r>
    <x v="5"/>
    <d v="2019-06-17T00:00:00"/>
    <x v="45"/>
    <m/>
    <n v="400"/>
    <s v="No aplica"/>
    <s v="RECOLECTA WELLDEX"/>
  </r>
  <r>
    <x v="5"/>
    <d v="2019-06-18T00:00:00"/>
    <x v="0"/>
    <n v="2500"/>
    <m/>
    <s v="CESAR"/>
    <m/>
  </r>
  <r>
    <x v="5"/>
    <d v="2019-06-18T00:00:00"/>
    <x v="3"/>
    <n v="200"/>
    <m/>
    <s v="CESAR"/>
    <m/>
  </r>
  <r>
    <x v="5"/>
    <d v="2019-06-18T00:00:00"/>
    <x v="144"/>
    <n v="120"/>
    <m/>
    <s v="MARTIN"/>
    <m/>
  </r>
  <r>
    <x v="5"/>
    <d v="2019-06-18T00:00:00"/>
    <x v="15"/>
    <n v="1000"/>
    <m/>
    <s v="EFREN"/>
    <m/>
  </r>
  <r>
    <x v="5"/>
    <d v="2019-06-19T00:00:00"/>
    <x v="18"/>
    <n v="550"/>
    <m/>
    <s v="CESAR"/>
    <m/>
  </r>
  <r>
    <x v="5"/>
    <d v="2019-06-19T00:00:00"/>
    <x v="106"/>
    <n v="50"/>
    <m/>
    <s v="CESAR"/>
    <m/>
  </r>
  <r>
    <x v="5"/>
    <d v="2019-06-19T00:00:00"/>
    <x v="6"/>
    <m/>
    <n v="40"/>
    <s v="No aplica"/>
    <s v="CLIENTE RECOLECTA"/>
  </r>
  <r>
    <x v="5"/>
    <d v="2019-06-20T00:00:00"/>
    <x v="77"/>
    <n v="100"/>
    <m/>
    <s v="EFREN"/>
    <s v="ENTREGA EN TOLUCA"/>
  </r>
  <r>
    <x v="5"/>
    <d v="2019-06-20T00:00:00"/>
    <x v="145"/>
    <n v="1000"/>
    <m/>
    <s v="EFREN"/>
    <s v="ENTREGA EN SANTIAGO TIANGUISTENGO"/>
  </r>
  <r>
    <x v="5"/>
    <d v="2019-06-20T00:00:00"/>
    <x v="146"/>
    <n v="30"/>
    <m/>
    <s v="EFREN"/>
    <s v="ENTREGA EN TOLUCA"/>
  </r>
  <r>
    <x v="5"/>
    <d v="2019-06-20T00:00:00"/>
    <x v="22"/>
    <n v="40"/>
    <m/>
    <s v="ALFREDO"/>
    <s v="ENTREGA EN ATITALAQUIA HGO"/>
  </r>
  <r>
    <x v="5"/>
    <d v="2019-06-20T00:00:00"/>
    <x v="24"/>
    <n v="80"/>
    <m/>
    <s v="CESAR"/>
    <m/>
  </r>
  <r>
    <x v="5"/>
    <d v="2019-06-20T00:00:00"/>
    <x v="72"/>
    <n v="40"/>
    <m/>
    <s v="CESAR"/>
    <m/>
  </r>
  <r>
    <x v="5"/>
    <d v="2019-06-20T00:00:00"/>
    <x v="4"/>
    <n v="500"/>
    <m/>
    <s v="CESAR"/>
    <m/>
  </r>
  <r>
    <x v="5"/>
    <d v="2019-06-21T00:00:00"/>
    <x v="108"/>
    <n v="25"/>
    <m/>
    <s v="EFREN"/>
    <m/>
  </r>
  <r>
    <x v="5"/>
    <d v="2019-06-21T00:00:00"/>
    <x v="133"/>
    <n v="25"/>
    <m/>
    <s v="EFREN"/>
    <m/>
  </r>
  <r>
    <x v="5"/>
    <d v="2019-06-21T00:00:00"/>
    <x v="90"/>
    <n v="3225"/>
    <m/>
    <s v="MARTIN"/>
    <m/>
  </r>
  <r>
    <x v="5"/>
    <d v="2019-06-24T00:00:00"/>
    <x v="147"/>
    <n v="20"/>
    <m/>
    <s v="EDUARDO SANCHEZ"/>
    <m/>
  </r>
  <r>
    <x v="5"/>
    <d v="2019-06-24T00:00:00"/>
    <x v="3"/>
    <n v="225"/>
    <m/>
    <s v="EFREN"/>
    <m/>
  </r>
  <r>
    <x v="5"/>
    <d v="2019-06-25T00:00:00"/>
    <x v="33"/>
    <n v="60"/>
    <m/>
    <s v="EFREN"/>
    <m/>
  </r>
  <r>
    <x v="5"/>
    <d v="2019-06-25T00:00:00"/>
    <x v="25"/>
    <n v="600"/>
    <m/>
    <s v="CESAR"/>
    <m/>
  </r>
  <r>
    <x v="5"/>
    <d v="2019-06-25T00:00:00"/>
    <x v="49"/>
    <n v="200"/>
    <m/>
    <s v="ALFREDO"/>
    <m/>
  </r>
  <r>
    <x v="5"/>
    <d v="2019-06-25T00:00:00"/>
    <x v="148"/>
    <n v="50"/>
    <m/>
    <s v="CARLOS RAMOS"/>
    <s v="SE LLEVA PRODUCTO A OFICINAS DORADO"/>
  </r>
  <r>
    <x v="5"/>
    <d v="2019-06-25T00:00:00"/>
    <x v="10"/>
    <n v="2020"/>
    <m/>
    <s v="CESAR"/>
    <m/>
  </r>
  <r>
    <x v="5"/>
    <d v="2019-06-25T00:00:00"/>
    <x v="75"/>
    <n v="11.35"/>
    <m/>
    <s v="CESAR"/>
    <m/>
  </r>
  <r>
    <x v="5"/>
    <d v="2019-06-25T00:00:00"/>
    <x v="48"/>
    <n v="80"/>
    <m/>
    <s v="RUFINO"/>
    <s v="SE LLEVA PRODUCTO A OFICINAS DORADO 24-06-2019"/>
  </r>
  <r>
    <x v="5"/>
    <d v="2019-06-26T00:00:00"/>
    <x v="34"/>
    <n v="150"/>
    <m/>
    <s v="EDUARDO SANCHEZ"/>
    <m/>
  </r>
  <r>
    <x v="5"/>
    <d v="2019-06-26T00:00:00"/>
    <x v="62"/>
    <n v="25"/>
    <m/>
    <s v="EDUARDO SANCHEZ"/>
    <m/>
  </r>
  <r>
    <x v="5"/>
    <d v="2019-06-26T00:00:00"/>
    <x v="54"/>
    <n v="150"/>
    <m/>
    <s v="EDUARDO SANCHEZ"/>
    <m/>
  </r>
  <r>
    <x v="5"/>
    <d v="2019-06-26T00:00:00"/>
    <x v="48"/>
    <n v="120"/>
    <m/>
    <s v="ANTONIO VALTIERRA"/>
    <m/>
  </r>
  <r>
    <x v="5"/>
    <d v="2019-06-26T00:00:00"/>
    <x v="18"/>
    <n v="550"/>
    <m/>
    <s v="MARTIN"/>
    <m/>
  </r>
  <r>
    <x v="5"/>
    <d v="2019-06-26T00:00:00"/>
    <x v="38"/>
    <n v="250"/>
    <m/>
    <s v="EDUARDO SANCHEZ"/>
    <m/>
  </r>
  <r>
    <x v="5"/>
    <d v="2019-06-26T00:00:00"/>
    <x v="69"/>
    <n v="4000"/>
    <m/>
    <s v="EFREN"/>
    <s v="ENTREGA EN SN JUAN DEL RIO "/>
  </r>
  <r>
    <x v="5"/>
    <d v="2019-06-26T00:00:00"/>
    <x v="3"/>
    <n v="200"/>
    <m/>
    <s v="MARTIN"/>
    <m/>
  </r>
  <r>
    <x v="5"/>
    <d v="2019-06-27T00:00:00"/>
    <x v="124"/>
    <n v="1520"/>
    <m/>
    <s v="CESAR"/>
    <m/>
  </r>
  <r>
    <x v="5"/>
    <d v="2019-06-27T00:00:00"/>
    <x v="76"/>
    <n v="2800"/>
    <m/>
    <s v="EFREN"/>
    <m/>
  </r>
  <r>
    <x v="5"/>
    <d v="2019-06-27T00:00:00"/>
    <x v="149"/>
    <n v="195"/>
    <m/>
    <s v="EFREN"/>
    <m/>
  </r>
  <r>
    <x v="5"/>
    <d v="2019-06-27T00:00:00"/>
    <x v="117"/>
    <n v="500"/>
    <m/>
    <s v="EDUARDO SANCHEZ"/>
    <s v="ENTREGA EN ZAMORA MICH"/>
  </r>
  <r>
    <x v="5"/>
    <d v="2019-06-28T00:00:00"/>
    <x v="47"/>
    <n v="3200"/>
    <m/>
    <s v="MARTIN"/>
    <m/>
  </r>
  <r>
    <x v="5"/>
    <d v="2019-06-28T00:00:00"/>
    <x v="47"/>
    <n v="1000"/>
    <m/>
    <s v="ALFREDO"/>
    <m/>
  </r>
  <r>
    <x v="5"/>
    <d v="2019-06-28T00:00:00"/>
    <x v="150"/>
    <n v="40"/>
    <m/>
    <s v="MARTIN"/>
    <m/>
  </r>
  <r>
    <x v="5"/>
    <d v="2019-06-28T00:00:00"/>
    <x v="39"/>
    <n v="40"/>
    <m/>
    <s v="ANTONIO"/>
    <m/>
  </r>
  <r>
    <x v="5"/>
    <d v="2019-06-28T00:00:00"/>
    <x v="31"/>
    <n v="2000"/>
    <m/>
    <s v="EDGAR SEGURA"/>
    <s v="ENTREGA EN TOLUCA"/>
  </r>
  <r>
    <x v="5"/>
    <d v="2019-06-28T00:00:00"/>
    <x v="27"/>
    <n v="2010"/>
    <m/>
    <s v="EDUARDO SANCHEZ"/>
    <m/>
  </r>
  <r>
    <x v="5"/>
    <d v="2019-06-28T00:00:00"/>
    <x v="151"/>
    <n v="1000"/>
    <m/>
    <s v="EDUARDO SANCHEZ"/>
    <s v="ENTREGA EN HUEHUETOCA"/>
  </r>
  <r>
    <x v="5"/>
    <d v="2019-07-01T00:00:00"/>
    <x v="42"/>
    <n v="100"/>
    <m/>
    <s v="EDUARDO SANCHEZ"/>
    <m/>
  </r>
  <r>
    <x v="5"/>
    <d v="2019-07-01T00:00:00"/>
    <x v="20"/>
    <n v="250"/>
    <m/>
    <s v="ALFREDO"/>
    <m/>
  </r>
  <r>
    <x v="5"/>
    <d v="2019-07-01T00:00:00"/>
    <x v="58"/>
    <n v="2060"/>
    <m/>
    <s v="MARTIN"/>
    <m/>
  </r>
  <r>
    <x v="5"/>
    <d v="2019-07-01T00:00:00"/>
    <x v="8"/>
    <n v="3050"/>
    <m/>
    <s v="CESAR"/>
    <m/>
  </r>
  <r>
    <x v="5"/>
    <d v="2019-07-01T00:00:00"/>
    <x v="3"/>
    <n v="250"/>
    <m/>
    <s v="CESAR"/>
    <m/>
  </r>
  <r>
    <x v="5"/>
    <d v="2019-07-02T00:00:00"/>
    <x v="60"/>
    <n v="100"/>
    <m/>
    <s v="ANTONIO"/>
    <s v="ENTREGA EN GUADALAJARA"/>
  </r>
  <r>
    <x v="5"/>
    <d v="2019-07-02T00:00:00"/>
    <x v="152"/>
    <n v="80"/>
    <m/>
    <s v="CESAR"/>
    <m/>
  </r>
  <r>
    <x v="5"/>
    <d v="2019-07-02T00:00:00"/>
    <x v="30"/>
    <n v="750"/>
    <m/>
    <s v="CESAR"/>
    <m/>
  </r>
  <r>
    <x v="5"/>
    <d v="2019-07-02T00:00:00"/>
    <x v="9"/>
    <n v="250"/>
    <m/>
    <s v="CESAR"/>
    <m/>
  </r>
  <r>
    <x v="5"/>
    <d v="2019-07-02T00:00:00"/>
    <x v="27"/>
    <n v="2000"/>
    <m/>
    <s v="EFREN"/>
    <m/>
  </r>
  <r>
    <x v="5"/>
    <d v="2019-07-02T00:00:00"/>
    <x v="84"/>
    <n v="2440"/>
    <m/>
    <s v="MARTIN"/>
    <s v="ENTREGA EN TOLUCA"/>
  </r>
  <r>
    <x v="5"/>
    <d v="2019-07-02T00:00:00"/>
    <x v="153"/>
    <m/>
    <n v="2750"/>
    <s v="No aplica"/>
    <s v="RECOLECTA ESTAFETA"/>
  </r>
  <r>
    <x v="5"/>
    <d v="2019-07-03T00:00:00"/>
    <x v="154"/>
    <n v="40"/>
    <m/>
    <s v="EDGAR SEGURA"/>
    <m/>
  </r>
  <r>
    <x v="5"/>
    <d v="2019-07-03T00:00:00"/>
    <x v="59"/>
    <n v="150"/>
    <m/>
    <s v="ANTONIO/ALFREDO"/>
    <m/>
  </r>
  <r>
    <x v="5"/>
    <d v="2019-07-03T00:00:00"/>
    <x v="155"/>
    <n v="20"/>
    <m/>
    <s v="EFREN"/>
    <m/>
  </r>
  <r>
    <x v="5"/>
    <d v="2019-07-03T00:00:00"/>
    <x v="18"/>
    <n v="1050"/>
    <m/>
    <s v="EFREN"/>
    <m/>
  </r>
  <r>
    <x v="5"/>
    <d v="2019-07-03T00:00:00"/>
    <x v="28"/>
    <n v="3000"/>
    <m/>
    <s v="EFREN"/>
    <m/>
  </r>
  <r>
    <x v="5"/>
    <d v="2019-07-03T00:00:00"/>
    <x v="27"/>
    <n v="4400"/>
    <m/>
    <s v="MARTIN"/>
    <m/>
  </r>
  <r>
    <x v="5"/>
    <d v="2019-07-03T00:00:00"/>
    <x v="47"/>
    <n v="1000"/>
    <m/>
    <s v="EFREN"/>
    <m/>
  </r>
  <r>
    <x v="5"/>
    <d v="2019-07-04T00:00:00"/>
    <x v="73"/>
    <n v="320"/>
    <m/>
    <s v="CESAR"/>
    <s v="ENTREGA EN SN JUAN DEL RIO QRO"/>
  </r>
  <r>
    <x v="5"/>
    <d v="2019-07-04T00:00:00"/>
    <x v="43"/>
    <n v="4000"/>
    <m/>
    <s v="CESAR"/>
    <s v="ENTREGA EN SN JUAN DEL RIO QRO"/>
  </r>
  <r>
    <x v="5"/>
    <d v="2019-07-04T00:00:00"/>
    <x v="4"/>
    <n v="700"/>
    <m/>
    <s v="MARTIN"/>
    <m/>
  </r>
  <r>
    <x v="5"/>
    <d v="2019-07-04T00:00:00"/>
    <x v="14"/>
    <n v="1500"/>
    <m/>
    <s v="MARTIN"/>
    <m/>
  </r>
  <r>
    <x v="5"/>
    <d v="2019-07-04T00:00:00"/>
    <x v="88"/>
    <n v="45.4"/>
    <m/>
    <s v="EDGAR SEGURA"/>
    <s v="ENTREGA EN TOLUCA"/>
  </r>
  <r>
    <x v="5"/>
    <d v="2019-07-08T00:00:00"/>
    <x v="142"/>
    <n v="2000"/>
    <m/>
    <s v="MARTIN"/>
    <m/>
  </r>
  <r>
    <x v="5"/>
    <d v="2019-07-08T00:00:00"/>
    <x v="3"/>
    <n v="200"/>
    <m/>
    <s v="MARTIN"/>
    <m/>
  </r>
  <r>
    <x v="5"/>
    <d v="2019-07-08T00:00:00"/>
    <x v="156"/>
    <n v="308"/>
    <m/>
    <s v="ANTONIO/ALFREDO"/>
    <m/>
  </r>
  <r>
    <x v="5"/>
    <d v="2019-07-08T00:00:00"/>
    <x v="72"/>
    <n v="211"/>
    <m/>
    <s v="ANTONIO/ALFREDO"/>
    <m/>
  </r>
  <r>
    <x v="5"/>
    <d v="2019-07-08T00:00:00"/>
    <x v="27"/>
    <n v="7150"/>
    <m/>
    <s v="EFREN"/>
    <m/>
  </r>
  <r>
    <x v="5"/>
    <d v="2019-07-09T00:00:00"/>
    <x v="33"/>
    <n v="80"/>
    <m/>
    <s v="EFREN"/>
    <m/>
  </r>
  <r>
    <x v="5"/>
    <d v="2019-07-09T00:00:00"/>
    <x v="81"/>
    <n v="200"/>
    <m/>
    <s v="EFREN"/>
    <m/>
  </r>
  <r>
    <x v="5"/>
    <d v="2019-07-09T00:00:00"/>
    <x v="157"/>
    <n v="1480"/>
    <m/>
    <s v="EFREN"/>
    <m/>
  </r>
  <r>
    <x v="5"/>
    <d v="2019-07-09T00:00:00"/>
    <x v="18"/>
    <n v="500"/>
    <m/>
    <s v="EFREN"/>
    <m/>
  </r>
  <r>
    <x v="5"/>
    <d v="2019-07-10T00:00:00"/>
    <x v="45"/>
    <m/>
    <n v="400"/>
    <s v="No aplica"/>
    <s v="RECOLECTA WELLDEX"/>
  </r>
  <r>
    <x v="5"/>
    <d v="2019-07-10T00:00:00"/>
    <x v="120"/>
    <n v="100"/>
    <m/>
    <s v="EDGAR MUÑOZ"/>
    <m/>
  </r>
  <r>
    <x v="5"/>
    <d v="2019-07-10T00:00:00"/>
    <x v="30"/>
    <n v="1200"/>
    <m/>
    <s v="CESAR"/>
    <m/>
  </r>
  <r>
    <x v="5"/>
    <d v="2019-07-10T00:00:00"/>
    <x v="28"/>
    <n v="200"/>
    <m/>
    <s v="EDGAR SEGURA/ANTONIO"/>
    <m/>
  </r>
  <r>
    <x v="5"/>
    <d v="2019-07-10T00:00:00"/>
    <x v="153"/>
    <m/>
    <n v="3460"/>
    <s v="No aplica"/>
    <s v="RECOLECTA ESTAFETA"/>
  </r>
  <r>
    <x v="5"/>
    <d v="2019-07-11T00:00:00"/>
    <x v="109"/>
    <n v="100"/>
    <m/>
    <s v="ALFREDO"/>
    <s v="ENTREGA EN TOLUCA"/>
  </r>
  <r>
    <x v="5"/>
    <d v="2019-07-11T00:00:00"/>
    <x v="129"/>
    <n v="25"/>
    <m/>
    <s v="EDGAR SEGURA"/>
    <s v="ENTREGA EN TOLUCA"/>
  </r>
  <r>
    <x v="5"/>
    <d v="2019-07-11T00:00:00"/>
    <x v="113"/>
    <n v="1000"/>
    <m/>
    <s v="EFREN"/>
    <s v="ENTREGA EN HUEHUETOCA"/>
  </r>
  <r>
    <x v="5"/>
    <d v="2019-07-11T00:00:00"/>
    <x v="43"/>
    <n v="4000"/>
    <m/>
    <s v="EFREN"/>
    <s v="ENTREGA EN SN JUAN DEL RIO QRO"/>
  </r>
  <r>
    <x v="5"/>
    <d v="2019-07-11T00:00:00"/>
    <x v="108"/>
    <n v="20"/>
    <m/>
    <s v="MARTIN"/>
    <m/>
  </r>
  <r>
    <x v="5"/>
    <d v="2019-07-11T00:00:00"/>
    <x v="3"/>
    <n v="250"/>
    <m/>
    <s v="MARTIN"/>
    <m/>
  </r>
  <r>
    <x v="5"/>
    <d v="2019-07-11T00:00:00"/>
    <x v="30"/>
    <n v="1000"/>
    <m/>
    <s v="ARTURO V R "/>
    <m/>
  </r>
  <r>
    <x v="5"/>
    <d v="2019-07-12T00:00:00"/>
    <x v="70"/>
    <n v="75"/>
    <m/>
    <s v="EDUARDO SANCHEZ"/>
    <m/>
  </r>
  <r>
    <x v="5"/>
    <d v="2019-07-12T00:00:00"/>
    <x v="10"/>
    <n v="2000"/>
    <m/>
    <s v="EFREN"/>
    <m/>
  </r>
  <r>
    <x v="5"/>
    <d v="2019-07-12T00:00:00"/>
    <x v="0"/>
    <n v="3000"/>
    <m/>
    <s v="EFREN"/>
    <m/>
  </r>
  <r>
    <x v="5"/>
    <d v="2019-07-12T00:00:00"/>
    <x v="24"/>
    <n v="90"/>
    <m/>
    <s v="EFREN"/>
    <m/>
  </r>
  <r>
    <x v="5"/>
    <d v="2019-07-12T00:00:00"/>
    <x v="149"/>
    <n v="100"/>
    <m/>
    <s v="MARTIN"/>
    <m/>
  </r>
  <r>
    <x v="5"/>
    <d v="2019-07-15T00:00:00"/>
    <x v="60"/>
    <n v="50"/>
    <m/>
    <s v="ANTONIO"/>
    <s v="ENTREGA EN GUADALAJARA"/>
  </r>
  <r>
    <x v="5"/>
    <d v="2019-07-15T00:00:00"/>
    <x v="3"/>
    <n v="250"/>
    <m/>
    <s v="MARTIN"/>
    <m/>
  </r>
  <r>
    <x v="5"/>
    <d v="2019-07-15T00:00:00"/>
    <x v="30"/>
    <n v="2250"/>
    <m/>
    <s v="MARTIN"/>
    <m/>
  </r>
  <r>
    <x v="5"/>
    <d v="2019-07-16T00:00:00"/>
    <x v="158"/>
    <n v="140"/>
    <m/>
    <s v="EFREN"/>
    <m/>
  </r>
  <r>
    <x v="5"/>
    <d v="2019-07-16T00:00:00"/>
    <x v="50"/>
    <n v="350"/>
    <m/>
    <s v="EDUARDO SANCHEZ"/>
    <m/>
  </r>
  <r>
    <x v="5"/>
    <d v="2019-07-16T00:00:00"/>
    <x v="11"/>
    <n v="75"/>
    <m/>
    <s v="EDUARDO SANCHEZ"/>
    <m/>
  </r>
  <r>
    <x v="5"/>
    <d v="2019-07-16T00:00:00"/>
    <x v="18"/>
    <n v="500"/>
    <m/>
    <s v="EFREN"/>
    <m/>
  </r>
  <r>
    <x v="5"/>
    <d v="2019-07-17T00:00:00"/>
    <x v="59"/>
    <n v="75"/>
    <m/>
    <s v="ALFREDO"/>
    <m/>
  </r>
  <r>
    <x v="5"/>
    <d v="2019-07-17T00:00:00"/>
    <x v="2"/>
    <n v="40"/>
    <m/>
    <s v="EFREN"/>
    <m/>
  </r>
  <r>
    <x v="5"/>
    <d v="2019-07-17T00:00:00"/>
    <x v="43"/>
    <n v="4000"/>
    <m/>
    <s v="CESAR"/>
    <s v="ENTREGA EN SN JUAN DEL RIO QRO"/>
  </r>
  <r>
    <x v="5"/>
    <d v="2019-07-17T00:00:00"/>
    <x v="27"/>
    <n v="4000"/>
    <m/>
    <s v="CESAR"/>
    <m/>
  </r>
  <r>
    <x v="5"/>
    <d v="2019-07-18T00:00:00"/>
    <x v="7"/>
    <n v="20"/>
    <m/>
    <s v="EFREN"/>
    <m/>
  </r>
  <r>
    <x v="5"/>
    <d v="2019-07-18T00:00:00"/>
    <x v="77"/>
    <n v="100"/>
    <m/>
    <s v="EDGAR SEGURA/ANTONIO"/>
    <s v="ENTREGA EN TOLUCA"/>
  </r>
  <r>
    <x v="5"/>
    <d v="2019-07-18T00:00:00"/>
    <x v="9"/>
    <n v="100"/>
    <m/>
    <s v="EFREN"/>
    <m/>
  </r>
  <r>
    <x v="5"/>
    <d v="2019-07-18T00:00:00"/>
    <x v="116"/>
    <n v="540"/>
    <m/>
    <s v="EFREN"/>
    <m/>
  </r>
  <r>
    <x v="5"/>
    <d v="2019-07-18T00:00:00"/>
    <x v="159"/>
    <n v="75"/>
    <m/>
    <s v="No aplica"/>
    <s v="RECOLECTO RODOLFO AYALA"/>
  </r>
  <r>
    <x v="5"/>
    <d v="2019-07-18T00:00:00"/>
    <x v="28"/>
    <n v="800"/>
    <m/>
    <s v="EDUARDO SANCHEZ"/>
    <m/>
  </r>
  <r>
    <x v="5"/>
    <d v="2019-07-19T00:00:00"/>
    <x v="27"/>
    <n v="4025"/>
    <m/>
    <s v="MARTIN"/>
    <m/>
  </r>
  <r>
    <x v="5"/>
    <d v="2019-07-22T00:00:00"/>
    <x v="160"/>
    <n v="120"/>
    <m/>
    <s v="CESAR"/>
    <m/>
  </r>
  <r>
    <x v="5"/>
    <d v="2019-07-22T00:00:00"/>
    <x v="3"/>
    <n v="250"/>
    <m/>
    <s v="CESAR"/>
    <m/>
  </r>
  <r>
    <x v="5"/>
    <d v="2019-07-22T00:00:00"/>
    <x v="14"/>
    <n v="1500"/>
    <m/>
    <s v="CESAR"/>
    <m/>
  </r>
  <r>
    <x v="5"/>
    <d v="2019-07-22T00:00:00"/>
    <x v="120"/>
    <n v="401"/>
    <m/>
    <s v="EDUARDO SANCHEZ"/>
    <s v="ENTREGA EN ZACUALTIPAN HGO-C"/>
  </r>
  <r>
    <x v="5"/>
    <d v="2019-07-22T00:00:00"/>
    <x v="9"/>
    <n v="50"/>
    <m/>
    <s v="CESAR"/>
    <m/>
  </r>
  <r>
    <x v="5"/>
    <d v="2019-07-22T00:00:00"/>
    <x v="28"/>
    <n v="2000"/>
    <m/>
    <s v="MARTIN"/>
    <m/>
  </r>
  <r>
    <x v="5"/>
    <d v="2019-07-23T00:00:00"/>
    <x v="4"/>
    <n v="575"/>
    <m/>
    <s v="CESAR"/>
    <m/>
  </r>
  <r>
    <x v="5"/>
    <d v="2019-07-23T00:00:00"/>
    <x v="18"/>
    <n v="500"/>
    <m/>
    <s v="CESAR"/>
    <m/>
  </r>
  <r>
    <x v="5"/>
    <d v="2019-07-23T00:00:00"/>
    <x v="76"/>
    <n v="3180"/>
    <m/>
    <s v="MARTIN"/>
    <s v="ENTREGA EN ORIZABA VER"/>
  </r>
  <r>
    <x v="5"/>
    <d v="2019-07-23T00:00:00"/>
    <x v="117"/>
    <n v="600"/>
    <m/>
    <s v="EDGAR SEGURA"/>
    <s v="ENTREGA EN ZAMORA MICH"/>
  </r>
  <r>
    <x v="5"/>
    <d v="2019-07-24T00:00:00"/>
    <x v="134"/>
    <n v="200"/>
    <m/>
    <s v="EDGAR SEGURA"/>
    <m/>
  </r>
  <r>
    <x v="5"/>
    <d v="2019-07-24T00:00:00"/>
    <x v="3"/>
    <n v="250"/>
    <m/>
    <s v="EFREN"/>
    <m/>
  </r>
  <r>
    <x v="5"/>
    <d v="2019-07-25T00:00:00"/>
    <x v="10"/>
    <n v="2000"/>
    <m/>
    <s v="EFREN"/>
    <m/>
  </r>
  <r>
    <x v="5"/>
    <d v="2019-07-25T00:00:00"/>
    <x v="58"/>
    <n v="2000"/>
    <m/>
    <s v="MARTIN"/>
    <m/>
  </r>
  <r>
    <x v="5"/>
    <d v="2019-07-25T00:00:00"/>
    <x v="15"/>
    <n v="1000"/>
    <m/>
    <s v="ANTONIO"/>
    <s v="ENTREGA EN HUEHUETOCA"/>
  </r>
  <r>
    <x v="5"/>
    <d v="2019-07-26T00:00:00"/>
    <x v="85"/>
    <n v="150"/>
    <m/>
    <s v="MARTIN"/>
    <m/>
  </r>
  <r>
    <x v="5"/>
    <d v="2019-07-26T00:00:00"/>
    <x v="120"/>
    <n v="51"/>
    <m/>
    <s v="CARLOS RAMOS1"/>
    <s v="MENSAJERO LLEVO AL DORADO"/>
  </r>
  <r>
    <x v="5"/>
    <d v="2019-07-29T00:00:00"/>
    <x v="42"/>
    <n v="125"/>
    <m/>
    <s v="MARTIN"/>
    <m/>
  </r>
  <r>
    <x v="5"/>
    <d v="2019-07-29T00:00:00"/>
    <x v="34"/>
    <n v="125"/>
    <m/>
    <s v="CESAR"/>
    <m/>
  </r>
  <r>
    <x v="5"/>
    <d v="2019-07-29T00:00:00"/>
    <x v="31"/>
    <n v="2000"/>
    <m/>
    <s v="MARTIN"/>
    <s v="ENTREGA EN TOLUCA"/>
  </r>
  <r>
    <x v="5"/>
    <d v="2019-07-29T00:00:00"/>
    <x v="24"/>
    <n v="50"/>
    <m/>
    <s v="CESAR"/>
    <m/>
  </r>
  <r>
    <x v="5"/>
    <d v="2019-07-29T00:00:00"/>
    <x v="3"/>
    <n v="250"/>
    <m/>
    <s v="CESAR"/>
    <m/>
  </r>
  <r>
    <x v="5"/>
    <d v="2019-07-29T00:00:00"/>
    <x v="131"/>
    <n v="50"/>
    <m/>
    <s v="EFREN"/>
    <s v="ENTREGA EN GUADALAJARA"/>
  </r>
  <r>
    <x v="5"/>
    <d v="2019-07-30T00:00:00"/>
    <x v="18"/>
    <n v="550"/>
    <m/>
    <s v="EDGAR SEGURA"/>
    <m/>
  </r>
  <r>
    <x v="5"/>
    <d v="2019-07-30T00:00:00"/>
    <x v="149"/>
    <n v="200"/>
    <m/>
    <s v="EDGAR SEGURA"/>
    <m/>
  </r>
  <r>
    <x v="5"/>
    <d v="2019-07-30T00:00:00"/>
    <x v="13"/>
    <n v="130"/>
    <m/>
    <s v="EDGAR SEGURA"/>
    <m/>
  </r>
  <r>
    <x v="5"/>
    <d v="2019-07-30T00:00:00"/>
    <x v="161"/>
    <n v="60"/>
    <m/>
    <s v="No aplica"/>
    <m/>
  </r>
  <r>
    <x v="5"/>
    <d v="2019-07-31T00:00:00"/>
    <x v="162"/>
    <n v="60"/>
    <m/>
    <s v="ANTONIO"/>
    <m/>
  </r>
  <r>
    <x v="5"/>
    <d v="2019-07-31T00:00:00"/>
    <x v="39"/>
    <n v="20"/>
    <m/>
    <s v="ANTONIO"/>
    <m/>
  </r>
  <r>
    <x v="5"/>
    <d v="2019-07-31T00:00:00"/>
    <x v="56"/>
    <n v="200"/>
    <m/>
    <s v="EDUARDO SANCHEZ"/>
    <m/>
  </r>
  <r>
    <x v="5"/>
    <d v="2019-07-31T00:00:00"/>
    <x v="75"/>
    <n v="34.049999999999997"/>
    <m/>
    <s v="EDGAR SEGURA"/>
    <m/>
  </r>
  <r>
    <x v="5"/>
    <d v="2019-07-31T00:00:00"/>
    <x v="28"/>
    <n v="280"/>
    <m/>
    <s v="EDUARDO SANCHEZ"/>
    <m/>
  </r>
  <r>
    <x v="6"/>
    <d v="2019-08-01T00:00:00"/>
    <x v="54"/>
    <n v="125"/>
    <m/>
    <s v="MARTIN"/>
    <m/>
  </r>
  <r>
    <x v="6"/>
    <d v="2019-08-01T00:00:00"/>
    <x v="1"/>
    <n v="900"/>
    <m/>
    <s v="EFREN"/>
    <m/>
  </r>
  <r>
    <x v="6"/>
    <d v="2019-08-01T00:00:00"/>
    <x v="8"/>
    <n v="3560"/>
    <m/>
    <s v="EFREN"/>
    <m/>
  </r>
  <r>
    <x v="6"/>
    <d v="2019-08-01T00:00:00"/>
    <x v="133"/>
    <n v="50"/>
    <m/>
    <s v="EFREN"/>
    <m/>
  </r>
  <r>
    <x v="6"/>
    <d v="2019-08-01T00:00:00"/>
    <x v="97"/>
    <n v="40"/>
    <m/>
    <s v="EFREN"/>
    <s v="MUESTRAS"/>
  </r>
  <r>
    <x v="6"/>
    <d v="2019-08-01T00:00:00"/>
    <x v="163"/>
    <n v="450"/>
    <m/>
    <s v="EDGAR SEGURA"/>
    <m/>
  </r>
  <r>
    <x v="6"/>
    <d v="2019-08-02T00:00:00"/>
    <x v="59"/>
    <n v="150"/>
    <m/>
    <s v="EDGAR SEGURA"/>
    <m/>
  </r>
  <r>
    <x v="6"/>
    <d v="2019-08-02T00:00:00"/>
    <x v="164"/>
    <n v="251"/>
    <m/>
    <s v="EDUARDO SANCHEZ"/>
    <s v="ENTREGA EN ZACUALTIPÁN HGO-C"/>
  </r>
  <r>
    <x v="6"/>
    <d v="2019-08-02T00:00:00"/>
    <x v="152"/>
    <n v="200"/>
    <m/>
    <s v="EFREN"/>
    <m/>
  </r>
  <r>
    <x v="6"/>
    <d v="2019-08-05T00:00:00"/>
    <x v="2"/>
    <n v="2000"/>
    <m/>
    <s v="MARTIN"/>
    <m/>
  </r>
  <r>
    <x v="6"/>
    <d v="2019-08-05T00:00:00"/>
    <x v="88"/>
    <n v="50"/>
    <m/>
    <s v="EDUARDO SANCHEZ"/>
    <s v="ENTREGA EN TOLUCA"/>
  </r>
  <r>
    <x v="6"/>
    <d v="2019-08-05T00:00:00"/>
    <x v="6"/>
    <m/>
    <n v="50"/>
    <s v="No aplica"/>
    <s v="CLIENTE RECOLECTA"/>
  </r>
  <r>
    <x v="6"/>
    <d v="2019-08-05T00:00:00"/>
    <x v="165"/>
    <m/>
    <n v="40"/>
    <s v="No aplica"/>
    <s v="CLIENTE RECOLECTA"/>
  </r>
  <r>
    <x v="6"/>
    <d v="2019-08-05T00:00:00"/>
    <x v="106"/>
    <n v="300"/>
    <m/>
    <s v="EFREN"/>
    <m/>
  </r>
  <r>
    <x v="6"/>
    <d v="2019-08-05T00:00:00"/>
    <x v="10"/>
    <n v="20"/>
    <m/>
    <s v="EFREN"/>
    <m/>
  </r>
  <r>
    <x v="6"/>
    <d v="2019-08-05T00:00:00"/>
    <x v="3"/>
    <n v="200"/>
    <m/>
    <s v="EFREN"/>
    <m/>
  </r>
  <r>
    <x v="6"/>
    <d v="2019-08-05T00:00:00"/>
    <x v="28"/>
    <n v="210"/>
    <m/>
    <s v="EDUARDO SANCHEZ"/>
    <m/>
  </r>
  <r>
    <x v="6"/>
    <d v="2019-08-06T00:00:00"/>
    <x v="7"/>
    <n v="20"/>
    <m/>
    <s v="CESAR"/>
    <m/>
  </r>
  <r>
    <x v="6"/>
    <d v="2019-08-06T00:00:00"/>
    <x v="166"/>
    <n v="40"/>
    <m/>
    <s v="CESAR"/>
    <m/>
  </r>
  <r>
    <x v="6"/>
    <d v="2019-08-06T00:00:00"/>
    <x v="18"/>
    <n v="500"/>
    <m/>
    <s v="CESAR"/>
    <m/>
  </r>
  <r>
    <x v="6"/>
    <d v="2019-08-06T00:00:00"/>
    <x v="142"/>
    <n v="1000"/>
    <m/>
    <s v="EDUARDO SANCHEZ"/>
    <m/>
  </r>
  <r>
    <x v="6"/>
    <d v="2019-08-06T00:00:00"/>
    <x v="167"/>
    <n v="1000"/>
    <m/>
    <s v="EDUARDO SANCHEZ"/>
    <m/>
  </r>
  <r>
    <x v="6"/>
    <d v="2019-08-06T00:00:00"/>
    <x v="40"/>
    <n v="795"/>
    <m/>
    <s v="No aplica"/>
    <m/>
  </r>
  <r>
    <x v="6"/>
    <d v="2019-08-07T00:00:00"/>
    <x v="58"/>
    <n v="2020"/>
    <m/>
    <s v="EFREN"/>
    <m/>
  </r>
  <r>
    <x v="6"/>
    <d v="2019-08-07T00:00:00"/>
    <x v="4"/>
    <n v="350"/>
    <m/>
    <s v="EDUARDO SANCHEZ"/>
    <m/>
  </r>
  <r>
    <x v="6"/>
    <d v="2019-08-07T00:00:00"/>
    <x v="69"/>
    <n v="4000"/>
    <m/>
    <s v="MARTIN"/>
    <s v="ENTREGA EN SN JUAN DEL RIO QRO"/>
  </r>
  <r>
    <x v="6"/>
    <d v="2019-08-08T00:00:00"/>
    <x v="0"/>
    <n v="3000"/>
    <m/>
    <s v="EFREN"/>
    <m/>
  </r>
  <r>
    <x v="6"/>
    <d v="2019-08-08T00:00:00"/>
    <x v="168"/>
    <n v="40"/>
    <m/>
    <s v="ARTURO V R"/>
    <m/>
  </r>
  <r>
    <x v="6"/>
    <d v="2019-08-09T00:00:00"/>
    <x v="70"/>
    <n v="75"/>
    <m/>
    <s v="CESAR"/>
    <m/>
  </r>
  <r>
    <x v="6"/>
    <d v="2019-08-09T00:00:00"/>
    <x v="22"/>
    <n v="110"/>
    <m/>
    <s v="EDGAR SEGURA"/>
    <s v="ENTREGA EN ATITALAQUIA HGO"/>
  </r>
  <r>
    <x v="6"/>
    <d v="2019-08-09T00:00:00"/>
    <x v="169"/>
    <n v="1000"/>
    <m/>
    <s v="EDGAR SEGURA"/>
    <s v="ENTREGA EN HUEHUETOCA"/>
  </r>
  <r>
    <x v="6"/>
    <d v="2019-08-09T00:00:00"/>
    <x v="2"/>
    <n v="40"/>
    <m/>
    <s v="CESAR"/>
    <m/>
  </r>
  <r>
    <x v="6"/>
    <d v="2019-08-09T00:00:00"/>
    <x v="3"/>
    <n v="250"/>
    <m/>
    <s v="CESAR"/>
    <m/>
  </r>
  <r>
    <x v="6"/>
    <d v="2019-08-09T00:00:00"/>
    <x v="24"/>
    <n v="130"/>
    <m/>
    <s v="CESAR"/>
    <m/>
  </r>
  <r>
    <x v="6"/>
    <d v="2019-08-09T00:00:00"/>
    <x v="156"/>
    <n v="20"/>
    <m/>
    <s v="CESAR"/>
    <s v="MUESTRA"/>
  </r>
  <r>
    <x v="6"/>
    <d v="2019-08-09T00:00:00"/>
    <x v="30"/>
    <n v="1000"/>
    <m/>
    <s v="MARTIN"/>
    <m/>
  </r>
  <r>
    <x v="6"/>
    <d v="2019-08-09T00:00:00"/>
    <x v="28"/>
    <n v="3000"/>
    <m/>
    <s v="MARTIN"/>
    <m/>
  </r>
  <r>
    <x v="6"/>
    <d v="2019-08-12T00:00:00"/>
    <x v="50"/>
    <n v="300"/>
    <m/>
    <s v="EFREN"/>
    <m/>
  </r>
  <r>
    <x v="6"/>
    <d v="2019-08-12T00:00:00"/>
    <x v="23"/>
    <n v="50"/>
    <m/>
    <s v="EFREN"/>
    <m/>
  </r>
  <r>
    <x v="6"/>
    <d v="2019-08-12T00:00:00"/>
    <x v="14"/>
    <n v="1500"/>
    <m/>
    <s v="EFREN"/>
    <m/>
  </r>
  <r>
    <x v="6"/>
    <d v="2019-08-12T00:00:00"/>
    <x v="142"/>
    <n v="1200"/>
    <m/>
    <s v="EDUARDO SANCHEZ"/>
    <m/>
  </r>
  <r>
    <x v="6"/>
    <d v="2019-08-12T00:00:00"/>
    <x v="170"/>
    <n v="20"/>
    <m/>
    <s v="ANTONIO"/>
    <m/>
  </r>
  <r>
    <x v="6"/>
    <d v="2019-08-12T00:00:00"/>
    <x v="171"/>
    <n v="5"/>
    <m/>
    <s v="ANTONIO"/>
    <s v="MUESTRAS"/>
  </r>
  <r>
    <x v="6"/>
    <d v="2019-08-12T00:00:00"/>
    <x v="27"/>
    <n v="6000"/>
    <m/>
    <s v="ARTURO/ALFREDO"/>
    <m/>
  </r>
  <r>
    <x v="6"/>
    <d v="2019-08-12T00:00:00"/>
    <x v="3"/>
    <n v="350"/>
    <m/>
    <s v="ANTONIO"/>
    <s v="KL25"/>
  </r>
  <r>
    <x v="6"/>
    <d v="2019-08-13T00:00:00"/>
    <x v="138"/>
    <n v="140"/>
    <m/>
    <s v="CESAR"/>
    <m/>
  </r>
  <r>
    <x v="6"/>
    <d v="2019-08-13T00:00:00"/>
    <x v="25"/>
    <n v="700"/>
    <m/>
    <s v="CESAR"/>
    <s v="BLOOM"/>
  </r>
  <r>
    <x v="6"/>
    <d v="2019-08-13T00:00:00"/>
    <x v="18"/>
    <n v="1000"/>
    <m/>
    <s v="CESAR"/>
    <s v="SOAKING"/>
  </r>
  <r>
    <x v="6"/>
    <d v="2019-08-13T00:00:00"/>
    <x v="27"/>
    <n v="9800"/>
    <m/>
    <s v="CESAR"/>
    <m/>
  </r>
  <r>
    <x v="6"/>
    <d v="2019-08-14T00:00:00"/>
    <x v="172"/>
    <n v="2530"/>
    <m/>
    <s v="EDUARDO SANCHEZ"/>
    <m/>
  </r>
  <r>
    <x v="6"/>
    <d v="2019-08-14T00:00:00"/>
    <x v="173"/>
    <n v="8400"/>
    <m/>
    <s v="EFREN"/>
    <m/>
  </r>
  <r>
    <x v="6"/>
    <d v="2019-08-14T00:00:00"/>
    <x v="107"/>
    <n v="4090"/>
    <m/>
    <s v="ARTURO/ALFREDO"/>
    <m/>
  </r>
  <r>
    <x v="6"/>
    <d v="2019-08-14T00:00:00"/>
    <x v="10"/>
    <n v="2000"/>
    <m/>
    <s v="ARTURO/ALFREDO"/>
    <m/>
  </r>
  <r>
    <x v="6"/>
    <d v="2019-08-14T00:00:00"/>
    <x v="174"/>
    <n v="20"/>
    <m/>
    <s v="EFREN"/>
    <m/>
  </r>
  <r>
    <x v="6"/>
    <d v="2019-08-15T00:00:00"/>
    <x v="38"/>
    <n v="100"/>
    <m/>
    <s v="CESAR"/>
    <m/>
  </r>
  <r>
    <x v="6"/>
    <d v="2019-08-15T00:00:00"/>
    <x v="149"/>
    <n v="855"/>
    <m/>
    <s v="EDGAR SEGURA"/>
    <m/>
  </r>
  <r>
    <x v="6"/>
    <d v="2019-08-16T00:00:00"/>
    <x v="11"/>
    <n v="75"/>
    <m/>
    <s v="EDUARDO SANCHEZ/ANTONIO"/>
    <m/>
  </r>
  <r>
    <x v="6"/>
    <d v="2019-08-16T00:00:00"/>
    <x v="4"/>
    <n v="600"/>
    <m/>
    <s v="EFREN"/>
    <m/>
  </r>
  <r>
    <x v="6"/>
    <d v="2019-08-19T00:00:00"/>
    <x v="42"/>
    <n v="200"/>
    <m/>
    <s v="EDUARDO SANCHEZ"/>
    <m/>
  </r>
  <r>
    <x v="6"/>
    <d v="2019-08-19T00:00:00"/>
    <x v="76"/>
    <n v="780"/>
    <m/>
    <s v="EDGAR SEGURA"/>
    <s v="ENTREGA EN ORIZABA VER."/>
  </r>
  <r>
    <x v="6"/>
    <d v="2019-08-19T00:00:00"/>
    <x v="9"/>
    <n v="200"/>
    <m/>
    <s v="EFREN"/>
    <m/>
  </r>
  <r>
    <x v="6"/>
    <d v="2019-08-19T00:00:00"/>
    <x v="159"/>
    <n v="40"/>
    <m/>
    <s v="EFREN"/>
    <m/>
  </r>
  <r>
    <x v="6"/>
    <d v="2019-08-19T00:00:00"/>
    <x v="175"/>
    <n v="100"/>
    <m/>
    <s v="EFREN"/>
    <m/>
  </r>
  <r>
    <x v="6"/>
    <d v="2019-08-19T00:00:00"/>
    <x v="75"/>
    <n v="34.049999999999997"/>
    <m/>
    <s v="EFREN"/>
    <m/>
  </r>
  <r>
    <x v="6"/>
    <d v="2019-08-20T00:00:00"/>
    <x v="84"/>
    <n v="1000"/>
    <m/>
    <s v="No aplica"/>
    <m/>
  </r>
  <r>
    <x v="6"/>
    <d v="2019-08-20T00:00:00"/>
    <x v="18"/>
    <n v="525"/>
    <m/>
    <s v="EDUARDO SANCHEZ"/>
    <m/>
  </r>
  <r>
    <x v="6"/>
    <d v="2019-08-20T00:00:00"/>
    <x v="161"/>
    <n v="22.7"/>
    <m/>
    <s v="EDUARDO SANCHEZ"/>
    <m/>
  </r>
  <r>
    <x v="6"/>
    <d v="2019-08-20T00:00:00"/>
    <x v="28"/>
    <n v="6050"/>
    <m/>
    <s v="CESAR"/>
    <m/>
  </r>
  <r>
    <x v="6"/>
    <d v="2019-08-21T00:00:00"/>
    <x v="60"/>
    <n v="50"/>
    <m/>
    <s v="MARTIN"/>
    <s v="ENTREGA EN GUADALAJARA"/>
  </r>
  <r>
    <x v="6"/>
    <d v="2019-08-21T00:00:00"/>
    <x v="15"/>
    <n v="1000"/>
    <m/>
    <s v="EFREN"/>
    <s v="ENTREGA EN HUEHUETOCA"/>
  </r>
  <r>
    <x v="6"/>
    <d v="2019-08-21T00:00:00"/>
    <x v="176"/>
    <n v="550"/>
    <m/>
    <s v="CESAR"/>
    <s v="ENTREGA EN HUAMANTLA"/>
  </r>
  <r>
    <x v="6"/>
    <d v="2019-08-21T00:00:00"/>
    <x v="43"/>
    <n v="8000"/>
    <m/>
    <s v="EFREN"/>
    <s v="ENTREGA EN SN JUAN DEL RIO QRO"/>
  </r>
  <r>
    <x v="6"/>
    <d v="2019-08-22T00:00:00"/>
    <x v="36"/>
    <n v="2000"/>
    <m/>
    <s v="EDUARDO SANCHEZ"/>
    <s v="ENTREGA EN PUEBLA"/>
  </r>
  <r>
    <x v="6"/>
    <d v="2019-08-22T00:00:00"/>
    <x v="115"/>
    <n v="4050"/>
    <m/>
    <s v="CESAR"/>
    <m/>
  </r>
  <r>
    <x v="6"/>
    <d v="2019-08-23T00:00:00"/>
    <x v="177"/>
    <n v="40"/>
    <m/>
    <s v="MARTIN"/>
    <m/>
  </r>
  <r>
    <x v="6"/>
    <d v="2019-08-23T00:00:00"/>
    <x v="6"/>
    <m/>
    <n v="25"/>
    <s v="No aplica"/>
    <s v="CLIENTE RECOLECTA"/>
  </r>
  <r>
    <x v="6"/>
    <d v="2019-08-23T00:00:00"/>
    <x v="62"/>
    <n v="25"/>
    <m/>
    <s v="EDUARDO SANCHEZ"/>
    <m/>
  </r>
  <r>
    <x v="6"/>
    <d v="2019-08-23T00:00:00"/>
    <x v="140"/>
    <n v="25"/>
    <m/>
    <s v="EDUARDO SANCHEZ"/>
    <m/>
  </r>
  <r>
    <x v="6"/>
    <d v="2019-08-23T00:00:00"/>
    <x v="178"/>
    <n v="40"/>
    <m/>
    <s v="RODOLFO AYALA"/>
    <s v="ENTREGA EN AEROMEXICO"/>
  </r>
  <r>
    <x v="6"/>
    <d v="2019-08-23T00:00:00"/>
    <x v="178"/>
    <n v="80"/>
    <m/>
    <s v="EDUARDO SANCHEZ"/>
    <s v="ENTREGA EN FLECHISA"/>
  </r>
  <r>
    <x v="6"/>
    <d v="2019-08-23T00:00:00"/>
    <x v="134"/>
    <n v="200"/>
    <m/>
    <s v="EDUARDO SANCHEZ"/>
    <m/>
  </r>
  <r>
    <x v="6"/>
    <d v="2019-08-23T00:00:00"/>
    <x v="179"/>
    <n v="200"/>
    <m/>
    <s v="EDUARDO SANCHEZ"/>
    <m/>
  </r>
  <r>
    <x v="6"/>
    <d v="2019-08-26T00:00:00"/>
    <x v="20"/>
    <n v="250"/>
    <m/>
    <s v="EDUARDO SANCHEZ"/>
    <m/>
  </r>
  <r>
    <x v="6"/>
    <d v="2019-08-26T00:00:00"/>
    <x v="3"/>
    <n v="300"/>
    <m/>
    <s v="MARTIN"/>
    <m/>
  </r>
  <r>
    <x v="6"/>
    <d v="2019-08-26T00:00:00"/>
    <x v="28"/>
    <n v="4125"/>
    <m/>
    <s v="MARTIN"/>
    <m/>
  </r>
  <r>
    <x v="6"/>
    <d v="2019-08-27T00:00:00"/>
    <x v="101"/>
    <n v="1000"/>
    <m/>
    <s v="EFREN"/>
    <m/>
  </r>
  <r>
    <x v="6"/>
    <d v="2019-08-27T00:00:00"/>
    <x v="18"/>
    <n v="550"/>
    <m/>
    <s v="ANTONIO"/>
    <m/>
  </r>
  <r>
    <x v="6"/>
    <d v="2019-08-27T00:00:00"/>
    <x v="180"/>
    <n v="25"/>
    <m/>
    <s v="ANTONIO"/>
    <m/>
  </r>
  <r>
    <x v="6"/>
    <d v="2019-08-27T00:00:00"/>
    <x v="134"/>
    <n v="120"/>
    <m/>
    <s v="ANTONIO"/>
    <m/>
  </r>
  <r>
    <x v="6"/>
    <d v="2019-08-28T00:00:00"/>
    <x v="124"/>
    <n v="900"/>
    <m/>
    <s v="MARTIN"/>
    <m/>
  </r>
  <r>
    <x v="6"/>
    <d v="2019-08-28T00:00:00"/>
    <x v="10"/>
    <n v="2500"/>
    <m/>
    <s v="MARTIN"/>
    <m/>
  </r>
  <r>
    <x v="6"/>
    <d v="2019-08-28T00:00:00"/>
    <x v="181"/>
    <n v="800"/>
    <m/>
    <s v="EDGAR SEGURA"/>
    <m/>
  </r>
  <r>
    <x v="6"/>
    <d v="2019-08-29T00:00:00"/>
    <x v="54"/>
    <n v="125"/>
    <m/>
    <s v="EDGAR SEGURA"/>
    <m/>
  </r>
  <r>
    <x v="6"/>
    <d v="2019-08-29T00:00:00"/>
    <x v="4"/>
    <n v="600"/>
    <m/>
    <s v="CESAR"/>
    <m/>
  </r>
  <r>
    <x v="6"/>
    <d v="2019-08-29T00:00:00"/>
    <x v="65"/>
    <n v="1000"/>
    <m/>
    <s v="CESAR"/>
    <m/>
  </r>
  <r>
    <x v="6"/>
    <d v="2019-08-29T00:00:00"/>
    <x v="3"/>
    <n v="300"/>
    <m/>
    <s v="CESAR"/>
    <m/>
  </r>
  <r>
    <x v="6"/>
    <d v="2019-08-29T00:00:00"/>
    <x v="182"/>
    <n v="200"/>
    <m/>
    <s v="CESAR"/>
    <m/>
  </r>
  <r>
    <x v="6"/>
    <d v="2019-08-29T00:00:00"/>
    <x v="33"/>
    <n v="100"/>
    <m/>
    <s v="CESAR"/>
    <m/>
  </r>
  <r>
    <x v="6"/>
    <d v="2019-08-29T00:00:00"/>
    <x v="57"/>
    <n v="4000"/>
    <m/>
    <s v="EFREN"/>
    <m/>
  </r>
  <r>
    <x v="6"/>
    <d v="2019-08-30T00:00:00"/>
    <x v="84"/>
    <n v="2410"/>
    <m/>
    <s v="EDGAR SEGURA"/>
    <m/>
  </r>
  <r>
    <x v="6"/>
    <d v="2019-08-30T00:00:00"/>
    <x v="178"/>
    <n v="50"/>
    <m/>
    <s v="ANTONIO"/>
    <m/>
  </r>
  <r>
    <x v="6"/>
    <d v="2019-08-30T00:00:00"/>
    <x v="183"/>
    <n v="20"/>
    <m/>
    <s v="MARTIN"/>
    <m/>
  </r>
  <r>
    <x v="6"/>
    <d v="2019-08-30T00:00:00"/>
    <x v="4"/>
    <n v="400"/>
    <m/>
    <s v="MARTIN"/>
    <m/>
  </r>
  <r>
    <x v="6"/>
    <d v="2019-08-30T00:00:00"/>
    <x v="74"/>
    <n v="20"/>
    <m/>
    <s v="ANTONIO"/>
    <m/>
  </r>
  <r>
    <x v="6"/>
    <d v="2019-08-30T00:00:00"/>
    <x v="184"/>
    <n v="20"/>
    <m/>
    <s v="MARTIN"/>
    <m/>
  </r>
  <r>
    <x v="7"/>
    <d v="2019-09-02T00:00:00"/>
    <x v="34"/>
    <n v="125"/>
    <m/>
    <s v="CESAR"/>
    <m/>
  </r>
  <r>
    <x v="7"/>
    <d v="2019-09-02T00:00:00"/>
    <x v="85"/>
    <n v="150"/>
    <m/>
    <s v="CESAR"/>
    <m/>
  </r>
  <r>
    <x v="7"/>
    <d v="2019-09-02T00:00:00"/>
    <x v="59"/>
    <n v="250"/>
    <m/>
    <s v="CESAR"/>
    <m/>
  </r>
  <r>
    <x v="7"/>
    <d v="2019-09-02T00:00:00"/>
    <x v="8"/>
    <n v="3560"/>
    <m/>
    <s v="EFREN"/>
    <m/>
  </r>
  <r>
    <x v="7"/>
    <d v="2019-09-02T00:00:00"/>
    <x v="45"/>
    <m/>
    <n v="400"/>
    <s v="No aplica"/>
    <s v="RECOLECTA WELLDEX"/>
  </r>
  <r>
    <x v="7"/>
    <d v="2019-09-02T00:00:00"/>
    <x v="14"/>
    <n v="1500"/>
    <m/>
    <s v="EFREN"/>
    <m/>
  </r>
  <r>
    <x v="7"/>
    <d v="2019-09-02T00:00:00"/>
    <x v="168"/>
    <n v="40"/>
    <m/>
    <s v="No aplica"/>
    <m/>
  </r>
  <r>
    <x v="7"/>
    <d v="2019-09-02T00:00:00"/>
    <x v="180"/>
    <n v="25"/>
    <m/>
    <s v="CESAR"/>
    <s v="URGENCIA"/>
  </r>
  <r>
    <x v="7"/>
    <d v="2019-09-03T00:00:00"/>
    <x v="6"/>
    <m/>
    <n v="40"/>
    <s v="No aplica"/>
    <s v="CLIENTE RECOLECTA"/>
  </r>
  <r>
    <x v="7"/>
    <d v="2019-09-03T00:00:00"/>
    <x v="18"/>
    <n v="500"/>
    <m/>
    <s v="EDUARDO SANCHEZ"/>
    <m/>
  </r>
  <r>
    <x v="7"/>
    <d v="2019-09-03T00:00:00"/>
    <x v="106"/>
    <n v="50"/>
    <m/>
    <s v="EDUARDO SANCHEZ"/>
    <m/>
  </r>
  <r>
    <x v="7"/>
    <d v="2019-09-03T00:00:00"/>
    <x v="81"/>
    <n v="100"/>
    <m/>
    <s v="EDUARDO SANCHEZ"/>
    <m/>
  </r>
  <r>
    <x v="7"/>
    <d v="2019-09-04T00:00:00"/>
    <x v="138"/>
    <n v="160"/>
    <m/>
    <s v="CESAR"/>
    <m/>
  </r>
  <r>
    <x v="7"/>
    <d v="2019-09-04T00:00:00"/>
    <x v="43"/>
    <n v="4000"/>
    <m/>
    <s v="MARTIN"/>
    <m/>
  </r>
  <r>
    <x v="7"/>
    <d v="2019-09-05T00:00:00"/>
    <x v="0"/>
    <n v="2000"/>
    <m/>
    <s v="EFREN"/>
    <m/>
  </r>
  <r>
    <x v="7"/>
    <d v="2019-09-05T00:00:00"/>
    <x v="120"/>
    <n v="250"/>
    <m/>
    <s v="EDUARDO SANCHEZ"/>
    <s v="ENTREGA EN ZACUALTIPAN HGO-C"/>
  </r>
  <r>
    <x v="7"/>
    <d v="2019-09-05T00:00:00"/>
    <x v="26"/>
    <n v="1000"/>
    <m/>
    <s v="EFREN"/>
    <m/>
  </r>
  <r>
    <x v="7"/>
    <d v="2019-09-05T00:00:00"/>
    <x v="43"/>
    <n v="200"/>
    <m/>
    <s v="EDGAR SEGURA"/>
    <s v="ENTREGAR MUESTRA"/>
  </r>
  <r>
    <x v="7"/>
    <d v="2019-09-05T00:00:00"/>
    <x v="27"/>
    <n v="800"/>
    <m/>
    <s v="ALFREDO"/>
    <m/>
  </r>
  <r>
    <x v="7"/>
    <d v="2019-09-05T00:00:00"/>
    <x v="185"/>
    <n v="20"/>
    <m/>
    <s v="EDUARDO SANCHEZ"/>
    <s v="URGENTE"/>
  </r>
  <r>
    <x v="7"/>
    <d v="2019-09-06T00:00:00"/>
    <x v="70"/>
    <n v="75"/>
    <m/>
    <s v="EDUARDO SANCHEZ"/>
    <m/>
  </r>
  <r>
    <x v="7"/>
    <d v="2019-09-06T00:00:00"/>
    <x v="22"/>
    <n v="40"/>
    <m/>
    <s v="EDUARDO SANCHEZ"/>
    <s v="ENTREGA EN ATITALAQUIA HGO"/>
  </r>
  <r>
    <x v="7"/>
    <d v="2019-09-06T00:00:00"/>
    <x v="35"/>
    <n v="2040"/>
    <m/>
    <s v="MARTIN"/>
    <m/>
  </r>
  <r>
    <x v="7"/>
    <d v="2019-09-06T00:00:00"/>
    <x v="61"/>
    <n v="20"/>
    <m/>
    <s v="EFREN"/>
    <m/>
  </r>
  <r>
    <x v="7"/>
    <d v="2019-09-09T00:00:00"/>
    <x v="2"/>
    <n v="60"/>
    <m/>
    <s v="CESAR"/>
    <m/>
  </r>
  <r>
    <x v="7"/>
    <d v="2019-09-09T00:00:00"/>
    <x v="186"/>
    <n v="240"/>
    <m/>
    <s v="CESAR"/>
    <m/>
  </r>
  <r>
    <x v="7"/>
    <d v="2019-09-09T00:00:00"/>
    <x v="158"/>
    <n v="350"/>
    <m/>
    <s v="CESAR"/>
    <m/>
  </r>
  <r>
    <x v="7"/>
    <d v="2019-09-09T00:00:00"/>
    <x v="3"/>
    <n v="350"/>
    <m/>
    <s v="CESAR"/>
    <m/>
  </r>
  <r>
    <x v="7"/>
    <d v="2019-09-10T00:00:00"/>
    <x v="143"/>
    <n v="75"/>
    <m/>
    <s v="EFREN"/>
    <m/>
  </r>
  <r>
    <x v="7"/>
    <d v="2019-09-10T00:00:00"/>
    <x v="50"/>
    <n v="300"/>
    <m/>
    <s v="EFREN"/>
    <m/>
  </r>
  <r>
    <x v="7"/>
    <d v="2019-09-10T00:00:00"/>
    <x v="4"/>
    <n v="400"/>
    <m/>
    <s v="EFREN"/>
    <m/>
  </r>
  <r>
    <x v="7"/>
    <d v="2019-09-10T00:00:00"/>
    <x v="187"/>
    <n v="20"/>
    <m/>
    <s v="EDGAR SEGURA"/>
    <m/>
  </r>
  <r>
    <x v="7"/>
    <d v="2019-09-10T00:00:00"/>
    <x v="150"/>
    <n v="40"/>
    <m/>
    <s v="EFREN"/>
    <m/>
  </r>
  <r>
    <x v="7"/>
    <d v="2019-09-10T00:00:00"/>
    <x v="18"/>
    <n v="500"/>
    <m/>
    <s v="EFREN"/>
    <m/>
  </r>
  <r>
    <x v="7"/>
    <d v="2019-09-10T00:00:00"/>
    <x v="72"/>
    <n v="440"/>
    <m/>
    <s v="EFREN"/>
    <m/>
  </r>
  <r>
    <x v="7"/>
    <d v="2019-09-11T00:00:00"/>
    <x v="120"/>
    <n v="250"/>
    <m/>
    <s v="ANTONIO"/>
    <s v="ENTREGA EN ZACUALTIPAN HGO"/>
  </r>
  <r>
    <x v="7"/>
    <d v="2019-09-11T00:00:00"/>
    <x v="188"/>
    <n v="100"/>
    <m/>
    <s v="EDUARDO SANCHEZ"/>
    <m/>
  </r>
  <r>
    <x v="7"/>
    <d v="2019-09-11T00:00:00"/>
    <x v="15"/>
    <n v="1000"/>
    <m/>
    <s v="EDUARDO SANCHEZ"/>
    <s v="ENTREGA EN HUEHUETOCA"/>
  </r>
  <r>
    <x v="7"/>
    <d v="2019-09-11T00:00:00"/>
    <x v="189"/>
    <m/>
    <n v="100"/>
    <s v="No aplica"/>
    <s v="RECOLECTA FEDEX"/>
  </r>
  <r>
    <x v="7"/>
    <d v="2019-09-11T00:00:00"/>
    <x v="78"/>
    <n v="20"/>
    <m/>
    <s v="EFREN"/>
    <m/>
  </r>
  <r>
    <x v="7"/>
    <d v="2019-09-12T00:00:00"/>
    <x v="28"/>
    <n v="240"/>
    <m/>
    <s v="ANTONIO"/>
    <m/>
  </r>
  <r>
    <x v="7"/>
    <d v="2019-09-12T00:00:00"/>
    <x v="27"/>
    <n v="11210"/>
    <m/>
    <s v="EFREN"/>
    <m/>
  </r>
  <r>
    <x v="7"/>
    <d v="2019-09-13T00:00:00"/>
    <x v="31"/>
    <n v="2000"/>
    <m/>
    <s v="EDGAR SEGURA"/>
    <s v="ENTREGA EN SANTIAGO TIANGUISTENGO"/>
  </r>
  <r>
    <x v="7"/>
    <d v="2019-09-13T00:00:00"/>
    <x v="20"/>
    <n v="300"/>
    <m/>
    <s v="CESAR"/>
    <m/>
  </r>
  <r>
    <x v="7"/>
    <d v="2019-09-13T00:00:00"/>
    <x v="3"/>
    <n v="350"/>
    <m/>
    <s v="EFREN"/>
    <m/>
  </r>
  <r>
    <x v="7"/>
    <d v="2019-09-13T00:00:00"/>
    <x v="190"/>
    <n v="175"/>
    <m/>
    <s v="EFREN"/>
    <m/>
  </r>
  <r>
    <x v="7"/>
    <d v="2019-09-14T00:00:00"/>
    <x v="50"/>
    <n v="175"/>
    <m/>
    <s v="CESAR"/>
    <s v="ENTREGA EN SABADO"/>
  </r>
  <r>
    <x v="7"/>
    <d v="2019-09-17T00:00:00"/>
    <x v="191"/>
    <n v="340"/>
    <m/>
    <s v="CESAR"/>
    <m/>
  </r>
  <r>
    <x v="7"/>
    <d v="2019-09-17T00:00:00"/>
    <x v="73"/>
    <n v="300"/>
    <m/>
    <s v="EFREN"/>
    <m/>
  </r>
  <r>
    <x v="7"/>
    <d v="2019-09-17T00:00:00"/>
    <x v="178"/>
    <n v="40"/>
    <m/>
    <s v="EDGAR SEGURA"/>
    <m/>
  </r>
  <r>
    <x v="7"/>
    <d v="2019-09-17T00:00:00"/>
    <x v="39"/>
    <n v="60"/>
    <m/>
    <s v="EDUARDO SANCHEZ"/>
    <m/>
  </r>
  <r>
    <x v="7"/>
    <d v="2019-09-17T00:00:00"/>
    <x v="28"/>
    <m/>
    <m/>
    <s v="EDGAR SEGURA"/>
    <s v="15 CUÑETES VACIOS"/>
  </r>
  <r>
    <x v="7"/>
    <d v="2019-09-18T00:00:00"/>
    <x v="40"/>
    <n v="106"/>
    <m/>
    <s v="CESAR"/>
    <m/>
  </r>
  <r>
    <x v="7"/>
    <d v="2019-09-18T00:00:00"/>
    <x v="4"/>
    <n v="600"/>
    <m/>
    <s v="CESAR"/>
    <m/>
  </r>
  <r>
    <x v="7"/>
    <d v="2019-09-18T00:00:00"/>
    <x v="134"/>
    <n v="240"/>
    <m/>
    <s v="EDUARDO SANCHEZ"/>
    <m/>
  </r>
  <r>
    <x v="7"/>
    <d v="2019-09-18T00:00:00"/>
    <x v="192"/>
    <n v="50"/>
    <m/>
    <s v="CARLO RAMOS"/>
    <s v="SE ENVIO AL DORADO POR SOLICITUD DEL VENDEDOR"/>
  </r>
  <r>
    <x v="7"/>
    <d v="2019-09-18T00:00:00"/>
    <x v="18"/>
    <n v="500"/>
    <m/>
    <s v="CESAR"/>
    <m/>
  </r>
  <r>
    <x v="7"/>
    <d v="2019-09-18T00:00:00"/>
    <x v="180"/>
    <n v="75"/>
    <m/>
    <s v="CESAR"/>
    <m/>
  </r>
  <r>
    <x v="7"/>
    <d v="2019-09-18T00:00:00"/>
    <x v="28"/>
    <n v="8000"/>
    <m/>
    <s v="EFREN"/>
    <m/>
  </r>
  <r>
    <x v="7"/>
    <d v="2019-09-19T00:00:00"/>
    <x v="71"/>
    <n v="500"/>
    <m/>
    <s v="EFREN"/>
    <m/>
  </r>
  <r>
    <x v="7"/>
    <d v="2019-09-19T00:00:00"/>
    <x v="2"/>
    <n v="2000"/>
    <m/>
    <s v="EFREN"/>
    <m/>
  </r>
  <r>
    <x v="7"/>
    <d v="2019-09-19T00:00:00"/>
    <x v="193"/>
    <n v="50"/>
    <m/>
    <s v="EDUARDO SANCHEZ"/>
    <s v="ENTREGA EN GUADALAJARA"/>
  </r>
  <r>
    <x v="7"/>
    <d v="2019-09-19T00:00:00"/>
    <x v="106"/>
    <n v="240"/>
    <m/>
    <s v="EFREN"/>
    <m/>
  </r>
  <r>
    <x v="7"/>
    <d v="2019-09-19T00:00:00"/>
    <x v="159"/>
    <n v="480"/>
    <m/>
    <s v="ANTONIO"/>
    <s v="ENTREGA EN VALLE DE SANTIAGO GTO"/>
  </r>
  <r>
    <x v="7"/>
    <d v="2019-09-19T00:00:00"/>
    <x v="75"/>
    <n v="34.049999999999997"/>
    <m/>
    <s v="EFREN"/>
    <m/>
  </r>
  <r>
    <x v="7"/>
    <d v="2019-09-19T00:00:00"/>
    <x v="28"/>
    <n v="6000"/>
    <m/>
    <s v="EFREN"/>
    <m/>
  </r>
  <r>
    <x v="7"/>
    <d v="2019-09-20T00:00:00"/>
    <x v="10"/>
    <n v="2500"/>
    <m/>
    <s v="EFREN"/>
    <m/>
  </r>
  <r>
    <x v="7"/>
    <d v="2019-09-20T00:00:00"/>
    <x v="49"/>
    <n v="200"/>
    <m/>
    <s v="ANTONIO"/>
    <m/>
  </r>
  <r>
    <x v="7"/>
    <d v="2019-09-20T00:00:00"/>
    <x v="3"/>
    <n v="300"/>
    <m/>
    <s v="EFREN"/>
    <m/>
  </r>
  <r>
    <x v="7"/>
    <d v="2019-09-23T00:00:00"/>
    <x v="42"/>
    <n v="150"/>
    <m/>
    <s v="MARTIN"/>
    <s v="ENTREGA EN TOLUCA EDO MEX"/>
  </r>
  <r>
    <x v="7"/>
    <d v="2019-09-23T00:00:00"/>
    <x v="84"/>
    <n v="5910"/>
    <m/>
    <s v="MARTIN"/>
    <s v="ENTREGA EN TOLUCA EDO MEX"/>
  </r>
  <r>
    <x v="7"/>
    <d v="2019-09-23T00:00:00"/>
    <x v="178"/>
    <n v="40"/>
    <m/>
    <s v="EFREN"/>
    <m/>
  </r>
  <r>
    <x v="7"/>
    <d v="2019-09-23T00:00:00"/>
    <x v="24"/>
    <n v="50"/>
    <m/>
    <s v="EFREN"/>
    <m/>
  </r>
  <r>
    <x v="7"/>
    <d v="2019-09-23T00:00:00"/>
    <x v="4"/>
    <n v="700"/>
    <m/>
    <s v="EFREN"/>
    <m/>
  </r>
  <r>
    <x v="7"/>
    <d v="2019-09-23T00:00:00"/>
    <x v="47"/>
    <n v="2000"/>
    <m/>
    <s v="EFREN"/>
    <m/>
  </r>
  <r>
    <x v="7"/>
    <d v="2019-09-23T00:00:00"/>
    <x v="9"/>
    <n v="75"/>
    <m/>
    <s v="ARTURO V R"/>
    <s v="URGENCIA SE EMBARCO POR ETN"/>
  </r>
  <r>
    <x v="7"/>
    <d v="2019-09-24T00:00:00"/>
    <x v="45"/>
    <m/>
    <n v="400"/>
    <m/>
    <s v="RECOLECTA WELLDEX"/>
  </r>
  <r>
    <x v="7"/>
    <d v="2019-09-24T00:00:00"/>
    <x v="38"/>
    <n v="200"/>
    <m/>
    <s v="ANTONIO"/>
    <m/>
  </r>
  <r>
    <x v="7"/>
    <d v="2019-09-24T00:00:00"/>
    <x v="3"/>
    <n v="150"/>
    <m/>
    <s v="EDGAR SEGURA"/>
    <m/>
  </r>
  <r>
    <x v="7"/>
    <d v="2019-09-24T00:00:00"/>
    <x v="9"/>
    <n v="150"/>
    <m/>
    <s v="EDGAR SEGURA"/>
    <m/>
  </r>
  <r>
    <x v="7"/>
    <d v="2019-09-24T00:00:00"/>
    <x v="18"/>
    <n v="500"/>
    <m/>
    <s v="EDGAR SEGURA"/>
    <m/>
  </r>
  <r>
    <x v="7"/>
    <d v="2019-09-24T00:00:00"/>
    <x v="27"/>
    <n v="2725"/>
    <m/>
    <s v="EFREN"/>
    <m/>
  </r>
  <r>
    <x v="7"/>
    <d v="2019-09-24T00:00:00"/>
    <x v="28"/>
    <n v="900"/>
    <m/>
    <s v="ANTONIO"/>
    <m/>
  </r>
  <r>
    <x v="7"/>
    <d v="2019-09-25T00:00:00"/>
    <x v="5"/>
    <n v="2000"/>
    <m/>
    <s v="EFREN"/>
    <s v="PLANTA TEOTIHUACAN"/>
  </r>
  <r>
    <x v="7"/>
    <d v="2019-09-25T00:00:00"/>
    <x v="77"/>
    <n v="1025"/>
    <m/>
    <s v="CESAR "/>
    <s v="ENTREGA EN TOLUCA"/>
  </r>
  <r>
    <x v="7"/>
    <d v="2019-09-25T00:00:00"/>
    <x v="153"/>
    <m/>
    <n v="3415"/>
    <m/>
    <s v="RECOLECTA ESTAFETA"/>
  </r>
  <r>
    <x v="7"/>
    <d v="2019-09-26T00:00:00"/>
    <x v="117"/>
    <n v="550"/>
    <m/>
    <s v="ANTONIO"/>
    <s v="ENTREGA EN ZAMORA MICH"/>
  </r>
  <r>
    <x v="7"/>
    <d v="2019-09-26T00:00:00"/>
    <x v="194"/>
    <n v="1000"/>
    <m/>
    <s v="EFREN"/>
    <s v="ENTREGA EN TLAXCALA"/>
  </r>
  <r>
    <x v="7"/>
    <d v="2019-09-26T00:00:00"/>
    <x v="90"/>
    <m/>
    <m/>
    <s v="EDGAR SEGURA"/>
    <m/>
  </r>
  <r>
    <x v="7"/>
    <d v="2019-09-27T00:00:00"/>
    <x v="76"/>
    <n v="3180"/>
    <m/>
    <s v="MARTIN"/>
    <s v="ENTREGA EN ORIZABA VER"/>
  </r>
  <r>
    <x v="7"/>
    <d v="2019-09-27T00:00:00"/>
    <x v="15"/>
    <n v="1000"/>
    <m/>
    <s v="CESAR"/>
    <s v="ENTREGA EN HUEHUETOCA"/>
  </r>
  <r>
    <x v="7"/>
    <d v="2019-09-27T00:00:00"/>
    <x v="192"/>
    <n v="450"/>
    <m/>
    <s v="EFREN"/>
    <s v="ENTREGA EN ZACUALTIPAN HGO"/>
  </r>
  <r>
    <x v="7"/>
    <d v="2019-09-27T00:00:00"/>
    <x v="111"/>
    <m/>
    <m/>
    <m/>
    <m/>
  </r>
  <r>
    <x v="7"/>
    <d v="2019-09-28T00:00:00"/>
    <x v="34"/>
    <n v="125"/>
    <m/>
    <s v="EDGAR SEGURA"/>
    <s v="SABADO"/>
  </r>
  <r>
    <x v="7"/>
    <d v="2019-09-30T00:00:00"/>
    <x v="131"/>
    <n v="50"/>
    <m/>
    <s v="EDUARDO SANCHEZ"/>
    <s v="ENTREGA EN GUADALAJARA"/>
  </r>
  <r>
    <x v="7"/>
    <d v="2019-09-30T00:00:00"/>
    <x v="8"/>
    <n v="3060"/>
    <m/>
    <s v="CESAR"/>
    <m/>
  </r>
  <r>
    <x v="7"/>
    <d v="2019-09-30T00:00:00"/>
    <x v="14"/>
    <n v="1500"/>
    <m/>
    <s v="CESAR"/>
    <m/>
  </r>
  <r>
    <x v="7"/>
    <d v="2019-09-30T00:00:00"/>
    <x v="43"/>
    <n v="4000"/>
    <m/>
    <s v="EFREN"/>
    <s v="ENTREGA EN SN JUAN DEL RIO QRO"/>
  </r>
  <r>
    <x v="8"/>
    <d v="2019-10-01T00:00:00"/>
    <x v="58"/>
    <n v="2040"/>
    <m/>
    <s v="EDGAR SEGURA"/>
    <m/>
  </r>
  <r>
    <x v="8"/>
    <d v="2019-10-01T00:00:00"/>
    <x v="56"/>
    <n v="200"/>
    <m/>
    <s v="EDUARDO SANCHEZ"/>
    <m/>
  </r>
  <r>
    <x v="8"/>
    <d v="2019-10-01T00:00:00"/>
    <x v="3"/>
    <n v="75"/>
    <m/>
    <s v="EFREN"/>
    <m/>
  </r>
  <r>
    <x v="8"/>
    <d v="2019-10-01T00:00:00"/>
    <x v="18"/>
    <n v="500"/>
    <m/>
    <s v="EFREN"/>
    <m/>
  </r>
  <r>
    <x v="8"/>
    <d v="2019-10-01T00:00:00"/>
    <x v="24"/>
    <n v="80"/>
    <m/>
    <s v="EFREN"/>
    <m/>
  </r>
  <r>
    <x v="8"/>
    <d v="2019-10-01T00:00:00"/>
    <x v="134"/>
    <n v="80"/>
    <m/>
    <s v="EDUARDO SANCHEZ"/>
    <m/>
  </r>
  <r>
    <x v="8"/>
    <d v="2019-10-02T00:00:00"/>
    <x v="59"/>
    <n v="250"/>
    <m/>
    <s v="EDUARDO SANCHEZ"/>
    <m/>
  </r>
  <r>
    <x v="8"/>
    <d v="2019-10-02T00:00:00"/>
    <x v="40"/>
    <n v="875"/>
    <m/>
    <s v="CESAR"/>
    <s v="1 CAJA CON MUESTRAS"/>
  </r>
  <r>
    <x v="8"/>
    <d v="2019-10-02T00:00:00"/>
    <x v="33"/>
    <n v="40"/>
    <m/>
    <s v="EDGAR SEGURA"/>
    <m/>
  </r>
  <r>
    <x v="8"/>
    <d v="2019-10-02T00:00:00"/>
    <x v="106"/>
    <n v="100"/>
    <m/>
    <s v="CESAR"/>
    <m/>
  </r>
  <r>
    <x v="8"/>
    <d v="2019-10-03T00:00:00"/>
    <x v="2"/>
    <n v="3000"/>
    <m/>
    <s v="EFREN"/>
    <m/>
  </r>
  <r>
    <x v="8"/>
    <d v="2019-10-03T00:00:00"/>
    <x v="1"/>
    <n v="920"/>
    <m/>
    <s v="EFREN"/>
    <m/>
  </r>
  <r>
    <x v="8"/>
    <d v="2019-10-03T00:00:00"/>
    <x v="195"/>
    <n v="200"/>
    <m/>
    <s v="CESAR"/>
    <s v="ENTREGA EN YECAPIXTLA EDO MEX"/>
  </r>
  <r>
    <x v="8"/>
    <d v="2019-10-04T00:00:00"/>
    <x v="192"/>
    <n v="100"/>
    <m/>
    <s v="CESAR"/>
    <s v="ENTREGA EN ZACUALTIPAN HGO"/>
  </r>
  <r>
    <x v="8"/>
    <d v="2019-10-04T00:00:00"/>
    <x v="48"/>
    <n v="120"/>
    <m/>
    <s v="EDUARDO SANCHEZ"/>
    <m/>
  </r>
  <r>
    <x v="8"/>
    <d v="2019-10-04T00:00:00"/>
    <x v="69"/>
    <n v="3000"/>
    <m/>
    <s v="MARTIN"/>
    <s v="ENTREGA EN SN JUAN DEL RIO QRO"/>
  </r>
  <r>
    <x v="8"/>
    <d v="2019-10-04T00:00:00"/>
    <x v="133"/>
    <n v="75"/>
    <m/>
    <s v="ANTONIO"/>
    <s v="URGENTE"/>
  </r>
  <r>
    <x v="8"/>
    <d v="2019-10-07T00:00:00"/>
    <x v="6"/>
    <m/>
    <n v="40"/>
    <m/>
    <s v="CLIENTE RECOLECTA"/>
  </r>
  <r>
    <x v="8"/>
    <d v="2019-10-07T00:00:00"/>
    <x v="196"/>
    <n v="40"/>
    <m/>
    <s v="EDUARDO SANCHEZ"/>
    <m/>
  </r>
  <r>
    <x v="8"/>
    <d v="2019-10-07T00:00:00"/>
    <x v="118"/>
    <n v="60"/>
    <m/>
    <s v="EDUARDO SANCHEZ"/>
    <s v="ENTREGA EN TOLUCA"/>
  </r>
  <r>
    <x v="8"/>
    <d v="2019-10-07T00:00:00"/>
    <x v="134"/>
    <n v="200"/>
    <m/>
    <s v="EDUARDO SANCHEZ"/>
    <m/>
  </r>
  <r>
    <x v="8"/>
    <d v="2019-10-08T00:00:00"/>
    <x v="20"/>
    <n v="250"/>
    <m/>
    <s v="EDUARDO SANCHEZ"/>
    <m/>
  </r>
  <r>
    <x v="8"/>
    <d v="2019-10-08T00:00:00"/>
    <x v="3"/>
    <n v="100"/>
    <m/>
    <s v="MARTIN"/>
    <m/>
  </r>
  <r>
    <x v="8"/>
    <d v="2019-10-08T00:00:00"/>
    <x v="18"/>
    <n v="500"/>
    <m/>
    <s v="MARTIN"/>
    <m/>
  </r>
  <r>
    <x v="8"/>
    <d v="2019-10-08T00:00:00"/>
    <x v="191"/>
    <n v="341"/>
    <m/>
    <s v="ANTONIO"/>
    <s v="SE ANEXA 1 MUESTRA"/>
  </r>
  <r>
    <x v="8"/>
    <d v="2019-10-08T00:00:00"/>
    <x v="28"/>
    <n v="2360"/>
    <m/>
    <s v="MARTIN"/>
    <m/>
  </r>
  <r>
    <x v="8"/>
    <d v="2019-10-10T00:00:00"/>
    <x v="140"/>
    <n v="25"/>
    <m/>
    <s v="EDUARDO SANCHEZ"/>
    <m/>
  </r>
  <r>
    <x v="8"/>
    <d v="2019-10-10T00:00:00"/>
    <x v="85"/>
    <n v="150"/>
    <m/>
    <s v="EDUARDO SANCHEZ"/>
    <m/>
  </r>
  <r>
    <x v="8"/>
    <d v="2019-10-10T00:00:00"/>
    <x v="70"/>
    <n v="125"/>
    <m/>
    <s v="EDUARDO SANCHEZ"/>
    <m/>
  </r>
  <r>
    <x v="8"/>
    <d v="2019-10-10T00:00:00"/>
    <x v="188"/>
    <n v="100"/>
    <m/>
    <s v="ANTONIO"/>
    <m/>
  </r>
  <r>
    <x v="8"/>
    <d v="2019-10-10T00:00:00"/>
    <x v="43"/>
    <n v="4000"/>
    <m/>
    <s v="CESAR"/>
    <m/>
  </r>
  <r>
    <x v="8"/>
    <d v="2019-10-10T00:00:00"/>
    <x v="4"/>
    <n v="1300"/>
    <m/>
    <s v="MARTIN"/>
    <m/>
  </r>
  <r>
    <x v="8"/>
    <d v="2019-10-10T00:00:00"/>
    <x v="150"/>
    <n v="80"/>
    <m/>
    <s v="MARTIN"/>
    <m/>
  </r>
  <r>
    <x v="8"/>
    <d v="2019-10-11T00:00:00"/>
    <x v="197"/>
    <n v="2020"/>
    <m/>
    <s v="CESAR"/>
    <m/>
  </r>
  <r>
    <x v="8"/>
    <d v="2019-10-11T00:00:00"/>
    <x v="117"/>
    <n v="500"/>
    <m/>
    <s v="EDUARDO SANCHEZ"/>
    <s v="ENTREGA EN ZAMORA MICH"/>
  </r>
  <r>
    <x v="8"/>
    <d v="2019-10-11T00:00:00"/>
    <x v="21"/>
    <n v="425"/>
    <m/>
    <s v="EDUARDO SANCHEZ"/>
    <s v="ENTREGA EN JACONA MICH"/>
  </r>
  <r>
    <x v="8"/>
    <d v="2019-10-11T00:00:00"/>
    <x v="158"/>
    <n v="225"/>
    <m/>
    <s v="CESAR"/>
    <m/>
  </r>
  <r>
    <x v="8"/>
    <d v="2019-10-11T00:00:00"/>
    <x v="48"/>
    <n v="80"/>
    <m/>
    <s v="EDGAR SEGURA"/>
    <m/>
  </r>
  <r>
    <x v="8"/>
    <d v="2019-10-11T00:00:00"/>
    <x v="47"/>
    <n v="3000"/>
    <m/>
    <s v="EFREN"/>
    <m/>
  </r>
  <r>
    <x v="8"/>
    <d v="2019-10-14T00:00:00"/>
    <x v="0"/>
    <n v="2000"/>
    <m/>
    <s v="EFREN"/>
    <m/>
  </r>
  <r>
    <x v="8"/>
    <d v="2019-10-14T00:00:00"/>
    <x v="143"/>
    <n v="100"/>
    <m/>
    <s v="CESAR"/>
    <m/>
  </r>
  <r>
    <x v="8"/>
    <d v="2019-10-14T00:00:00"/>
    <x v="50"/>
    <n v="475"/>
    <m/>
    <s v="CESAR"/>
    <m/>
  </r>
  <r>
    <x v="8"/>
    <d v="2019-10-14T00:00:00"/>
    <x v="30"/>
    <n v="3700"/>
    <m/>
    <s v="EFREN"/>
    <m/>
  </r>
  <r>
    <x v="8"/>
    <d v="2019-10-14T00:00:00"/>
    <x v="198"/>
    <n v="50"/>
    <m/>
    <s v="EDUARDO SANCHEZ"/>
    <s v="ENTREGA EN TOLUCA"/>
  </r>
  <r>
    <x v="8"/>
    <d v="2019-10-14T00:00:00"/>
    <x v="156"/>
    <n v="1"/>
    <m/>
    <s v="EFREN"/>
    <s v="MUESTRA"/>
  </r>
  <r>
    <x v="8"/>
    <d v="2019-10-14T00:00:00"/>
    <x v="188"/>
    <n v="1"/>
    <m/>
    <s v="EDUARDO SANCHEZ"/>
    <s v="MUESTRA"/>
  </r>
  <r>
    <x v="8"/>
    <d v="2019-10-14T00:00:00"/>
    <x v="199"/>
    <n v="3000"/>
    <m/>
    <s v="CESAR"/>
    <m/>
  </r>
  <r>
    <x v="8"/>
    <d v="2019-10-15T00:00:00"/>
    <x v="42"/>
    <n v="200"/>
    <m/>
    <s v="ANTONIO"/>
    <m/>
  </r>
  <r>
    <x v="8"/>
    <d v="2019-10-15T00:00:00"/>
    <x v="3"/>
    <n v="150"/>
    <m/>
    <s v="MARTIN"/>
    <m/>
  </r>
  <r>
    <x v="8"/>
    <d v="2019-10-15T00:00:00"/>
    <x v="18"/>
    <n v="500"/>
    <m/>
    <s v="MARTIN"/>
    <m/>
  </r>
  <r>
    <x v="8"/>
    <d v="2019-10-15T00:00:00"/>
    <x v="200"/>
    <n v="1"/>
    <m/>
    <s v="EDUARDO SANCHEZ"/>
    <s v="MUESTRA"/>
  </r>
  <r>
    <x v="8"/>
    <d v="2019-10-15T00:00:00"/>
    <x v="28"/>
    <n v="1870"/>
    <m/>
    <s v="MARTIN"/>
    <m/>
  </r>
  <r>
    <x v="8"/>
    <d v="2019-10-16T00:00:00"/>
    <x v="178"/>
    <n v="65"/>
    <m/>
    <s v="CESAR"/>
    <m/>
  </r>
  <r>
    <x v="8"/>
    <d v="2019-10-16T00:00:00"/>
    <x v="72"/>
    <n v="100"/>
    <m/>
    <s v="CESAR"/>
    <m/>
  </r>
  <r>
    <x v="8"/>
    <d v="2019-10-16T00:00:00"/>
    <x v="115"/>
    <n v="800"/>
    <m/>
    <s v="MARTIN"/>
    <m/>
  </r>
  <r>
    <x v="8"/>
    <d v="2019-10-17T00:00:00"/>
    <x v="62"/>
    <n v="25"/>
    <m/>
    <s v="EDUARDO SANCHEZ"/>
    <m/>
  </r>
  <r>
    <x v="8"/>
    <d v="2019-10-17T00:00:00"/>
    <x v="54"/>
    <n v="50"/>
    <m/>
    <s v="EDUARDO SANCHEZ"/>
    <m/>
  </r>
  <r>
    <x v="8"/>
    <d v="2019-10-17T00:00:00"/>
    <x v="9"/>
    <n v="250"/>
    <m/>
    <s v="ANTONIO"/>
    <m/>
  </r>
  <r>
    <x v="8"/>
    <d v="2019-10-17T00:00:00"/>
    <x v="133"/>
    <n v="25"/>
    <m/>
    <s v="ANTONIO"/>
    <m/>
  </r>
  <r>
    <x v="8"/>
    <d v="2019-10-17T00:00:00"/>
    <x v="40"/>
    <n v="36"/>
    <m/>
    <s v="ANTONIO"/>
    <m/>
  </r>
  <r>
    <x v="8"/>
    <d v="2019-10-17T00:00:00"/>
    <x v="201"/>
    <n v="20"/>
    <m/>
    <s v="ANTONIO"/>
    <m/>
  </r>
  <r>
    <x v="8"/>
    <d v="2019-10-18T00:00:00"/>
    <x v="202"/>
    <n v="40"/>
    <m/>
    <s v="ANTONIO"/>
    <m/>
  </r>
  <r>
    <x v="8"/>
    <d v="2019-10-18T00:00:00"/>
    <x v="74"/>
    <n v="140"/>
    <m/>
    <s v="MARTIN"/>
    <m/>
  </r>
  <r>
    <x v="8"/>
    <d v="2019-10-18T00:00:00"/>
    <x v="75"/>
    <n v="34.049999999999997"/>
    <m/>
    <s v="MARTIN"/>
    <m/>
  </r>
  <r>
    <x v="8"/>
    <d v="2019-10-18T00:00:00"/>
    <x v="203"/>
    <n v="40"/>
    <m/>
    <s v="MARTIN"/>
    <m/>
  </r>
  <r>
    <x v="8"/>
    <d v="2019-10-21T00:00:00"/>
    <x v="14"/>
    <n v="1500"/>
    <m/>
    <s v="MARTIN"/>
    <m/>
  </r>
  <r>
    <x v="8"/>
    <d v="2019-10-21T00:00:00"/>
    <x v="191"/>
    <n v="20"/>
    <m/>
    <s v="EDUARDO SANCHEZ"/>
    <m/>
  </r>
  <r>
    <x v="8"/>
    <d v="2019-10-21T00:00:00"/>
    <x v="204"/>
    <n v="1000"/>
    <m/>
    <s v="EFREN"/>
    <s v="ENTREGA EN HUAMANTLA-TLAX"/>
  </r>
  <r>
    <x v="8"/>
    <d v="2019-10-22T00:00:00"/>
    <x v="3"/>
    <n v="200"/>
    <m/>
    <s v="MARTIN"/>
    <m/>
  </r>
  <r>
    <x v="8"/>
    <d v="2019-10-22T00:00:00"/>
    <x v="61"/>
    <n v="20"/>
    <m/>
    <s v="MARTIN"/>
    <m/>
  </r>
  <r>
    <x v="8"/>
    <d v="2019-10-22T00:00:00"/>
    <x v="18"/>
    <n v="500"/>
    <m/>
    <s v="MARTIN"/>
    <m/>
  </r>
  <r>
    <x v="8"/>
    <d v="2019-10-22T00:00:00"/>
    <x v="205"/>
    <n v="100"/>
    <m/>
    <s v="MARTIN"/>
    <m/>
  </r>
  <r>
    <x v="8"/>
    <d v="2019-10-22T00:00:00"/>
    <x v="98"/>
    <m/>
    <n v="1475"/>
    <m/>
    <s v="RECOLECTA ESTAFETA"/>
  </r>
  <r>
    <x v="8"/>
    <d v="2019-10-23T00:00:00"/>
    <x v="134"/>
    <n v="200"/>
    <m/>
    <s v="EFREN/ANTONIO"/>
    <m/>
  </r>
  <r>
    <x v="8"/>
    <d v="2019-10-23T00:00:00"/>
    <x v="15"/>
    <n v="1000"/>
    <m/>
    <s v="EDGAR SEGURA"/>
    <s v="ENTREGA EN HUEHUETOCA"/>
  </r>
  <r>
    <x v="8"/>
    <d v="2019-10-23T00:00:00"/>
    <x v="206"/>
    <n v="20"/>
    <m/>
    <s v="EFREN/ANTONIO"/>
    <m/>
  </r>
  <r>
    <x v="8"/>
    <d v="2019-10-23T00:00:00"/>
    <x v="43"/>
    <n v="4000"/>
    <m/>
    <s v="MARTIN"/>
    <s v="ENTREGA EN SN JUAN DEL RIO QRO"/>
  </r>
  <r>
    <x v="8"/>
    <d v="2019-10-23T00:00:00"/>
    <x v="90"/>
    <n v="280"/>
    <m/>
    <s v="EFREN/ANTONIO"/>
    <m/>
  </r>
  <r>
    <x v="8"/>
    <d v="2019-10-24T00:00:00"/>
    <x v="54"/>
    <n v="50"/>
    <m/>
    <s v="EFREN"/>
    <m/>
  </r>
  <r>
    <x v="8"/>
    <d v="2019-10-24T00:00:00"/>
    <x v="45"/>
    <m/>
    <n v="400"/>
    <m/>
    <s v="RECOLECTA WELLDEX"/>
  </r>
  <r>
    <x v="8"/>
    <d v="2019-10-24T00:00:00"/>
    <x v="48"/>
    <n v="130"/>
    <m/>
    <s v="ANTONIO"/>
    <m/>
  </r>
  <r>
    <x v="8"/>
    <d v="2019-10-24T00:00:00"/>
    <x v="24"/>
    <n v="40"/>
    <m/>
    <s v="EFREN"/>
    <m/>
  </r>
  <r>
    <x v="8"/>
    <d v="2019-10-24T00:00:00"/>
    <x v="75"/>
    <n v="10"/>
    <m/>
    <s v="EFREN"/>
    <s v="MUESTRA"/>
  </r>
  <r>
    <x v="8"/>
    <d v="2019-10-24T00:00:00"/>
    <x v="153"/>
    <n v="3365"/>
    <m/>
    <m/>
    <m/>
  </r>
  <r>
    <x v="8"/>
    <d v="2019-10-25T00:00:00"/>
    <x v="31"/>
    <n v="2000"/>
    <m/>
    <s v="ANTONIO"/>
    <s v="ENTREGA EN TOLUCA"/>
  </r>
  <r>
    <x v="8"/>
    <d v="2019-10-25T00:00:00"/>
    <x v="180"/>
    <n v="25"/>
    <m/>
    <s v="EDGAR SEGURA"/>
    <m/>
  </r>
  <r>
    <x v="8"/>
    <d v="2019-10-28T00:00:00"/>
    <x v="80"/>
    <n v="40"/>
    <m/>
    <s v="EDGAR SEGURA"/>
    <m/>
  </r>
  <r>
    <x v="8"/>
    <d v="2019-10-28T00:00:00"/>
    <x v="45"/>
    <m/>
    <n v="400"/>
    <m/>
    <s v="RECOLECTA WELLDEX"/>
  </r>
  <r>
    <x v="8"/>
    <d v="2019-10-29T00:00:00"/>
    <x v="18"/>
    <n v="500"/>
    <m/>
    <s v="EDGAR SEGURA"/>
    <m/>
  </r>
  <r>
    <x v="8"/>
    <d v="2019-10-30T00:00:00"/>
    <x v="4"/>
    <n v="850"/>
    <m/>
    <s v="EFREN"/>
    <m/>
  </r>
  <r>
    <x v="8"/>
    <d v="2019-10-30T00:00:00"/>
    <x v="207"/>
    <n v="100"/>
    <m/>
    <s v="EFREN"/>
    <m/>
  </r>
  <r>
    <x v="8"/>
    <d v="2019-10-30T00:00:00"/>
    <x v="178"/>
    <n v="60"/>
    <m/>
    <s v="EFREN"/>
    <m/>
  </r>
  <r>
    <x v="8"/>
    <d v="2019-10-30T00:00:00"/>
    <x v="114"/>
    <n v="520"/>
    <m/>
    <s v="EDUARDO SANCHEZ"/>
    <m/>
  </r>
  <r>
    <x v="8"/>
    <d v="2019-10-30T00:00:00"/>
    <x v="40"/>
    <n v="52"/>
    <m/>
    <s v="EFREN"/>
    <m/>
  </r>
  <r>
    <x v="8"/>
    <d v="2019-10-30T00:00:00"/>
    <x v="81"/>
    <n v="100"/>
    <m/>
    <s v="EFREN"/>
    <m/>
  </r>
  <r>
    <x v="8"/>
    <d v="2019-10-30T00:00:00"/>
    <x v="43"/>
    <n v="4000"/>
    <m/>
    <s v="CESAR"/>
    <s v="ENTREGA EN SN JUAN DEL RIO QRO"/>
  </r>
  <r>
    <x v="8"/>
    <d v="2019-10-31T00:00:00"/>
    <x v="124"/>
    <n v="900"/>
    <m/>
    <s v="CESAR"/>
    <m/>
  </r>
  <r>
    <x v="8"/>
    <d v="2019-10-31T00:00:00"/>
    <x v="34"/>
    <n v="175"/>
    <m/>
    <s v="MARTIN"/>
    <m/>
  </r>
  <r>
    <x v="8"/>
    <d v="2019-10-31T00:00:00"/>
    <x v="54"/>
    <n v="125"/>
    <m/>
    <s v="MARTIN"/>
    <m/>
  </r>
  <r>
    <x v="8"/>
    <d v="2019-10-31T00:00:00"/>
    <x v="62"/>
    <n v="50"/>
    <m/>
    <s v="MARTIN"/>
    <m/>
  </r>
  <r>
    <x v="8"/>
    <d v="2019-10-31T00:00:00"/>
    <x v="106"/>
    <n v="250"/>
    <m/>
    <s v="CESAR"/>
    <m/>
  </r>
  <r>
    <x v="8"/>
    <d v="2019-10-31T00:00:00"/>
    <x v="158"/>
    <n v="150"/>
    <m/>
    <s v="CESAR"/>
    <m/>
  </r>
  <r>
    <x v="8"/>
    <d v="2019-10-31T00:00:00"/>
    <x v="118"/>
    <n v="100"/>
    <m/>
    <s v="ANTONIO"/>
    <s v="ENTREGA EN TOLUCA"/>
  </r>
  <r>
    <x v="8"/>
    <d v="2019-10-31T00:00:00"/>
    <x v="55"/>
    <n v="62"/>
    <m/>
    <s v="CARLOS RAMOS"/>
    <s v="ENTREGAR EN OFICINAS DORADO"/>
  </r>
  <r>
    <x v="9"/>
    <d v="2019-11-01T00:00:00"/>
    <x v="4"/>
    <n v="1000"/>
    <m/>
    <s v="EFREN"/>
    <m/>
  </r>
  <r>
    <x v="9"/>
    <d v="2019-11-01T00:00:00"/>
    <x v="208"/>
    <n v="40"/>
    <m/>
    <s v="ANTONIO"/>
    <m/>
  </r>
  <r>
    <x v="9"/>
    <d v="2019-11-04T00:00:00"/>
    <x v="84"/>
    <n v="2105"/>
    <m/>
    <s v="EDGAR SEGURA"/>
    <s v="ENTREGA EN TOLUCA"/>
  </r>
  <r>
    <x v="9"/>
    <d v="2019-11-04T00:00:00"/>
    <x v="10"/>
    <n v="2520"/>
    <m/>
    <s v="CESAR"/>
    <m/>
  </r>
  <r>
    <x v="9"/>
    <d v="2019-11-04T00:00:00"/>
    <x v="8"/>
    <n v="4040"/>
    <m/>
    <s v="CESAR"/>
    <m/>
  </r>
  <r>
    <x v="9"/>
    <d v="2019-11-04T00:00:00"/>
    <x v="30"/>
    <n v="2000"/>
    <m/>
    <s v="EFREN"/>
    <m/>
  </r>
  <r>
    <x v="9"/>
    <d v="2019-11-04T00:00:00"/>
    <x v="28"/>
    <n v="920"/>
    <m/>
    <s v="CESAR"/>
    <m/>
  </r>
  <r>
    <x v="9"/>
    <d v="2019-11-04T00:00:00"/>
    <x v="25"/>
    <m/>
    <n v="200"/>
    <s v="No aplica"/>
    <s v="CLIENTE RECOLECTA"/>
  </r>
  <r>
    <x v="9"/>
    <d v="2019-11-05T00:00:00"/>
    <x v="58"/>
    <n v="2000"/>
    <m/>
    <s v="MARTIN"/>
    <m/>
  </r>
  <r>
    <x v="9"/>
    <d v="2019-11-05T00:00:00"/>
    <x v="134"/>
    <n v="920"/>
    <m/>
    <s v="ANTONIO"/>
    <s v="ENTREGA EN PUEBLA"/>
  </r>
  <r>
    <x v="9"/>
    <d v="2019-11-05T00:00:00"/>
    <x v="40"/>
    <n v="100"/>
    <m/>
    <s v="EFREN"/>
    <m/>
  </r>
  <r>
    <x v="9"/>
    <d v="2019-11-05T00:00:00"/>
    <x v="209"/>
    <m/>
    <n v="4700"/>
    <s v="No aplica"/>
    <s v="RECOLECTA ESTAFETA"/>
  </r>
  <r>
    <x v="9"/>
    <d v="2019-11-05T00:00:00"/>
    <x v="3"/>
    <n v="425"/>
    <m/>
    <s v="EFREN"/>
    <m/>
  </r>
  <r>
    <x v="9"/>
    <d v="2019-11-05T00:00:00"/>
    <x v="210"/>
    <n v="25"/>
    <m/>
    <s v="EFREN"/>
    <m/>
  </r>
  <r>
    <x v="9"/>
    <d v="2019-11-05T00:00:00"/>
    <x v="95"/>
    <n v="150"/>
    <m/>
    <s v="CESAR"/>
    <m/>
  </r>
  <r>
    <x v="9"/>
    <d v="2019-11-06T00:00:00"/>
    <x v="21"/>
    <n v="250"/>
    <m/>
    <s v="EDGAR SEGURA"/>
    <m/>
  </r>
  <r>
    <x v="9"/>
    <d v="2019-11-06T00:00:00"/>
    <x v="28"/>
    <n v="2475"/>
    <m/>
    <s v="CESAR"/>
    <m/>
  </r>
  <r>
    <x v="9"/>
    <d v="2019-11-06T00:00:00"/>
    <x v="115"/>
    <n v="2010"/>
    <m/>
    <s v="MARTIN"/>
    <m/>
  </r>
  <r>
    <x v="9"/>
    <d v="2019-11-07T00:00:00"/>
    <x v="0"/>
    <n v="2000"/>
    <m/>
    <s v="EFREN"/>
    <m/>
  </r>
  <r>
    <x v="9"/>
    <d v="2019-11-07T00:00:00"/>
    <x v="4"/>
    <n v="800"/>
    <m/>
    <s v="EFREN"/>
    <m/>
  </r>
  <r>
    <x v="9"/>
    <d v="2019-11-08T00:00:00"/>
    <x v="22"/>
    <n v="90"/>
    <m/>
    <s v="EDUARDO SANCHEZ"/>
    <s v="ENTREGA EN ATITALAQUIA HGO"/>
  </r>
  <r>
    <x v="9"/>
    <d v="2019-11-08T00:00:00"/>
    <x v="45"/>
    <m/>
    <n v="400"/>
    <s v="No aplica"/>
    <s v="RECOLECTA WELLDEX"/>
  </r>
  <r>
    <x v="9"/>
    <d v="2019-11-08T00:00:00"/>
    <x v="14"/>
    <n v="1500"/>
    <m/>
    <s v="EDGAR SEGURA"/>
    <m/>
  </r>
  <r>
    <x v="9"/>
    <d v="2019-11-08T00:00:00"/>
    <x v="211"/>
    <n v="20"/>
    <m/>
    <s v="EDUARDO SANCHEZ"/>
    <s v="DIOXIDO DE SILICIO"/>
  </r>
  <r>
    <x v="9"/>
    <d v="2019-11-11T00:00:00"/>
    <x v="3"/>
    <n v="250"/>
    <m/>
    <s v="MARTIN"/>
    <m/>
  </r>
  <r>
    <x v="9"/>
    <d v="2019-11-11T00:00:00"/>
    <x v="18"/>
    <n v="1000"/>
    <m/>
    <s v="MARTIN"/>
    <m/>
  </r>
  <r>
    <x v="9"/>
    <d v="2019-11-12T00:00:00"/>
    <x v="48"/>
    <n v="200"/>
    <m/>
    <s v="EDUARDO SANCHEZ"/>
    <m/>
  </r>
  <r>
    <x v="9"/>
    <d v="2019-11-12T00:00:00"/>
    <x v="55"/>
    <n v="90"/>
    <m/>
    <s v="ANTONIO"/>
    <m/>
  </r>
  <r>
    <x v="9"/>
    <d v="2019-11-12T00:00:00"/>
    <x v="4"/>
    <n v="800"/>
    <m/>
    <s v="EFREN"/>
    <m/>
  </r>
  <r>
    <x v="9"/>
    <d v="2019-11-12T00:00:00"/>
    <x v="133"/>
    <n v="50"/>
    <m/>
    <s v="EFREN"/>
    <m/>
  </r>
  <r>
    <x v="9"/>
    <d v="2019-11-12T00:00:00"/>
    <x v="76"/>
    <n v="3080"/>
    <m/>
    <s v="MARTIN/CESAR"/>
    <s v="ENTREGA EN ORIZABA VER"/>
  </r>
  <r>
    <x v="9"/>
    <d v="2019-11-12T00:00:00"/>
    <x v="27"/>
    <n v="3000"/>
    <m/>
    <s v="ANTONIO"/>
    <m/>
  </r>
  <r>
    <x v="9"/>
    <d v="2019-11-13T00:00:00"/>
    <x v="3"/>
    <n v="250"/>
    <m/>
    <s v="EFREN"/>
    <m/>
  </r>
  <r>
    <x v="9"/>
    <d v="2019-11-13T00:00:00"/>
    <x v="69"/>
    <n v="4000"/>
    <m/>
    <s v="EDUARDO SANCHEZ"/>
    <s v="ENTREGA EN SN JUAN DEL RIO QRO"/>
  </r>
  <r>
    <x v="9"/>
    <d v="2019-11-13T00:00:00"/>
    <x v="20"/>
    <n v="350"/>
    <m/>
    <s v="CESAR"/>
    <m/>
  </r>
  <r>
    <x v="9"/>
    <d v="2019-11-14T00:00:00"/>
    <x v="2"/>
    <n v="3000"/>
    <m/>
    <s v="EDUARDO SANCHEZ"/>
    <m/>
  </r>
  <r>
    <x v="9"/>
    <d v="2019-11-14T00:00:00"/>
    <x v="15"/>
    <n v="1000"/>
    <m/>
    <s v="MARTIN"/>
    <s v="ENTREGA EN HUEHUETOCA"/>
  </r>
  <r>
    <x v="9"/>
    <d v="2019-11-14T00:00:00"/>
    <x v="9"/>
    <n v="100"/>
    <m/>
    <s v="CESAR"/>
    <m/>
  </r>
  <r>
    <x v="9"/>
    <d v="2019-11-15T00:00:00"/>
    <x v="74"/>
    <n v="100"/>
    <m/>
    <s v="EFREN"/>
    <m/>
  </r>
  <r>
    <x v="9"/>
    <d v="2019-11-15T00:00:00"/>
    <x v="157"/>
    <n v="275"/>
    <m/>
    <s v="CESAR"/>
    <m/>
  </r>
  <r>
    <x v="9"/>
    <d v="2019-11-15T00:00:00"/>
    <x v="212"/>
    <n v="150"/>
    <m/>
    <s v="EFREN"/>
    <m/>
  </r>
  <r>
    <x v="9"/>
    <d v="2019-11-15T00:00:00"/>
    <x v="133"/>
    <n v="25"/>
    <m/>
    <s v="EFREN"/>
    <m/>
  </r>
  <r>
    <x v="9"/>
    <d v="2019-11-15T00:00:00"/>
    <x v="75"/>
    <n v="70.400000000000006"/>
    <m/>
    <s v="EFREN"/>
    <m/>
  </r>
  <r>
    <x v="9"/>
    <d v="2019-11-15T00:00:00"/>
    <x v="213"/>
    <n v="60"/>
    <m/>
    <s v="EDGAR SEGURA"/>
    <m/>
  </r>
  <r>
    <x v="9"/>
    <d v="2019-11-15T00:00:00"/>
    <x v="64"/>
    <m/>
    <m/>
    <s v="MARTIN"/>
    <m/>
  </r>
  <r>
    <x v="9"/>
    <d v="2019-11-16T00:00:00"/>
    <x v="11"/>
    <n v="125"/>
    <m/>
    <s v="EFREN"/>
    <s v="SABADO"/>
  </r>
  <r>
    <x v="9"/>
    <d v="2019-11-16T00:00:00"/>
    <x v="19"/>
    <n v="350"/>
    <m/>
    <s v="EFREN"/>
    <s v="SABADO"/>
  </r>
  <r>
    <x v="9"/>
    <d v="2019-11-16T00:00:00"/>
    <x v="214"/>
    <n v="50"/>
    <m/>
    <s v="EFREN"/>
    <s v="SABADO"/>
  </r>
  <r>
    <x v="9"/>
    <d v="2019-11-16T00:00:00"/>
    <x v="140"/>
    <m/>
    <m/>
    <s v="EFREN"/>
    <s v="SABADO"/>
  </r>
  <r>
    <x v="9"/>
    <d v="2019-11-19T00:00:00"/>
    <x v="60"/>
    <n v="50"/>
    <m/>
    <s v="EDUARDO SANCHEZ"/>
    <s v="ENTREGA EN GUADALAJARA"/>
  </r>
  <r>
    <x v="9"/>
    <d v="2019-11-19T00:00:00"/>
    <x v="3"/>
    <n v="200"/>
    <m/>
    <s v="MARTIN"/>
    <m/>
  </r>
  <r>
    <x v="9"/>
    <d v="2019-11-19T00:00:00"/>
    <x v="42"/>
    <n v="125"/>
    <m/>
    <s v="ANTONIO"/>
    <m/>
  </r>
  <r>
    <x v="9"/>
    <d v="2019-11-20T00:00:00"/>
    <x v="4"/>
    <n v="600"/>
    <m/>
    <s v="CESAR"/>
    <m/>
  </r>
  <r>
    <x v="9"/>
    <d v="2019-11-20T00:00:00"/>
    <x v="3"/>
    <n v="200"/>
    <m/>
    <s v="CESAR"/>
    <m/>
  </r>
  <r>
    <x v="9"/>
    <d v="2019-11-21T00:00:00"/>
    <x v="118"/>
    <n v="40"/>
    <m/>
    <s v="ANTONIO"/>
    <s v="ENTREGA EN TOLUCA"/>
  </r>
  <r>
    <x v="9"/>
    <d v="2019-11-21T00:00:00"/>
    <x v="106"/>
    <n v="100"/>
    <m/>
    <s v="MARTIN"/>
    <m/>
  </r>
  <r>
    <x v="9"/>
    <d v="2019-11-21T00:00:00"/>
    <x v="18"/>
    <n v="500"/>
    <m/>
    <s v="MARTIN"/>
    <m/>
  </r>
  <r>
    <x v="9"/>
    <d v="2019-11-21T00:00:00"/>
    <x v="215"/>
    <n v="80"/>
    <m/>
    <s v="MARTIN"/>
    <m/>
  </r>
  <r>
    <x v="9"/>
    <d v="2019-11-21T00:00:00"/>
    <x v="192"/>
    <n v="50"/>
    <m/>
    <s v="CARLOS RAMOS "/>
    <s v="LLEVAR AL DORADO"/>
  </r>
  <r>
    <x v="9"/>
    <d v="2019-11-22T00:00:00"/>
    <x v="10"/>
    <n v="2000"/>
    <m/>
    <s v="EFREN"/>
    <m/>
  </r>
  <r>
    <x v="9"/>
    <d v="2019-11-22T00:00:00"/>
    <x v="43"/>
    <n v="5000"/>
    <m/>
    <s v="CESAR"/>
    <s v="ENTREGA EN SN JUAN DEL RIO QRO"/>
  </r>
  <r>
    <x v="9"/>
    <d v="2019-11-22T00:00:00"/>
    <x v="73"/>
    <n v="320"/>
    <m/>
    <s v="CESAR"/>
    <s v="ENTREGA EN SN JUAN DEL RIO QRO"/>
  </r>
  <r>
    <x v="9"/>
    <d v="2019-11-22T00:00:00"/>
    <x v="105"/>
    <n v="1000"/>
    <m/>
    <s v="EFREN"/>
    <m/>
  </r>
  <r>
    <x v="9"/>
    <d v="2019-11-22T00:00:00"/>
    <x v="4"/>
    <n v="600"/>
    <m/>
    <s v="EFREN"/>
    <m/>
  </r>
  <r>
    <x v="9"/>
    <d v="2019-11-25T00:00:00"/>
    <x v="3"/>
    <n v="100"/>
    <m/>
    <s v="EFREN"/>
    <m/>
  </r>
  <r>
    <x v="9"/>
    <d v="2019-11-25T00:00:00"/>
    <x v="49"/>
    <n v="201"/>
    <m/>
    <s v="EDGAR SEGURA"/>
    <s v="SE LLEVO UNA MUESTRA"/>
  </r>
  <r>
    <x v="9"/>
    <d v="2019-11-25T00:00:00"/>
    <x v="61"/>
    <n v="1"/>
    <m/>
    <s v="EFREN"/>
    <s v="MUESTRA"/>
  </r>
  <r>
    <x v="9"/>
    <d v="2019-11-25T00:00:00"/>
    <x v="30"/>
    <n v="1000"/>
    <m/>
    <s v="EFREN"/>
    <m/>
  </r>
  <r>
    <x v="9"/>
    <d v="2019-11-25T00:00:00"/>
    <x v="28"/>
    <n v="4000"/>
    <m/>
    <s v="EFREN"/>
    <m/>
  </r>
  <r>
    <x v="9"/>
    <d v="2019-11-26T00:00:00"/>
    <x v="5"/>
    <n v="1600"/>
    <m/>
    <s v="MARTIN"/>
    <s v="ENTREGA EN SN JUAN TEOTIHUACAN"/>
  </r>
  <r>
    <x v="9"/>
    <d v="2019-11-26T00:00:00"/>
    <x v="47"/>
    <n v="3000"/>
    <m/>
    <s v="CESAR"/>
    <m/>
  </r>
  <r>
    <x v="9"/>
    <d v="2019-11-26T00:00:00"/>
    <x v="60"/>
    <n v="100"/>
    <m/>
    <s v="EFREN"/>
    <s v="ENTREGA EN GUADALAJARA"/>
  </r>
  <r>
    <x v="9"/>
    <d v="2019-11-26T00:00:00"/>
    <x v="62"/>
    <n v="250"/>
    <m/>
    <s v="EDGAR SEGURA"/>
    <m/>
  </r>
  <r>
    <x v="9"/>
    <d v="2019-11-26T00:00:00"/>
    <x v="216"/>
    <n v="120"/>
    <m/>
    <s v="CESAR"/>
    <m/>
  </r>
  <r>
    <x v="9"/>
    <d v="2019-11-26T00:00:00"/>
    <x v="45"/>
    <m/>
    <n v="400"/>
    <s v="No aplica"/>
    <s v="RECOLECTA WELLDEX"/>
  </r>
  <r>
    <x v="9"/>
    <d v="2019-11-26T00:00:00"/>
    <x v="40"/>
    <n v="800"/>
    <m/>
    <s v="CESAR"/>
    <m/>
  </r>
  <r>
    <x v="9"/>
    <d v="2019-11-27T00:00:00"/>
    <x v="37"/>
    <n v="50"/>
    <m/>
    <s v="MARTIN"/>
    <m/>
  </r>
  <r>
    <x v="9"/>
    <d v="2019-11-28T00:00:00"/>
    <x v="54"/>
    <n v="350"/>
    <m/>
    <s v="CESAR"/>
    <m/>
  </r>
  <r>
    <x v="9"/>
    <d v="2019-11-28T00:00:00"/>
    <x v="129"/>
    <n v="25"/>
    <m/>
    <s v="EDGAR SEGURA"/>
    <s v="ENTREGA EN TOLUCA"/>
  </r>
  <r>
    <x v="9"/>
    <d v="2019-11-28T00:00:00"/>
    <x v="186"/>
    <n v="240"/>
    <m/>
    <s v="CESAR"/>
    <m/>
  </r>
  <r>
    <x v="9"/>
    <d v="2019-11-28T00:00:00"/>
    <x v="7"/>
    <n v="20"/>
    <m/>
    <s v="CESAR"/>
    <m/>
  </r>
  <r>
    <x v="9"/>
    <d v="2019-11-28T00:00:00"/>
    <x v="217"/>
    <n v="50"/>
    <m/>
    <s v="ANTONIO"/>
    <m/>
  </r>
  <r>
    <x v="9"/>
    <d v="2019-11-28T00:00:00"/>
    <x v="27"/>
    <n v="1325"/>
    <m/>
    <s v="MARTIN"/>
    <m/>
  </r>
  <r>
    <x v="9"/>
    <d v="2019-11-28T00:00:00"/>
    <x v="28"/>
    <n v="4200"/>
    <m/>
    <s v="EFREN"/>
    <m/>
  </r>
  <r>
    <x v="9"/>
    <d v="2019-11-29T00:00:00"/>
    <x v="85"/>
    <n v="200"/>
    <m/>
    <s v="MARTIN"/>
    <m/>
  </r>
  <r>
    <x v="9"/>
    <d v="2019-11-29T00:00:00"/>
    <x v="4"/>
    <n v="600"/>
    <m/>
    <s v="CESAR"/>
    <m/>
  </r>
  <r>
    <x v="9"/>
    <d v="2019-11-29T00:00:00"/>
    <x v="96"/>
    <n v="40"/>
    <m/>
    <s v="EDUARDO SANCHEZ"/>
    <m/>
  </r>
  <r>
    <x v="10"/>
    <d v="2019-12-02T00:00:00"/>
    <x v="218"/>
    <n v="200"/>
    <m/>
    <s v="CESAR"/>
    <m/>
  </r>
  <r>
    <x v="10"/>
    <d v="2019-12-02T00:00:00"/>
    <x v="8"/>
    <n v="4060"/>
    <m/>
    <s v="CESAR"/>
    <m/>
  </r>
  <r>
    <x v="10"/>
    <d v="2019-12-02T00:00:00"/>
    <x v="3"/>
    <n v="200"/>
    <m/>
    <s v="CESAR"/>
    <m/>
  </r>
  <r>
    <x v="10"/>
    <d v="2019-12-02T00:00:00"/>
    <x v="1"/>
    <n v="920"/>
    <m/>
    <s v="CESAR"/>
    <m/>
  </r>
  <r>
    <x v="10"/>
    <d v="2019-12-02T00:00:00"/>
    <x v="96"/>
    <n v="40"/>
    <m/>
    <s v="EDGAR SEGURA"/>
    <m/>
  </r>
  <r>
    <x v="10"/>
    <d v="2019-12-02T00:00:00"/>
    <x v="180"/>
    <n v="50"/>
    <m/>
    <s v="EDUARDO SANCHEZ"/>
    <s v="ENVIO SANTIAGO EL DIA SABADO EL PEDIDO"/>
  </r>
  <r>
    <x v="10"/>
    <d v="2019-12-03T00:00:00"/>
    <x v="219"/>
    <m/>
    <n v="25"/>
    <s v="No aplica"/>
    <s v="CLIENTE RECOLECTA"/>
  </r>
  <r>
    <x v="10"/>
    <d v="2019-12-03T00:00:00"/>
    <x v="192"/>
    <n v="450"/>
    <m/>
    <s v="EDUARDO SANCHEZ"/>
    <s v="ENTREGA EN ZACUALTIPAN HGO"/>
  </r>
  <r>
    <x v="10"/>
    <d v="2019-12-03T00:00:00"/>
    <x v="7"/>
    <n v="20"/>
    <m/>
    <s v="CESAR"/>
    <m/>
  </r>
  <r>
    <x v="10"/>
    <d v="2019-12-03T00:00:00"/>
    <x v="18"/>
    <n v="500"/>
    <m/>
    <s v="CESAR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  <r>
    <x v="0"/>
    <m/>
    <x v="0"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3" cacheId="7805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1">
  <location ref="A33:A34" firstHeaderRow="1" firstDataRow="1" firstDataCol="0" rowPageCount="1" colPageCount="1"/>
  <pivotFields count="11">
    <pivotField axis="axisPage" multipleItemSelectionAllowed="1" showAll="0">
      <items count="4">
        <item m="1" x="2"/>
        <item m="1" x="1"/>
        <item x="0"/>
        <item t="default"/>
      </items>
    </pivotField>
    <pivotField showAll="0"/>
    <pivotField numFmtId="14"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Suma de KILOS ENTREGADOS" fld="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2" cacheId="7805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1">
  <location ref="A4:B5" firstHeaderRow="1" firstDataRow="1" firstDataCol="1" rowPageCount="2" colPageCount="1"/>
  <pivotFields count="11">
    <pivotField axis="axisPage" showAll="0">
      <items count="4">
        <item m="1" x="2"/>
        <item m="1" x="1"/>
        <item x="0"/>
        <item t="default"/>
      </items>
    </pivotField>
    <pivotField showAll="0"/>
    <pivotField axis="axisRow" numFmtId="14" showAll="0">
      <items count="20"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m="1" x="2"/>
        <item m="1" x="18"/>
        <item m="1" x="1"/>
        <item x="0"/>
        <item t="default"/>
      </items>
    </pivotField>
    <pivotField axis="axisPage" multipleItemSelectionAllowed="1" showAll="0">
      <items count="44">
        <item h="1" m="1" x="20"/>
        <item h="1" m="1" x="7"/>
        <item h="1" m="1" x="17"/>
        <item h="1" m="1" x="33"/>
        <item h="1" m="1" x="23"/>
        <item h="1" m="1" x="19"/>
        <item h="1" m="1" x="35"/>
        <item h="1" m="1" x="36"/>
        <item h="1" m="1" x="12"/>
        <item h="1" m="1" x="37"/>
        <item h="1" m="1" x="34"/>
        <item h="1" m="1" x="13"/>
        <item h="1" m="1" x="41"/>
        <item h="1" m="1" x="6"/>
        <item h="1" m="1" x="15"/>
        <item h="1" m="1" x="26"/>
        <item h="1" m="1" x="22"/>
        <item h="1" m="1" x="3"/>
        <item h="1" m="1" x="40"/>
        <item h="1" m="1" x="32"/>
        <item h="1" m="1" x="18"/>
        <item h="1" m="1" x="8"/>
        <item h="1" m="1" x="25"/>
        <item h="1" m="1" x="39"/>
        <item h="1" m="1" x="31"/>
        <item h="1" m="1" x="28"/>
        <item h="1" m="1" x="9"/>
        <item h="1" m="1" x="24"/>
        <item h="1" m="1" x="2"/>
        <item h="1" m="1" x="21"/>
        <item h="1" m="1" x="11"/>
        <item m="1" x="10"/>
        <item h="1" m="1" x="29"/>
        <item h="1" m="1" x="30"/>
        <item h="1" m="1" x="38"/>
        <item h="1" m="1" x="5"/>
        <item h="1" m="1" x="4"/>
        <item h="1" m="1" x="16"/>
        <item h="1" m="1" x="27"/>
        <item h="1" m="1" x="42"/>
        <item h="1" m="1" x="14"/>
        <item h="1" m="1" x="1"/>
        <item h="1"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">
    <i t="grand">
      <x/>
    </i>
  </rowItems>
  <colItems count="1">
    <i/>
  </colItems>
  <pageFields count="2">
    <pageField fld="0" hier="-1"/>
    <pageField fld="3" hier="-1"/>
  </pageFields>
  <dataFields count="1">
    <dataField name="Suma de KILOS ENTREGADOS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dinámica8" cacheId="7804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1">
  <location ref="A4:C16" firstHeaderRow="0" firstDataRow="1" firstDataCol="1" rowPageCount="1" colPageCount="1"/>
  <pivotFields count="7">
    <pivotField axis="axisRow" showAll="0" sortType="ascending">
      <items count="24">
        <item m="1" x="15"/>
        <item m="1" x="12"/>
        <item m="1" x="16"/>
        <item m="1" x="21"/>
        <item m="1" x="11"/>
        <item m="1" x="13"/>
        <item m="1" x="14"/>
        <item m="1" x="17"/>
        <item m="1" x="18"/>
        <item m="1" x="19"/>
        <item m="1" x="20"/>
        <item m="1" x="22"/>
        <item x="0"/>
        <item x="3"/>
        <item x="1"/>
        <item x="2"/>
        <item x="4"/>
        <item x="5"/>
        <item x="6"/>
        <item x="7"/>
        <item x="8"/>
        <item x="9"/>
        <item x="10"/>
        <item t="default"/>
      </items>
    </pivotField>
    <pivotField numFmtId="14" showAll="0"/>
    <pivotField axis="axisPage" showAll="0">
      <items count="221">
        <item x="36"/>
        <item x="21"/>
        <item x="178"/>
        <item x="117"/>
        <item x="32"/>
        <item x="105"/>
        <item x="142"/>
        <item x="12"/>
        <item x="45"/>
        <item x="59"/>
        <item x="89"/>
        <item x="143"/>
        <item x="103"/>
        <item x="11"/>
        <item x="214"/>
        <item x="19"/>
        <item x="218"/>
        <item x="51"/>
        <item x="62"/>
        <item x="50"/>
        <item x="85"/>
        <item x="125"/>
        <item x="83"/>
        <item x="20"/>
        <item x="140"/>
        <item x="42"/>
        <item x="34"/>
        <item x="54"/>
        <item x="70"/>
        <item x="114"/>
        <item x="97"/>
        <item x="201"/>
        <item x="137"/>
        <item x="40"/>
        <item x="155"/>
        <item x="78"/>
        <item x="23"/>
        <item x="212"/>
        <item x="16"/>
        <item x="204"/>
        <item x="136"/>
        <item x="173"/>
        <item x="65"/>
        <item x="107"/>
        <item x="172"/>
        <item x="209"/>
        <item x="163"/>
        <item x="194"/>
        <item x="47"/>
        <item x="153"/>
        <item x="98"/>
        <item x="76"/>
        <item x="30"/>
        <item x="84"/>
        <item x="146"/>
        <item x="174"/>
        <item x="66"/>
        <item x="144"/>
        <item x="81"/>
        <item x="33"/>
        <item x="198"/>
        <item x="88"/>
        <item x="191"/>
        <item x="86"/>
        <item x="195"/>
        <item x="200"/>
        <item x="157"/>
        <item x="126"/>
        <item x="3"/>
        <item x="18"/>
        <item x="26"/>
        <item x="46"/>
        <item x="61"/>
        <item x="180"/>
        <item x="133"/>
        <item x="109"/>
        <item x="68"/>
        <item x="170"/>
        <item x="151"/>
        <item x="31"/>
        <item x="135"/>
        <item x="145"/>
        <item x="112"/>
        <item x="141"/>
        <item x="15"/>
        <item x="113"/>
        <item x="169"/>
        <item x="158"/>
        <item x="208"/>
        <item x="129"/>
        <item x="77"/>
        <item x="203"/>
        <item x="202"/>
        <item x="91"/>
        <item x="44"/>
        <item x="206"/>
        <item x="154"/>
        <item x="22"/>
        <item x="99"/>
        <item x="177"/>
        <item x="53"/>
        <item x="96"/>
        <item x="166"/>
        <item x="121"/>
        <item x="152"/>
        <item x="179"/>
        <item x="0"/>
        <item x="8"/>
        <item x="2"/>
        <item x="94"/>
        <item x="17"/>
        <item x="131"/>
        <item x="29"/>
        <item x="193"/>
        <item x="60"/>
        <item x="38"/>
        <item x="182"/>
        <item x="162"/>
        <item x="168"/>
        <item x="52"/>
        <item x="6"/>
        <item x="219"/>
        <item x="63"/>
        <item x="56"/>
        <item x="120"/>
        <item x="188"/>
        <item x="164"/>
        <item x="176"/>
        <item x="82"/>
        <item x="69"/>
        <item x="122"/>
        <item x="123"/>
        <item x="43"/>
        <item x="73"/>
        <item x="55"/>
        <item x="217"/>
        <item x="92"/>
        <item x="165"/>
        <item x="187"/>
        <item x="80"/>
        <item x="160"/>
        <item x="150"/>
        <item x="7"/>
        <item x="79"/>
        <item x="119"/>
        <item x="124"/>
        <item x="5"/>
        <item x="100"/>
        <item x="58"/>
        <item x="35"/>
        <item x="101"/>
        <item x="1"/>
        <item x="186"/>
        <item x="116"/>
        <item x="10"/>
        <item x="87"/>
        <item x="147"/>
        <item x="71"/>
        <item x="197"/>
        <item x="93"/>
        <item x="67"/>
        <item x="183"/>
        <item x="110"/>
        <item x="159"/>
        <item x="49"/>
        <item x="9"/>
        <item x="207"/>
        <item x="205"/>
        <item x="74"/>
        <item x="139"/>
        <item x="215"/>
        <item x="190"/>
        <item x="138"/>
        <item x="25"/>
        <item x="4"/>
        <item x="185"/>
        <item x="102"/>
        <item x="189"/>
        <item x="39"/>
        <item x="24"/>
        <item x="216"/>
        <item x="210"/>
        <item x="171"/>
        <item x="148"/>
        <item x="106"/>
        <item x="181"/>
        <item x="167"/>
        <item x="115"/>
        <item x="27"/>
        <item x="127"/>
        <item x="95"/>
        <item x="132"/>
        <item x="28"/>
        <item x="104"/>
        <item x="211"/>
        <item x="41"/>
        <item x="64"/>
        <item x="184"/>
        <item x="199"/>
        <item x="57"/>
        <item x="128"/>
        <item x="90"/>
        <item x="213"/>
        <item x="196"/>
        <item x="72"/>
        <item x="13"/>
        <item x="175"/>
        <item x="134"/>
        <item x="192"/>
        <item x="14"/>
        <item x="161"/>
        <item x="108"/>
        <item x="118"/>
        <item x="37"/>
        <item x="149"/>
        <item x="156"/>
        <item x="130"/>
        <item x="75"/>
        <item x="48"/>
        <item x="111"/>
        <item t="default"/>
      </items>
    </pivotField>
    <pivotField dataField="1" showAll="0"/>
    <pivotField dataField="1" showAll="0"/>
    <pivotField showAll="0"/>
    <pivotField showAll="0"/>
  </pivotFields>
  <rowFields count="1">
    <field x="0"/>
  </rowFields>
  <rowItems count="12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a de KILOS ENTREGADOS " fld="3" baseField="1" baseItem="367942816"/>
    <dataField name="Suma de KILOS RECOLECTADOS" fld="4" baseField="1" baseItem="367942816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9" cacheId="7804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6">
  <location ref="A3:B7" firstHeaderRow="1" firstDataRow="1" firstDataCol="1" rowPageCount="1" colPageCount="1"/>
  <pivotFields count="7">
    <pivotField axis="axisRow" showAll="0">
      <items count="24">
        <item m="1" x="15"/>
        <item m="1" x="12"/>
        <item m="1" x="16"/>
        <item m="1" x="21"/>
        <item m="1" x="11"/>
        <item m="1" x="13"/>
        <item m="1" x="14"/>
        <item m="1" x="17"/>
        <item m="1" x="18"/>
        <item m="1" x="19"/>
        <item m="1" x="20"/>
        <item m="1" x="22"/>
        <item x="1"/>
        <item x="3"/>
        <item x="0"/>
        <item x="2"/>
        <item x="4"/>
        <item x="5"/>
        <item x="7"/>
        <item x="8"/>
        <item x="9"/>
        <item x="6"/>
        <item x="10"/>
        <item t="default"/>
      </items>
    </pivotField>
    <pivotField numFmtId="14" showAll="0"/>
    <pivotField axis="axisPage" multipleItemSelectionAllowed="1" showAll="0">
      <items count="221">
        <item h="1" x="36"/>
        <item h="1" x="21"/>
        <item h="1" x="178"/>
        <item h="1" x="117"/>
        <item h="1" x="32"/>
        <item h="1" x="105"/>
        <item h="1" x="142"/>
        <item h="1" x="12"/>
        <item h="1" x="45"/>
        <item h="1" x="59"/>
        <item h="1" x="89"/>
        <item x="143"/>
        <item h="1" x="103"/>
        <item h="1" x="11"/>
        <item h="1" x="214"/>
        <item h="1" x="19"/>
        <item h="1" x="218"/>
        <item h="1" x="51"/>
        <item h="1" x="62"/>
        <item h="1" x="50"/>
        <item h="1" x="85"/>
        <item h="1" x="125"/>
        <item h="1" x="83"/>
        <item h="1" x="20"/>
        <item h="1" x="140"/>
        <item h="1" x="42"/>
        <item h="1" x="34"/>
        <item h="1" x="54"/>
        <item h="1" x="70"/>
        <item h="1" x="114"/>
        <item h="1" x="97"/>
        <item h="1" x="201"/>
        <item h="1" x="137"/>
        <item h="1" x="40"/>
        <item h="1" x="155"/>
        <item h="1" x="78"/>
        <item h="1" x="23"/>
        <item h="1" x="212"/>
        <item h="1" x="16"/>
        <item h="1" x="204"/>
        <item h="1" x="136"/>
        <item h="1" x="173"/>
        <item h="1" x="65"/>
        <item h="1" x="107"/>
        <item h="1" x="172"/>
        <item h="1" x="209"/>
        <item h="1" x="163"/>
        <item h="1" x="194"/>
        <item h="1" x="47"/>
        <item h="1" x="153"/>
        <item h="1" x="98"/>
        <item h="1" x="76"/>
        <item h="1" x="30"/>
        <item h="1" x="84"/>
        <item h="1" x="146"/>
        <item h="1" x="174"/>
        <item h="1" x="66"/>
        <item h="1" x="144"/>
        <item h="1" x="81"/>
        <item h="1" x="33"/>
        <item h="1" x="198"/>
        <item h="1" x="88"/>
        <item h="1" x="191"/>
        <item h="1" x="86"/>
        <item h="1" x="195"/>
        <item h="1" x="200"/>
        <item h="1" x="157"/>
        <item h="1" x="126"/>
        <item h="1" x="3"/>
        <item h="1" x="18"/>
        <item h="1" x="26"/>
        <item h="1" x="46"/>
        <item h="1" x="61"/>
        <item h="1" x="180"/>
        <item h="1" x="133"/>
        <item h="1" x="109"/>
        <item h="1" x="68"/>
        <item h="1" x="170"/>
        <item h="1" x="151"/>
        <item h="1" x="31"/>
        <item h="1" x="135"/>
        <item h="1" x="145"/>
        <item h="1" x="112"/>
        <item h="1" x="141"/>
        <item h="1" x="15"/>
        <item h="1" x="113"/>
        <item h="1" x="169"/>
        <item h="1" x="158"/>
        <item h="1" x="208"/>
        <item h="1" x="129"/>
        <item h="1" x="77"/>
        <item h="1" x="203"/>
        <item h="1" x="202"/>
        <item h="1" x="91"/>
        <item h="1" x="44"/>
        <item h="1" x="206"/>
        <item h="1" x="154"/>
        <item h="1" x="22"/>
        <item h="1" x="99"/>
        <item h="1" x="177"/>
        <item h="1" x="53"/>
        <item h="1" x="96"/>
        <item h="1" x="166"/>
        <item h="1" x="121"/>
        <item h="1" x="152"/>
        <item h="1" x="179"/>
        <item h="1" x="0"/>
        <item h="1" x="8"/>
        <item h="1" x="2"/>
        <item h="1" x="94"/>
        <item h="1" x="17"/>
        <item h="1" x="131"/>
        <item h="1" x="29"/>
        <item h="1" x="193"/>
        <item h="1" x="60"/>
        <item h="1" x="38"/>
        <item h="1" x="182"/>
        <item h="1" x="162"/>
        <item h="1" x="168"/>
        <item h="1" x="52"/>
        <item h="1" x="6"/>
        <item h="1" x="219"/>
        <item h="1" x="63"/>
        <item h="1" x="56"/>
        <item h="1" x="120"/>
        <item h="1" x="188"/>
        <item h="1" x="164"/>
        <item h="1" x="176"/>
        <item h="1" x="82"/>
        <item h="1" x="69"/>
        <item h="1" x="122"/>
        <item h="1" x="123"/>
        <item h="1" x="43"/>
        <item h="1" x="73"/>
        <item h="1" x="55"/>
        <item h="1" x="217"/>
        <item h="1" x="92"/>
        <item h="1" x="165"/>
        <item h="1" x="187"/>
        <item h="1" x="80"/>
        <item h="1" x="160"/>
        <item h="1" x="150"/>
        <item h="1" x="7"/>
        <item h="1" x="79"/>
        <item h="1" x="119"/>
        <item h="1" x="124"/>
        <item h="1" x="5"/>
        <item h="1" x="100"/>
        <item h="1" x="58"/>
        <item h="1" x="35"/>
        <item h="1" x="101"/>
        <item h="1" x="1"/>
        <item h="1" x="186"/>
        <item h="1" x="116"/>
        <item h="1" x="10"/>
        <item h="1" x="87"/>
        <item h="1" x="147"/>
        <item h="1" x="71"/>
        <item h="1" x="197"/>
        <item h="1" x="93"/>
        <item h="1" x="67"/>
        <item h="1" x="183"/>
        <item h="1" x="110"/>
        <item h="1" x="159"/>
        <item h="1" x="49"/>
        <item h="1" x="9"/>
        <item h="1" x="207"/>
        <item h="1" x="205"/>
        <item h="1" x="74"/>
        <item h="1" x="139"/>
        <item h="1" x="215"/>
        <item h="1" x="190"/>
        <item h="1" x="138"/>
        <item h="1" x="25"/>
        <item h="1" x="4"/>
        <item h="1" x="185"/>
        <item h="1" x="102"/>
        <item h="1" x="189"/>
        <item h="1" x="39"/>
        <item h="1" x="24"/>
        <item h="1" x="216"/>
        <item h="1" x="210"/>
        <item h="1" x="171"/>
        <item h="1" x="148"/>
        <item h="1" x="106"/>
        <item h="1" x="181"/>
        <item h="1" x="167"/>
        <item h="1" x="115"/>
        <item h="1" x="27"/>
        <item h="1" x="127"/>
        <item h="1" x="95"/>
        <item h="1" x="132"/>
        <item h="1" x="28"/>
        <item h="1" x="104"/>
        <item h="1" x="211"/>
        <item h="1" x="41"/>
        <item h="1" x="64"/>
        <item h="1" x="184"/>
        <item h="1" x="199"/>
        <item h="1" x="57"/>
        <item h="1" x="128"/>
        <item h="1" x="90"/>
        <item h="1" x="213"/>
        <item h="1" x="196"/>
        <item h="1" x="72"/>
        <item h="1" x="13"/>
        <item h="1" x="175"/>
        <item h="1" x="134"/>
        <item h="1" x="192"/>
        <item h="1" x="14"/>
        <item h="1" x="161"/>
        <item h="1" x="108"/>
        <item h="1" x="118"/>
        <item h="1" x="37"/>
        <item h="1" x="149"/>
        <item h="1" x="156"/>
        <item h="1" x="130"/>
        <item h="1" x="75"/>
        <item h="1" x="48"/>
        <item h="1" x="111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4">
    <i>
      <x v="17"/>
    </i>
    <i>
      <x v="18"/>
    </i>
    <i>
      <x v="19"/>
    </i>
    <i t="grand">
      <x/>
    </i>
  </rowItems>
  <colItems count="1">
    <i/>
  </colItems>
  <pageFields count="1">
    <pageField fld="2" hier="-1"/>
  </pageFields>
  <dataFields count="1">
    <dataField name="Suma de KILOS ENTREGADOS " fld="3" baseField="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abla dinámica10" cacheId="7804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1">
  <location ref="A4:C16" firstHeaderRow="0" firstDataRow="1" firstDataCol="1"/>
  <pivotFields count="7">
    <pivotField axis="axisRow" showAll="0">
      <items count="24">
        <item m="1" x="15"/>
        <item m="1" x="12"/>
        <item m="1" x="16"/>
        <item m="1" x="21"/>
        <item m="1" x="11"/>
        <item m="1" x="13"/>
        <item m="1" x="14"/>
        <item m="1" x="17"/>
        <item m="1" x="18"/>
        <item m="1" x="19"/>
        <item m="1" x="20"/>
        <item m="1" x="22"/>
        <item x="1"/>
        <item x="3"/>
        <item x="0"/>
        <item x="2"/>
        <item x="4"/>
        <item x="5"/>
        <item x="7"/>
        <item x="8"/>
        <item x="9"/>
        <item x="6"/>
        <item x="10"/>
        <item t="default"/>
      </items>
    </pivotField>
    <pivotField numFmtId="14" showAll="0"/>
    <pivotField showAll="0"/>
    <pivotField dataField="1" showAll="0"/>
    <pivotField showAll="0"/>
    <pivotField dataField="1" multipleItemSelectionAllowed="1" showAll="0"/>
    <pivotField showAll="0"/>
  </pivotFields>
  <rowFields count="1">
    <field x="0"/>
  </rowFields>
  <rowItems count="12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KILOS ENTREGADOS " fld="3" subtotal="count" baseField="0" baseItem="0"/>
    <dataField name="Cuenta de ENTREGO" fld="5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C2:K52" totalsRowShown="0" headerRowDxfId="10" dataDxfId="9">
  <autoFilter ref="C2:K52" xr:uid="{00000000-0009-0000-0100-000001000000}">
    <filterColumn colId="3">
      <filters>
        <filter val="Entrega"/>
      </filters>
    </filterColumn>
  </autoFilter>
  <tableColumns count="9">
    <tableColumn id="1" xr3:uid="{00000000-0010-0000-0000-000001000000}" name="FECHA DE ENTREGA" dataDxfId="8"/>
    <tableColumn id="2" xr3:uid="{00000000-0010-0000-0000-000002000000}" name="CLIENTE" dataDxfId="7"/>
    <tableColumn id="3" xr3:uid="{00000000-0010-0000-0000-000003000000}" name="KILOS ENTREGADOS" dataDxfId="6"/>
    <tableColumn id="4" xr3:uid="{00000000-0010-0000-0000-000004000000}" name="TIPO DE ENTREGA" dataDxfId="5"/>
    <tableColumn id="5" xr3:uid="{00000000-0010-0000-0000-000005000000}" name="CONDUCTOR" dataDxfId="4"/>
    <tableColumn id="6" xr3:uid="{00000000-0010-0000-0000-000006000000}" name="ENTREGA COMPLETADA" dataDxfId="3"/>
    <tableColumn id="7" xr3:uid="{00000000-0010-0000-0000-000007000000}" name="CONDUCTO" dataDxfId="2"/>
    <tableColumn id="8" xr3:uid="{00000000-0010-0000-0000-000008000000}" name="MOTIVOS EN _x000a_CASO DE RECHAZO" dataDxfId="1"/>
    <tableColumn id="9" xr3:uid="{00000000-0010-0000-0000-000009000000}" name="CLASIFICACIÓ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7"/>
  <sheetViews>
    <sheetView showGridLines="0" view="pageLayout" topLeftCell="G50" zoomScaleNormal="100" workbookViewId="0">
      <selection activeCell="J94" sqref="J94"/>
    </sheetView>
  </sheetViews>
  <sheetFormatPr defaultColWidth="11.42578125" defaultRowHeight="12.75"/>
  <cols>
    <col min="1" max="1" width="18" customWidth="1"/>
    <col min="2" max="2" width="42.85546875" customWidth="1"/>
    <col min="3" max="3" width="23.85546875" customWidth="1"/>
    <col min="4" max="4" width="26.5703125" customWidth="1"/>
    <col min="5" max="5" width="23.42578125" customWidth="1"/>
    <col min="6" max="6" width="31.7109375" customWidth="1"/>
    <col min="7" max="7" width="27.28515625" customWidth="1"/>
    <col min="8" max="8" width="38.42578125" customWidth="1"/>
    <col min="9" max="9" width="23" customWidth="1"/>
    <col min="10" max="10" width="20.28515625" customWidth="1"/>
  </cols>
  <sheetData>
    <row r="1" spans="1:10" ht="12.75" customHeight="1">
      <c r="C1" s="267"/>
      <c r="D1" s="267"/>
      <c r="E1" s="267"/>
      <c r="F1" s="267"/>
      <c r="G1" s="267"/>
      <c r="H1" s="267"/>
      <c r="I1" s="267"/>
      <c r="J1" s="229"/>
    </row>
    <row r="2" spans="1:10" ht="12.75" customHeight="1">
      <c r="C2" s="267"/>
      <c r="D2" s="267"/>
      <c r="E2" s="267"/>
      <c r="F2" s="267"/>
      <c r="G2" s="267"/>
      <c r="H2" s="267"/>
      <c r="I2" s="267"/>
      <c r="J2" s="229"/>
    </row>
    <row r="3" spans="1:10" ht="12.75" customHeight="1">
      <c r="C3" s="267"/>
      <c r="D3" s="267"/>
      <c r="E3" s="267"/>
      <c r="F3" s="267"/>
      <c r="G3" s="267"/>
      <c r="H3" s="267"/>
      <c r="I3" s="267"/>
      <c r="J3" s="229"/>
    </row>
    <row r="4" spans="1:10" s="276" customFormat="1" ht="30" customHeight="1">
      <c r="A4" s="277" t="s">
        <v>0</v>
      </c>
      <c r="C4" s="267"/>
      <c r="D4" s="267"/>
      <c r="E4" s="267"/>
      <c r="F4" s="267"/>
      <c r="G4" s="267"/>
      <c r="H4" s="267"/>
      <c r="I4" s="267"/>
    </row>
    <row r="5" spans="1:10" ht="12.75" customHeight="1">
      <c r="C5" s="267"/>
      <c r="D5" s="267"/>
      <c r="E5" s="267"/>
    </row>
    <row r="8" spans="1:10">
      <c r="A8" s="278"/>
      <c r="B8" s="278"/>
      <c r="C8" s="278"/>
      <c r="D8" s="278"/>
      <c r="E8" s="278"/>
      <c r="F8" s="278"/>
      <c r="G8" s="278"/>
      <c r="H8" s="261"/>
    </row>
    <row r="10" spans="1:10" ht="33" customHeight="1">
      <c r="A10" s="271" t="s">
        <v>1</v>
      </c>
      <c r="B10" s="272" t="s">
        <v>2</v>
      </c>
      <c r="C10" s="273" t="s">
        <v>3</v>
      </c>
      <c r="D10" s="273" t="s">
        <v>4</v>
      </c>
      <c r="E10" s="272" t="s">
        <v>5</v>
      </c>
      <c r="F10" s="272" t="s">
        <v>6</v>
      </c>
      <c r="G10" s="272" t="s">
        <v>7</v>
      </c>
      <c r="H10" s="273" t="s">
        <v>8</v>
      </c>
      <c r="I10" s="272" t="s">
        <v>9</v>
      </c>
      <c r="J10" s="272" t="s">
        <v>10</v>
      </c>
    </row>
    <row r="11" spans="1:10" ht="32.25" customHeight="1">
      <c r="A11" s="260"/>
      <c r="B11" s="246"/>
      <c r="C11" s="246"/>
      <c r="D11" s="256"/>
      <c r="E11" s="256"/>
      <c r="F11" s="256"/>
      <c r="G11" s="256"/>
      <c r="H11" s="256"/>
      <c r="I11" s="266" t="s">
        <v>11</v>
      </c>
    </row>
    <row r="47" spans="2:2">
      <c r="B47" s="262"/>
    </row>
  </sheetData>
  <mergeCells count="1">
    <mergeCell ref="A8:G8"/>
  </mergeCells>
  <pageMargins left="0.70866141732283472" right="0.70866141732283472" top="0.11458333333333333" bottom="0.74803149606299213" header="0.31496062992125984" footer="0.31496062992125984"/>
  <pageSetup scale="44" orientation="landscape" r:id="rId1"/>
  <headerFooter>
    <oddFooter>&amp;R&amp;"Abadi Extra Light,Normal"&amp;11PEF04 - Primera - 15/02/2024        Página: 1  de 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rabar">
                <anchor moveWithCells="1" sizeWithCells="1">
                  <from>
                    <xdr:col>6</xdr:col>
                    <xdr:colOff>85725</xdr:colOff>
                    <xdr:row>14</xdr:row>
                    <xdr:rowOff>9525</xdr:rowOff>
                  </from>
                  <to>
                    <xdr:col>6</xdr:col>
                    <xdr:colOff>1533525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impiar">
                <anchor moveWithCells="1" sizeWithCells="1">
                  <from>
                    <xdr:col>5</xdr:col>
                    <xdr:colOff>323850</xdr:colOff>
                    <xdr:row>13</xdr:row>
                    <xdr:rowOff>152400</xdr:rowOff>
                  </from>
                  <to>
                    <xdr:col>5</xdr:col>
                    <xdr:colOff>1771650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00000000-0002-0000-0000-000000000000}">
          <x14:formula1>
            <xm:f>Lista!$E$3:$E$18</xm:f>
          </x14:formula1>
          <xm:sqref>H11</xm:sqref>
        </x14:dataValidation>
        <x14:dataValidation type="list" allowBlank="1" showInputMessage="1" showErrorMessage="1" xr:uid="{00000000-0002-0000-0000-000001000000}">
          <x14:formula1>
            <xm:f>Lista!$F$3:$F$4</xm:f>
          </x14:formula1>
          <xm:sqref>F11</xm:sqref>
        </x14:dataValidation>
        <x14:dataValidation type="list" allowBlank="1" showInputMessage="1" showErrorMessage="1" xr:uid="{00000000-0002-0000-0000-000002000000}">
          <x14:formula1>
            <xm:f>Lista!$H$3:$H$8</xm:f>
          </x14:formula1>
          <xm:sqref>I11</xm:sqref>
        </x14:dataValidation>
        <x14:dataValidation type="list" allowBlank="1" showInputMessage="1" showErrorMessage="1" xr:uid="{00000000-0002-0000-0000-000003000000}">
          <x14:formula1>
            <xm:f>Lista!$C$3:$C$175</xm:f>
          </x14:formula1>
          <xm:sqref>B11</xm:sqref>
        </x14:dataValidation>
        <x14:dataValidation type="list" allowBlank="1" showInputMessage="1" showErrorMessage="1" xr:uid="{00000000-0002-0000-0000-000004000000}">
          <x14:formula1>
            <xm:f>Lista!$J$3:$J$4</xm:f>
          </x14:formula1>
          <xm:sqref>D11</xm:sqref>
        </x14:dataValidation>
        <x14:dataValidation type="list" allowBlank="1" showInputMessage="1" showErrorMessage="1" xr:uid="{00000000-0002-0000-0000-000005000000}">
          <x14:formula1>
            <xm:f>Lista!$G$3:$G$9</xm:f>
          </x14:formula1>
          <xm:sqref>E11</xm:sqref>
        </x14:dataValidation>
        <x14:dataValidation type="list" allowBlank="1" showInputMessage="1" showErrorMessage="1" xr:uid="{00000000-0002-0000-0000-000006000000}">
          <x14:formula1>
            <xm:f>Lista!$I$3:$I$3</xm:f>
          </x14:formula1>
          <xm:sqref>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K178"/>
  <sheetViews>
    <sheetView zoomScale="130" zoomScaleNormal="130" workbookViewId="0">
      <selection activeCell="C15" sqref="C15"/>
    </sheetView>
  </sheetViews>
  <sheetFormatPr defaultColWidth="11.42578125" defaultRowHeight="12.75"/>
  <cols>
    <col min="3" max="3" width="30.7109375" customWidth="1"/>
    <col min="4" max="4" width="37" customWidth="1"/>
    <col min="5" max="9" width="30.7109375" customWidth="1"/>
    <col min="10" max="10" width="25.5703125" customWidth="1"/>
    <col min="11" max="11" width="54.42578125" customWidth="1"/>
  </cols>
  <sheetData>
    <row r="2" spans="1:11" ht="30.75" thickBot="1">
      <c r="A2" s="269" t="s">
        <v>12</v>
      </c>
      <c r="B2" s="269" t="s">
        <v>13</v>
      </c>
      <c r="C2" s="255" t="s">
        <v>1</v>
      </c>
      <c r="D2" s="255" t="s">
        <v>2</v>
      </c>
      <c r="E2" s="255" t="s">
        <v>14</v>
      </c>
      <c r="F2" s="255" t="s">
        <v>15</v>
      </c>
      <c r="G2" s="255" t="s">
        <v>5</v>
      </c>
      <c r="H2" s="255" t="s">
        <v>6</v>
      </c>
      <c r="I2" s="255" t="s">
        <v>7</v>
      </c>
      <c r="J2" s="273" t="s">
        <v>8</v>
      </c>
      <c r="K2" s="255" t="s">
        <v>9</v>
      </c>
    </row>
    <row r="3" spans="1:11" ht="13.5" thickTop="1">
      <c r="A3" s="270"/>
      <c r="B3" s="275"/>
      <c r="C3" s="258"/>
      <c r="D3" s="259"/>
      <c r="E3" s="259"/>
      <c r="F3" s="259"/>
      <c r="G3" s="259"/>
      <c r="H3" s="259"/>
      <c r="I3" s="259"/>
      <c r="J3" s="259"/>
      <c r="K3" s="259"/>
    </row>
    <row r="4" spans="1:11" ht="13.5" thickTop="1">
      <c r="A4" s="270"/>
      <c r="B4" s="275"/>
      <c r="C4" s="258"/>
      <c r="D4" s="259"/>
      <c r="E4" s="259"/>
      <c r="F4" s="259"/>
      <c r="G4" s="259"/>
      <c r="H4" s="259"/>
      <c r="I4" s="259"/>
      <c r="J4" s="259"/>
      <c r="K4" s="259"/>
    </row>
    <row r="5" spans="1:11">
      <c r="A5" s="270"/>
      <c r="B5" s="275"/>
      <c r="C5" s="258"/>
      <c r="D5" s="259"/>
      <c r="E5" s="259"/>
      <c r="F5" s="259"/>
      <c r="G5" s="259"/>
      <c r="H5" s="259"/>
      <c r="I5" s="259"/>
      <c r="J5" s="259"/>
      <c r="K5" s="259"/>
    </row>
    <row r="6" spans="1:11" ht="13.5" hidden="1" thickTop="1">
      <c r="A6" s="270"/>
      <c r="B6" s="275"/>
      <c r="C6" s="258"/>
      <c r="D6" s="259"/>
      <c r="E6" s="259"/>
      <c r="F6" s="259"/>
      <c r="G6" s="259"/>
      <c r="H6" s="259"/>
      <c r="I6" s="259"/>
      <c r="J6" s="259"/>
      <c r="K6" s="259"/>
    </row>
    <row r="7" spans="1:11">
      <c r="A7" s="270"/>
      <c r="B7" s="275"/>
      <c r="C7" s="258"/>
      <c r="D7" s="259"/>
      <c r="E7" s="259"/>
      <c r="F7" s="259"/>
      <c r="G7" s="259"/>
      <c r="H7" s="259"/>
      <c r="I7" s="259"/>
      <c r="J7" s="259"/>
      <c r="K7" s="259"/>
    </row>
    <row r="8" spans="1:11">
      <c r="A8" s="270"/>
      <c r="B8" s="275"/>
      <c r="C8" s="258"/>
      <c r="D8" s="259"/>
      <c r="E8" s="259"/>
      <c r="F8" s="259"/>
      <c r="G8" s="259"/>
      <c r="H8" s="259"/>
      <c r="I8" s="259"/>
      <c r="J8" s="259"/>
      <c r="K8" s="259"/>
    </row>
    <row r="9" spans="1:11">
      <c r="A9" s="270"/>
      <c r="B9" s="275"/>
      <c r="C9" s="258"/>
      <c r="D9" s="259"/>
      <c r="E9" s="259"/>
      <c r="F9" s="259"/>
      <c r="G9" s="259"/>
      <c r="H9" s="259"/>
      <c r="I9" s="259"/>
      <c r="J9" s="259"/>
      <c r="K9" s="259"/>
    </row>
    <row r="10" spans="1:11">
      <c r="A10" s="270"/>
      <c r="B10" s="275"/>
      <c r="C10" s="258"/>
      <c r="D10" s="259"/>
      <c r="E10" s="259"/>
      <c r="F10" s="259"/>
      <c r="G10" s="259"/>
      <c r="H10" s="259"/>
      <c r="I10" s="259"/>
      <c r="J10" s="259"/>
      <c r="K10" s="259"/>
    </row>
    <row r="11" spans="1:11">
      <c r="A11" s="270"/>
      <c r="B11" s="275"/>
      <c r="C11" s="258"/>
      <c r="D11" s="259"/>
      <c r="E11" s="259"/>
      <c r="F11" s="259"/>
      <c r="G11" s="259"/>
      <c r="H11" s="259"/>
      <c r="I11" s="259"/>
      <c r="J11" s="259"/>
      <c r="K11" s="259"/>
    </row>
    <row r="12" spans="1:11">
      <c r="A12" s="270"/>
      <c r="B12" s="275"/>
      <c r="C12" s="258"/>
      <c r="D12" s="259"/>
      <c r="E12" s="259"/>
      <c r="F12" s="259"/>
      <c r="G12" s="259"/>
      <c r="H12" s="259"/>
      <c r="I12" s="259"/>
      <c r="J12" s="259"/>
      <c r="K12" s="259"/>
    </row>
    <row r="13" spans="1:11">
      <c r="A13" s="270"/>
      <c r="B13" s="275"/>
      <c r="C13" s="258"/>
      <c r="D13" s="259"/>
      <c r="E13" s="259"/>
      <c r="F13" s="259"/>
      <c r="G13" s="259"/>
      <c r="H13" s="259"/>
      <c r="I13" s="259"/>
      <c r="J13" s="259"/>
      <c r="K13" s="259"/>
    </row>
    <row r="14" spans="1:11">
      <c r="A14" s="270"/>
      <c r="B14" s="275"/>
      <c r="C14" s="258"/>
      <c r="D14" s="259"/>
      <c r="E14" s="259"/>
      <c r="F14" s="259"/>
      <c r="G14" s="259"/>
      <c r="H14" s="259"/>
      <c r="I14" s="259"/>
      <c r="J14" s="259"/>
      <c r="K14" s="259"/>
    </row>
    <row r="15" spans="1:11">
      <c r="A15" s="270"/>
      <c r="B15" s="275"/>
      <c r="C15" s="258"/>
      <c r="D15" s="259"/>
      <c r="E15" s="259"/>
      <c r="F15" s="259"/>
      <c r="G15" s="259"/>
      <c r="H15" s="259"/>
      <c r="I15" s="259"/>
      <c r="J15" s="259"/>
      <c r="K15" s="259"/>
    </row>
    <row r="16" spans="1:11">
      <c r="A16" s="270"/>
      <c r="B16" s="275"/>
      <c r="C16" s="258"/>
      <c r="D16" s="259"/>
      <c r="E16" s="259"/>
      <c r="F16" s="259"/>
      <c r="G16" s="259"/>
      <c r="H16" s="259"/>
      <c r="I16" s="259"/>
      <c r="J16" s="259"/>
      <c r="K16" s="259"/>
    </row>
    <row r="17" spans="1:11">
      <c r="A17" s="270"/>
      <c r="B17" s="275"/>
      <c r="C17" s="258"/>
      <c r="D17" s="259"/>
      <c r="E17" s="259"/>
      <c r="F17" s="259"/>
      <c r="G17" s="259"/>
      <c r="H17" s="259"/>
      <c r="I17" s="259"/>
      <c r="J17" s="259"/>
      <c r="K17" s="259"/>
    </row>
    <row r="18" spans="1:11">
      <c r="A18" s="270"/>
      <c r="B18" s="275"/>
      <c r="C18" s="258"/>
      <c r="D18" s="259"/>
      <c r="E18" s="259"/>
      <c r="F18" s="259"/>
      <c r="G18" s="259"/>
      <c r="H18" s="259"/>
      <c r="I18" s="259"/>
      <c r="J18" s="259"/>
      <c r="K18" s="259"/>
    </row>
    <row r="19" spans="1:11">
      <c r="A19" s="270"/>
      <c r="B19" s="275"/>
      <c r="C19" s="258"/>
      <c r="D19" s="259"/>
      <c r="E19" s="259"/>
      <c r="F19" s="259"/>
      <c r="G19" s="259"/>
      <c r="H19" s="259"/>
      <c r="I19" s="259"/>
      <c r="J19" s="259"/>
      <c r="K19" s="259"/>
    </row>
    <row r="20" spans="1:11">
      <c r="A20" s="270"/>
      <c r="B20" s="275"/>
      <c r="C20" s="258"/>
      <c r="D20" s="259"/>
      <c r="E20" s="259"/>
      <c r="F20" s="259"/>
      <c r="G20" s="259"/>
      <c r="H20" s="259"/>
      <c r="I20" s="259"/>
      <c r="J20" s="259"/>
      <c r="K20" s="259"/>
    </row>
    <row r="21" spans="1:11">
      <c r="A21" s="270"/>
      <c r="B21" s="275"/>
      <c r="C21" s="258"/>
      <c r="D21" s="259"/>
      <c r="E21" s="259"/>
      <c r="F21" s="259"/>
      <c r="G21" s="259"/>
      <c r="H21" s="259"/>
      <c r="I21" s="259"/>
      <c r="J21" s="259"/>
      <c r="K21" s="259"/>
    </row>
    <row r="22" spans="1:11">
      <c r="A22" s="270"/>
      <c r="B22" s="275"/>
      <c r="C22" s="258"/>
      <c r="D22" s="259"/>
      <c r="E22" s="259"/>
      <c r="F22" s="259"/>
      <c r="G22" s="259"/>
      <c r="H22" s="259"/>
      <c r="I22" s="259"/>
      <c r="J22" s="259"/>
      <c r="K22" s="259"/>
    </row>
    <row r="23" spans="1:11">
      <c r="A23" s="270"/>
      <c r="B23" s="275"/>
      <c r="C23" s="258"/>
      <c r="D23" s="259"/>
      <c r="E23" s="259"/>
      <c r="F23" s="259"/>
      <c r="G23" s="259"/>
      <c r="H23" s="259"/>
      <c r="I23" s="259"/>
      <c r="J23" s="259"/>
      <c r="K23" s="259"/>
    </row>
    <row r="24" spans="1:11">
      <c r="A24" s="270"/>
      <c r="B24" s="275"/>
      <c r="C24" s="258"/>
      <c r="D24" s="259"/>
      <c r="E24" s="259"/>
      <c r="F24" s="259"/>
      <c r="G24" s="259"/>
      <c r="H24" s="259"/>
      <c r="I24" s="259"/>
      <c r="J24" s="259"/>
      <c r="K24" s="259"/>
    </row>
    <row r="25" spans="1:11">
      <c r="A25" s="270"/>
      <c r="B25" s="275"/>
      <c r="C25" s="258"/>
      <c r="D25" s="259"/>
      <c r="E25" s="259"/>
      <c r="F25" s="259"/>
      <c r="G25" s="259"/>
      <c r="H25" s="259"/>
      <c r="I25" s="259"/>
      <c r="J25" s="259"/>
      <c r="K25" s="259"/>
    </row>
    <row r="26" spans="1:11">
      <c r="A26" s="270"/>
      <c r="B26" s="275"/>
      <c r="C26" s="258"/>
      <c r="D26" s="259"/>
      <c r="E26" s="259"/>
      <c r="F26" s="259"/>
      <c r="G26" s="259"/>
      <c r="H26" s="259"/>
      <c r="I26" s="259"/>
      <c r="J26" s="259"/>
      <c r="K26" s="259"/>
    </row>
    <row r="27" spans="1:11">
      <c r="A27" s="270"/>
      <c r="B27" s="275"/>
      <c r="C27" s="258"/>
      <c r="D27" s="259"/>
      <c r="E27" s="259"/>
      <c r="F27" s="259"/>
      <c r="G27" s="259"/>
      <c r="H27" s="259"/>
      <c r="I27" s="259"/>
      <c r="J27" s="259"/>
      <c r="K27" s="259"/>
    </row>
    <row r="28" spans="1:11">
      <c r="A28" s="270"/>
      <c r="B28" s="275"/>
      <c r="C28" s="258"/>
      <c r="D28" s="259"/>
      <c r="E28" s="259"/>
      <c r="F28" s="259"/>
      <c r="G28" s="259"/>
      <c r="H28" s="259"/>
      <c r="I28" s="259"/>
      <c r="J28" s="259"/>
      <c r="K28" s="259"/>
    </row>
    <row r="29" spans="1:11" hidden="1">
      <c r="A29" s="270"/>
      <c r="B29" s="275"/>
      <c r="C29" s="258"/>
      <c r="D29" s="259"/>
      <c r="E29" s="259"/>
      <c r="F29" s="259"/>
      <c r="G29" s="259"/>
      <c r="H29" s="259"/>
      <c r="I29" s="259"/>
      <c r="J29" s="259"/>
      <c r="K29" s="259"/>
    </row>
    <row r="30" spans="1:11" hidden="1">
      <c r="A30" s="270"/>
      <c r="B30" s="275"/>
      <c r="C30" s="258"/>
      <c r="D30" s="259"/>
      <c r="E30" s="259"/>
      <c r="F30" s="259"/>
      <c r="G30" s="259"/>
      <c r="H30" s="259"/>
      <c r="I30" s="259"/>
      <c r="J30" s="259"/>
      <c r="K30" s="259"/>
    </row>
    <row r="31" spans="1:11">
      <c r="A31" s="270"/>
      <c r="B31" s="275"/>
      <c r="C31" s="258"/>
      <c r="D31" s="259"/>
      <c r="E31" s="259"/>
      <c r="F31" s="259"/>
      <c r="G31" s="259"/>
      <c r="H31" s="259"/>
      <c r="I31" s="259"/>
      <c r="J31" s="259"/>
      <c r="K31" s="259"/>
    </row>
    <row r="32" spans="1:11">
      <c r="A32" s="270"/>
      <c r="B32" s="275"/>
      <c r="C32" s="258"/>
      <c r="D32" s="259"/>
      <c r="E32" s="259"/>
      <c r="F32" s="259"/>
      <c r="G32" s="259"/>
      <c r="H32" s="259"/>
      <c r="I32" s="259"/>
      <c r="J32" s="259"/>
      <c r="K32" s="259"/>
    </row>
    <row r="33" spans="1:11">
      <c r="A33" s="270"/>
      <c r="B33" s="275"/>
      <c r="C33" s="258"/>
      <c r="D33" s="259"/>
      <c r="E33" s="259"/>
      <c r="F33" s="259"/>
      <c r="G33" s="259"/>
      <c r="H33" s="259"/>
      <c r="I33" s="259"/>
      <c r="J33" s="259"/>
      <c r="K33" s="259"/>
    </row>
    <row r="34" spans="1:11">
      <c r="A34" s="270"/>
      <c r="B34" s="275"/>
      <c r="C34" s="258"/>
      <c r="D34" s="259"/>
      <c r="E34" s="259"/>
      <c r="F34" s="259"/>
      <c r="G34" s="259"/>
      <c r="H34" s="259"/>
      <c r="I34" s="259"/>
      <c r="J34" s="259"/>
      <c r="K34" s="259"/>
    </row>
    <row r="35" spans="1:11">
      <c r="A35" s="270"/>
      <c r="B35" s="275"/>
      <c r="C35" s="258"/>
      <c r="D35" s="259"/>
      <c r="E35" s="259"/>
      <c r="F35" s="259"/>
      <c r="G35" s="259"/>
      <c r="H35" s="259"/>
      <c r="I35" s="259"/>
      <c r="J35" s="259"/>
      <c r="K35" s="259"/>
    </row>
    <row r="36" spans="1:11">
      <c r="A36" s="270"/>
      <c r="B36" s="275"/>
      <c r="C36" s="258"/>
      <c r="D36" s="259"/>
      <c r="E36" s="259"/>
      <c r="F36" s="259"/>
      <c r="G36" s="259"/>
      <c r="H36" s="259"/>
      <c r="I36" s="259"/>
      <c r="J36" s="259"/>
      <c r="K36" s="259"/>
    </row>
    <row r="37" spans="1:11">
      <c r="A37" s="270"/>
      <c r="B37" s="275"/>
      <c r="C37" s="258"/>
      <c r="D37" s="259"/>
      <c r="E37" s="259"/>
      <c r="F37" s="259"/>
      <c r="G37" s="259"/>
      <c r="H37" s="259"/>
      <c r="I37" s="259"/>
      <c r="J37" s="259"/>
      <c r="K37" s="259"/>
    </row>
    <row r="38" spans="1:11">
      <c r="A38" s="270"/>
      <c r="B38" s="275"/>
      <c r="C38" s="258"/>
      <c r="D38" s="259"/>
      <c r="E38" s="259"/>
      <c r="F38" s="259"/>
      <c r="G38" s="259"/>
      <c r="H38" s="259"/>
      <c r="I38" s="259"/>
      <c r="J38" s="259"/>
      <c r="K38" s="259"/>
    </row>
    <row r="39" spans="1:11">
      <c r="A39" s="270"/>
      <c r="B39" s="275"/>
      <c r="C39" s="258"/>
      <c r="D39" s="259"/>
      <c r="E39" s="259"/>
      <c r="F39" s="259"/>
      <c r="G39" s="259"/>
      <c r="H39" s="259"/>
      <c r="I39" s="259"/>
      <c r="J39" s="259"/>
      <c r="K39" s="259"/>
    </row>
    <row r="40" spans="1:11">
      <c r="A40" s="270"/>
      <c r="B40" s="275"/>
      <c r="C40" s="258"/>
      <c r="D40" s="259"/>
      <c r="E40" s="259"/>
      <c r="F40" s="259"/>
      <c r="G40" s="259"/>
      <c r="H40" s="259"/>
      <c r="I40" s="259"/>
      <c r="J40" s="259"/>
      <c r="K40" s="259"/>
    </row>
    <row r="41" spans="1:11">
      <c r="A41" s="270"/>
      <c r="B41" s="275"/>
      <c r="C41" s="258"/>
      <c r="D41" s="259"/>
      <c r="E41" s="259"/>
      <c r="F41" s="259"/>
      <c r="G41" s="259"/>
      <c r="H41" s="259"/>
      <c r="I41" s="259"/>
      <c r="J41" s="259"/>
      <c r="K41" s="259"/>
    </row>
    <row r="42" spans="1:11">
      <c r="A42" s="270"/>
      <c r="B42" s="275"/>
      <c r="C42" s="258"/>
      <c r="D42" s="259"/>
      <c r="E42" s="259"/>
      <c r="F42" s="259"/>
      <c r="G42" s="259"/>
      <c r="H42" s="259"/>
      <c r="I42" s="259"/>
      <c r="J42" s="259"/>
      <c r="K42" s="259"/>
    </row>
    <row r="43" spans="1:11">
      <c r="A43" s="270"/>
      <c r="B43" s="275"/>
      <c r="C43" s="258"/>
      <c r="D43" s="259"/>
      <c r="E43" s="259"/>
      <c r="F43" s="259"/>
      <c r="G43" s="259"/>
      <c r="H43" s="259"/>
      <c r="I43" s="259"/>
      <c r="J43" s="259"/>
      <c r="K43" s="259"/>
    </row>
    <row r="44" spans="1:11">
      <c r="A44" s="270"/>
      <c r="B44" s="275"/>
      <c r="C44" s="258"/>
      <c r="D44" s="259"/>
      <c r="E44" s="259"/>
      <c r="F44" s="259"/>
      <c r="G44" s="259"/>
      <c r="H44" s="259"/>
      <c r="I44" s="259"/>
      <c r="J44" s="259"/>
      <c r="K44" s="259"/>
    </row>
    <row r="45" spans="1:11">
      <c r="A45" s="270"/>
      <c r="B45" s="275"/>
      <c r="C45" s="258"/>
      <c r="D45" s="259"/>
      <c r="E45" s="259"/>
      <c r="F45" s="259"/>
      <c r="G45" s="259"/>
      <c r="H45" s="259"/>
      <c r="I45" s="259"/>
      <c r="J45" s="259"/>
      <c r="K45" s="259"/>
    </row>
    <row r="46" spans="1:11">
      <c r="A46" s="270"/>
      <c r="B46" s="275"/>
      <c r="C46" s="258"/>
      <c r="D46" s="259"/>
      <c r="E46" s="259"/>
      <c r="F46" s="259"/>
      <c r="G46" s="259"/>
      <c r="H46" s="259"/>
      <c r="I46" s="259"/>
      <c r="J46" s="259"/>
      <c r="K46" s="259"/>
    </row>
    <row r="47" spans="1:11">
      <c r="A47" s="270"/>
      <c r="B47" s="275"/>
      <c r="C47" s="258"/>
      <c r="D47" s="259"/>
      <c r="E47" s="259"/>
      <c r="F47" s="259"/>
      <c r="G47" s="259"/>
      <c r="H47" s="259"/>
      <c r="I47" s="259"/>
      <c r="J47" s="259"/>
      <c r="K47" s="259"/>
    </row>
    <row r="48" spans="1:11" hidden="1">
      <c r="A48" s="270"/>
      <c r="B48" s="275"/>
      <c r="C48" s="258"/>
      <c r="D48" s="259"/>
      <c r="E48" s="259"/>
      <c r="F48" s="259"/>
      <c r="G48" s="259"/>
      <c r="H48" s="259"/>
      <c r="I48" s="259"/>
      <c r="J48" s="259"/>
      <c r="K48" s="259"/>
    </row>
    <row r="49" spans="1:11">
      <c r="A49" s="270"/>
      <c r="B49" s="275"/>
      <c r="C49" s="258"/>
      <c r="D49" s="259"/>
      <c r="E49" s="259"/>
      <c r="F49" s="259"/>
      <c r="G49" s="259"/>
      <c r="H49" s="259"/>
      <c r="I49" s="259"/>
      <c r="J49" s="259"/>
      <c r="K49" s="259"/>
    </row>
    <row r="50" spans="1:11">
      <c r="A50" s="270"/>
      <c r="B50" s="275"/>
      <c r="C50" s="258"/>
      <c r="D50" s="259"/>
      <c r="E50" s="259"/>
      <c r="F50" s="259"/>
      <c r="G50" s="259"/>
      <c r="H50" s="259"/>
      <c r="I50" s="259"/>
      <c r="J50" s="259"/>
      <c r="K50" s="259"/>
    </row>
    <row r="51" spans="1:11">
      <c r="A51" s="270"/>
      <c r="B51" s="275"/>
      <c r="C51" s="258"/>
      <c r="D51" s="259"/>
      <c r="E51" s="259"/>
      <c r="F51" s="259"/>
      <c r="G51" s="259"/>
      <c r="H51" s="259"/>
      <c r="I51" s="259"/>
      <c r="J51" s="259"/>
      <c r="K51" s="259"/>
    </row>
    <row r="52" spans="1:11">
      <c r="A52" s="270"/>
      <c r="B52" s="275"/>
      <c r="C52" s="258"/>
      <c r="D52" s="259"/>
      <c r="E52" s="259"/>
      <c r="F52" s="259"/>
      <c r="G52" s="259"/>
      <c r="H52" s="259"/>
      <c r="I52" s="259"/>
      <c r="J52" s="259"/>
      <c r="K52" s="259"/>
    </row>
    <row r="53" spans="1:11">
      <c r="C53" s="257"/>
    </row>
    <row r="54" spans="1:11">
      <c r="C54" s="257"/>
    </row>
    <row r="55" spans="1:11">
      <c r="C55" s="257"/>
    </row>
    <row r="56" spans="1:11">
      <c r="C56" s="257"/>
    </row>
    <row r="57" spans="1:11">
      <c r="C57" s="257"/>
    </row>
    <row r="58" spans="1:11">
      <c r="C58" s="257"/>
    </row>
    <row r="59" spans="1:11">
      <c r="C59" s="257"/>
    </row>
    <row r="60" spans="1:11">
      <c r="C60" s="257"/>
    </row>
    <row r="61" spans="1:11">
      <c r="C61" s="257"/>
    </row>
    <row r="62" spans="1:11">
      <c r="C62" s="257"/>
    </row>
    <row r="63" spans="1:11">
      <c r="C63" s="257"/>
    </row>
    <row r="64" spans="1:11">
      <c r="C64" s="257"/>
    </row>
    <row r="65" spans="3:3">
      <c r="C65" s="257"/>
    </row>
    <row r="66" spans="3:3">
      <c r="C66" s="257"/>
    </row>
    <row r="67" spans="3:3">
      <c r="C67" s="257"/>
    </row>
    <row r="68" spans="3:3">
      <c r="C68" s="257"/>
    </row>
    <row r="69" spans="3:3">
      <c r="C69" s="257"/>
    </row>
    <row r="70" spans="3:3">
      <c r="C70" s="257"/>
    </row>
    <row r="71" spans="3:3">
      <c r="C71" s="257"/>
    </row>
    <row r="72" spans="3:3">
      <c r="C72" s="257"/>
    </row>
    <row r="73" spans="3:3">
      <c r="C73" s="257"/>
    </row>
    <row r="74" spans="3:3">
      <c r="C74" s="257"/>
    </row>
    <row r="75" spans="3:3">
      <c r="C75" s="257"/>
    </row>
    <row r="76" spans="3:3">
      <c r="C76" s="257"/>
    </row>
    <row r="77" spans="3:3">
      <c r="C77" s="257"/>
    </row>
    <row r="78" spans="3:3">
      <c r="C78" s="257"/>
    </row>
    <row r="79" spans="3:3">
      <c r="C79" s="257"/>
    </row>
    <row r="80" spans="3:3">
      <c r="C80" s="257"/>
    </row>
    <row r="81" spans="3:3">
      <c r="C81" s="257"/>
    </row>
    <row r="82" spans="3:3">
      <c r="C82" s="257"/>
    </row>
    <row r="83" spans="3:3">
      <c r="C83" s="257"/>
    </row>
    <row r="84" spans="3:3">
      <c r="C84" s="257"/>
    </row>
    <row r="85" spans="3:3">
      <c r="C85" s="257"/>
    </row>
    <row r="86" spans="3:3">
      <c r="C86" s="257"/>
    </row>
    <row r="87" spans="3:3">
      <c r="C87" s="257"/>
    </row>
    <row r="88" spans="3:3">
      <c r="C88" s="257"/>
    </row>
    <row r="89" spans="3:3">
      <c r="C89" s="257"/>
    </row>
    <row r="90" spans="3:3">
      <c r="C90" s="257"/>
    </row>
    <row r="91" spans="3:3">
      <c r="C91" s="257"/>
    </row>
    <row r="92" spans="3:3">
      <c r="C92" s="257"/>
    </row>
    <row r="93" spans="3:3">
      <c r="C93" s="257"/>
    </row>
    <row r="94" spans="3:3">
      <c r="C94" s="257"/>
    </row>
    <row r="95" spans="3:3">
      <c r="C95" s="257"/>
    </row>
    <row r="96" spans="3:3">
      <c r="C96" s="257"/>
    </row>
    <row r="97" spans="3:3">
      <c r="C97" s="257"/>
    </row>
    <row r="98" spans="3:3">
      <c r="C98" s="257"/>
    </row>
    <row r="99" spans="3:3">
      <c r="C99" s="257"/>
    </row>
    <row r="100" spans="3:3">
      <c r="C100" s="257"/>
    </row>
    <row r="101" spans="3:3">
      <c r="C101" s="257"/>
    </row>
    <row r="102" spans="3:3">
      <c r="C102" s="257"/>
    </row>
    <row r="103" spans="3:3">
      <c r="C103" s="257"/>
    </row>
    <row r="104" spans="3:3">
      <c r="C104" s="257"/>
    </row>
    <row r="105" spans="3:3">
      <c r="C105" s="257"/>
    </row>
    <row r="106" spans="3:3">
      <c r="C106" s="257"/>
    </row>
    <row r="107" spans="3:3">
      <c r="C107" s="257"/>
    </row>
    <row r="108" spans="3:3">
      <c r="C108" s="257"/>
    </row>
    <row r="109" spans="3:3">
      <c r="C109" s="257"/>
    </row>
    <row r="110" spans="3:3">
      <c r="C110" s="257"/>
    </row>
    <row r="111" spans="3:3">
      <c r="C111" s="257"/>
    </row>
    <row r="112" spans="3:3">
      <c r="C112" s="257"/>
    </row>
    <row r="113" spans="3:3">
      <c r="C113" s="257"/>
    </row>
    <row r="114" spans="3:3">
      <c r="C114" s="257"/>
    </row>
    <row r="115" spans="3:3">
      <c r="C115" s="257"/>
    </row>
    <row r="116" spans="3:3">
      <c r="C116" s="257"/>
    </row>
    <row r="117" spans="3:3">
      <c r="C117" s="257"/>
    </row>
    <row r="118" spans="3:3">
      <c r="C118" s="257"/>
    </row>
    <row r="119" spans="3:3">
      <c r="C119" s="257"/>
    </row>
    <row r="120" spans="3:3">
      <c r="C120" s="257"/>
    </row>
    <row r="121" spans="3:3">
      <c r="C121" s="257"/>
    </row>
    <row r="122" spans="3:3">
      <c r="C122" s="257"/>
    </row>
    <row r="123" spans="3:3">
      <c r="C123" s="257"/>
    </row>
    <row r="124" spans="3:3">
      <c r="C124" s="257"/>
    </row>
    <row r="125" spans="3:3">
      <c r="C125" s="257"/>
    </row>
    <row r="126" spans="3:3">
      <c r="C126" s="257"/>
    </row>
    <row r="127" spans="3:3">
      <c r="C127" s="257"/>
    </row>
    <row r="128" spans="3:3">
      <c r="C128" s="257"/>
    </row>
    <row r="129" spans="3:3">
      <c r="C129" s="257"/>
    </row>
    <row r="130" spans="3:3">
      <c r="C130" s="257"/>
    </row>
    <row r="131" spans="3:3">
      <c r="C131" s="257"/>
    </row>
    <row r="132" spans="3:3">
      <c r="C132" s="257"/>
    </row>
    <row r="133" spans="3:3">
      <c r="C133" s="257"/>
    </row>
    <row r="134" spans="3:3">
      <c r="C134" s="257"/>
    </row>
    <row r="135" spans="3:3">
      <c r="C135" s="257"/>
    </row>
    <row r="136" spans="3:3">
      <c r="C136" s="257"/>
    </row>
    <row r="137" spans="3:3">
      <c r="C137" s="257"/>
    </row>
    <row r="138" spans="3:3">
      <c r="C138" s="257"/>
    </row>
    <row r="139" spans="3:3">
      <c r="C139" s="257"/>
    </row>
    <row r="140" spans="3:3">
      <c r="C140" s="257"/>
    </row>
    <row r="141" spans="3:3">
      <c r="C141" s="257"/>
    </row>
    <row r="142" spans="3:3">
      <c r="C142" s="257"/>
    </row>
    <row r="143" spans="3:3">
      <c r="C143" s="257"/>
    </row>
    <row r="144" spans="3:3">
      <c r="C144" s="257"/>
    </row>
    <row r="145" spans="3:3">
      <c r="C145" s="257"/>
    </row>
    <row r="146" spans="3:3">
      <c r="C146" s="257"/>
    </row>
    <row r="147" spans="3:3">
      <c r="C147" s="257"/>
    </row>
    <row r="148" spans="3:3">
      <c r="C148" s="257"/>
    </row>
    <row r="149" spans="3:3">
      <c r="C149" s="257"/>
    </row>
    <row r="150" spans="3:3">
      <c r="C150" s="257"/>
    </row>
    <row r="151" spans="3:3">
      <c r="C151" s="257"/>
    </row>
    <row r="152" spans="3:3">
      <c r="C152" s="257"/>
    </row>
    <row r="153" spans="3:3">
      <c r="C153" s="257"/>
    </row>
    <row r="154" spans="3:3">
      <c r="C154" s="257"/>
    </row>
    <row r="155" spans="3:3">
      <c r="C155" s="257"/>
    </row>
    <row r="156" spans="3:3">
      <c r="C156" s="257"/>
    </row>
    <row r="157" spans="3:3">
      <c r="C157" s="257"/>
    </row>
    <row r="158" spans="3:3">
      <c r="C158" s="257"/>
    </row>
    <row r="159" spans="3:3">
      <c r="C159" s="257"/>
    </row>
    <row r="160" spans="3:3">
      <c r="C160" s="257"/>
    </row>
    <row r="161" spans="3:3">
      <c r="C161" s="257"/>
    </row>
    <row r="162" spans="3:3">
      <c r="C162" s="257"/>
    </row>
    <row r="163" spans="3:3">
      <c r="C163" s="257"/>
    </row>
    <row r="164" spans="3:3">
      <c r="C164" s="257"/>
    </row>
    <row r="165" spans="3:3">
      <c r="C165" s="257"/>
    </row>
    <row r="166" spans="3:3">
      <c r="C166" s="257"/>
    </row>
    <row r="167" spans="3:3">
      <c r="C167" s="257"/>
    </row>
    <row r="168" spans="3:3">
      <c r="C168" s="257"/>
    </row>
    <row r="169" spans="3:3">
      <c r="C169" s="257"/>
    </row>
    <row r="170" spans="3:3">
      <c r="C170" s="257"/>
    </row>
    <row r="171" spans="3:3">
      <c r="C171" s="257"/>
    </row>
    <row r="172" spans="3:3">
      <c r="C172" s="257"/>
    </row>
    <row r="173" spans="3:3">
      <c r="C173" s="257"/>
    </row>
    <row r="174" spans="3:3">
      <c r="C174" s="257"/>
    </row>
    <row r="175" spans="3:3">
      <c r="C175" s="257"/>
    </row>
    <row r="176" spans="3:3">
      <c r="C176" s="257"/>
    </row>
    <row r="177" spans="3:3">
      <c r="C177" s="257"/>
    </row>
    <row r="178" spans="3:3">
      <c r="C178" s="257"/>
    </row>
  </sheetData>
  <autoFilter ref="A2:B2" xr:uid="{00000000-0009-0000-0000-000001000000}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33"/>
  <sheetViews>
    <sheetView workbookViewId="0">
      <selection activeCell="B12" sqref="B12"/>
    </sheetView>
  </sheetViews>
  <sheetFormatPr defaultColWidth="11.42578125" defaultRowHeight="12.75"/>
  <cols>
    <col min="1" max="1" width="17.85546875" bestFit="1" customWidth="1"/>
    <col min="2" max="2" width="29.140625" bestFit="1" customWidth="1"/>
  </cols>
  <sheetData>
    <row r="1" spans="1:2">
      <c r="A1" s="263" t="s">
        <v>12</v>
      </c>
      <c r="B1" t="s">
        <v>16</v>
      </c>
    </row>
    <row r="2" spans="1:2">
      <c r="A2" s="263" t="s">
        <v>2</v>
      </c>
      <c r="B2" t="s">
        <v>17</v>
      </c>
    </row>
    <row r="4" spans="1:2">
      <c r="A4" s="263" t="s">
        <v>18</v>
      </c>
      <c r="B4" t="s">
        <v>19</v>
      </c>
    </row>
    <row r="5" spans="1:2">
      <c r="A5" s="274" t="s">
        <v>20</v>
      </c>
    </row>
    <row r="31" spans="1:2">
      <c r="A31" s="263" t="s">
        <v>12</v>
      </c>
      <c r="B31" t="s">
        <v>21</v>
      </c>
    </row>
    <row r="33" spans="1:1">
      <c r="A33" t="s">
        <v>19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2:C16"/>
  <sheetViews>
    <sheetView topLeftCell="D1" workbookViewId="0">
      <selection activeCell="L10" sqref="L10"/>
    </sheetView>
  </sheetViews>
  <sheetFormatPr defaultColWidth="11.42578125" defaultRowHeight="12.75"/>
  <cols>
    <col min="1" max="1" width="17.85546875" customWidth="1"/>
    <col min="2" max="2" width="29.7109375" customWidth="1"/>
    <col min="3" max="3" width="31.7109375" customWidth="1"/>
    <col min="4" max="4" width="28.42578125" bestFit="1" customWidth="1"/>
    <col min="5" max="5" width="21.7109375" bestFit="1" customWidth="1"/>
    <col min="6" max="6" width="19.140625" bestFit="1" customWidth="1"/>
    <col min="7" max="7" width="31.28515625" bestFit="1" customWidth="1"/>
    <col min="8" max="8" width="11.7109375" bestFit="1" customWidth="1"/>
    <col min="9" max="9" width="7.140625" customWidth="1"/>
    <col min="10" max="10" width="16.5703125" bestFit="1" customWidth="1"/>
    <col min="11" max="11" width="22.85546875" bestFit="1" customWidth="1"/>
    <col min="12" max="12" width="24" bestFit="1" customWidth="1"/>
    <col min="13" max="13" width="19.28515625" bestFit="1" customWidth="1"/>
    <col min="14" max="14" width="27.140625" bestFit="1" customWidth="1"/>
    <col min="15" max="15" width="22.42578125" bestFit="1" customWidth="1"/>
    <col min="16" max="16" width="23.28515625" bestFit="1" customWidth="1"/>
    <col min="17" max="17" width="18.85546875" bestFit="1" customWidth="1"/>
    <col min="18" max="18" width="20.7109375" bestFit="1" customWidth="1"/>
    <col min="19" max="19" width="19.5703125" bestFit="1" customWidth="1"/>
    <col min="20" max="20" width="20.140625" bestFit="1" customWidth="1"/>
    <col min="21" max="21" width="15.7109375" bestFit="1" customWidth="1"/>
    <col min="22" max="22" width="15.140625" bestFit="1" customWidth="1"/>
    <col min="23" max="23" width="20.7109375" bestFit="1" customWidth="1"/>
    <col min="24" max="24" width="23.140625" bestFit="1" customWidth="1"/>
    <col min="25" max="25" width="18.140625" bestFit="1" customWidth="1"/>
    <col min="26" max="26" width="14" bestFit="1" customWidth="1"/>
    <col min="27" max="27" width="15.28515625" bestFit="1" customWidth="1"/>
    <col min="28" max="28" width="17.7109375" bestFit="1" customWidth="1"/>
    <col min="29" max="29" width="22.7109375" bestFit="1" customWidth="1"/>
    <col min="30" max="30" width="16.5703125" bestFit="1" customWidth="1"/>
    <col min="31" max="31" width="28.28515625" bestFit="1" customWidth="1"/>
    <col min="32" max="32" width="16.140625" bestFit="1" customWidth="1"/>
    <col min="33" max="33" width="25.85546875" bestFit="1" customWidth="1"/>
    <col min="34" max="34" width="27.28515625" bestFit="1" customWidth="1"/>
    <col min="35" max="35" width="20.140625" bestFit="1" customWidth="1"/>
    <col min="36" max="36" width="16.5703125" bestFit="1" customWidth="1"/>
    <col min="37" max="37" width="25.85546875" bestFit="1" customWidth="1"/>
    <col min="38" max="38" width="17.42578125" bestFit="1" customWidth="1"/>
    <col min="39" max="39" width="16.28515625" bestFit="1" customWidth="1"/>
    <col min="40" max="40" width="19.7109375" bestFit="1" customWidth="1"/>
    <col min="41" max="42" width="34.7109375" bestFit="1" customWidth="1"/>
    <col min="43" max="43" width="13.140625" bestFit="1" customWidth="1"/>
    <col min="44" max="44" width="13.85546875" bestFit="1" customWidth="1"/>
    <col min="45" max="45" width="12.85546875" bestFit="1" customWidth="1"/>
    <col min="46" max="46" width="13.28515625" bestFit="1" customWidth="1"/>
    <col min="47" max="47" width="19.7109375" bestFit="1" customWidth="1"/>
    <col min="48" max="48" width="29" bestFit="1" customWidth="1"/>
    <col min="49" max="49" width="31.7109375" bestFit="1" customWidth="1"/>
    <col min="50" max="50" width="13.140625" bestFit="1" customWidth="1"/>
    <col min="51" max="51" width="17.28515625" bestFit="1" customWidth="1"/>
    <col min="52" max="52" width="14.7109375" bestFit="1" customWidth="1"/>
    <col min="53" max="53" width="13.85546875" bestFit="1" customWidth="1"/>
    <col min="54" max="54" width="12.85546875" bestFit="1" customWidth="1"/>
    <col min="55" max="55" width="13.28515625" bestFit="1" customWidth="1"/>
    <col min="56" max="56" width="24.42578125" bestFit="1" customWidth="1"/>
    <col min="57" max="57" width="7.42578125" customWidth="1"/>
    <col min="58" max="58" width="22.5703125" bestFit="1" customWidth="1"/>
    <col min="59" max="59" width="25.5703125" bestFit="1" customWidth="1"/>
    <col min="60" max="60" width="11.85546875" bestFit="1" customWidth="1"/>
    <col min="61" max="61" width="10" customWidth="1"/>
    <col min="62" max="62" width="18.5703125" bestFit="1" customWidth="1"/>
    <col min="63" max="63" width="20" bestFit="1" customWidth="1"/>
    <col min="64" max="64" width="28.140625" bestFit="1" customWidth="1"/>
    <col min="65" max="65" width="36.42578125" bestFit="1" customWidth="1"/>
    <col min="66" max="66" width="12.5703125" bestFit="1" customWidth="1"/>
    <col min="67" max="67" width="39.28515625" bestFit="1" customWidth="1"/>
    <col min="68" max="68" width="12.28515625" bestFit="1" customWidth="1"/>
    <col min="69" max="69" width="20.140625" bestFit="1" customWidth="1"/>
    <col min="71" max="71" width="10.5703125" customWidth="1"/>
    <col min="72" max="72" width="8.42578125" customWidth="1"/>
    <col min="73" max="73" width="17" bestFit="1" customWidth="1"/>
    <col min="74" max="74" width="19.42578125" bestFit="1" customWidth="1"/>
    <col min="75" max="75" width="14" bestFit="1" customWidth="1"/>
    <col min="76" max="76" width="23.42578125" bestFit="1" customWidth="1"/>
    <col min="77" max="77" width="19.5703125" bestFit="1" customWidth="1"/>
    <col min="78" max="78" width="36.85546875" bestFit="1" customWidth="1"/>
    <col min="79" max="79" width="25.140625" bestFit="1" customWidth="1"/>
    <col min="80" max="80" width="34.140625" bestFit="1" customWidth="1"/>
    <col min="81" max="81" width="36.7109375" bestFit="1" customWidth="1"/>
    <col min="82" max="82" width="44" bestFit="1" customWidth="1"/>
    <col min="83" max="83" width="52.28515625" bestFit="1" customWidth="1"/>
    <col min="84" max="84" width="44" bestFit="1" customWidth="1"/>
    <col min="85" max="85" width="45" bestFit="1" customWidth="1"/>
    <col min="86" max="86" width="31" bestFit="1" customWidth="1"/>
    <col min="87" max="87" width="30.85546875" bestFit="1" customWidth="1"/>
    <col min="88" max="88" width="31" bestFit="1" customWidth="1"/>
    <col min="89" max="89" width="16.7109375" bestFit="1" customWidth="1"/>
    <col min="90" max="90" width="20.7109375" bestFit="1" customWidth="1"/>
    <col min="91" max="91" width="7.7109375" customWidth="1"/>
    <col min="92" max="92" width="15.5703125" bestFit="1" customWidth="1"/>
    <col min="93" max="93" width="29.85546875" bestFit="1" customWidth="1"/>
    <col min="94" max="94" width="20.42578125" bestFit="1" customWidth="1"/>
    <col min="95" max="95" width="18.28515625" bestFit="1" customWidth="1"/>
    <col min="96" max="96" width="28.7109375" bestFit="1" customWidth="1"/>
    <col min="97" max="97" width="24.7109375" bestFit="1" customWidth="1"/>
    <col min="98" max="98" width="23.140625" bestFit="1" customWidth="1"/>
    <col min="99" max="99" width="16.85546875" bestFit="1" customWidth="1"/>
    <col min="100" max="100" width="25.28515625" bestFit="1" customWidth="1"/>
    <col min="101" max="101" width="23.140625" bestFit="1" customWidth="1"/>
    <col min="102" max="102" width="20.85546875" bestFit="1" customWidth="1"/>
    <col min="103" max="103" width="31.28515625" bestFit="1" customWidth="1"/>
    <col min="104" max="104" width="27" bestFit="1" customWidth="1"/>
    <col min="105" max="105" width="15.28515625" bestFit="1" customWidth="1"/>
    <col min="107" max="107" width="10.85546875" customWidth="1"/>
    <col min="108" max="108" width="30.42578125" bestFit="1" customWidth="1"/>
    <col min="109" max="109" width="24.140625" bestFit="1" customWidth="1"/>
    <col min="110" max="110" width="23" bestFit="1" customWidth="1"/>
    <col min="111" max="111" width="21.5703125" bestFit="1" customWidth="1"/>
    <col min="112" max="112" width="18.28515625" bestFit="1" customWidth="1"/>
    <col min="113" max="113" width="11.28515625" customWidth="1"/>
    <col min="114" max="114" width="19.85546875" bestFit="1" customWidth="1"/>
    <col min="115" max="115" width="22.42578125" bestFit="1" customWidth="1"/>
    <col min="116" max="116" width="19.28515625" bestFit="1" customWidth="1"/>
    <col min="117" max="117" width="22.140625" bestFit="1" customWidth="1"/>
    <col min="118" max="118" width="16.7109375" bestFit="1" customWidth="1"/>
    <col min="119" max="119" width="18" bestFit="1" customWidth="1"/>
    <col min="120" max="120" width="28.7109375" bestFit="1" customWidth="1"/>
    <col min="121" max="121" width="7" customWidth="1"/>
    <col min="122" max="122" width="20.28515625" bestFit="1" customWidth="1"/>
    <col min="123" max="123" width="19.7109375" bestFit="1" customWidth="1"/>
    <col min="124" max="124" width="33" bestFit="1" customWidth="1"/>
    <col min="125" max="125" width="13.5703125" bestFit="1" customWidth="1"/>
    <col min="126" max="126" width="19" bestFit="1" customWidth="1"/>
    <col min="127" max="127" width="26.140625" bestFit="1" customWidth="1"/>
    <col min="128" max="128" width="13" bestFit="1" customWidth="1"/>
    <col min="129" max="129" width="26.85546875" bestFit="1" customWidth="1"/>
    <col min="130" max="130" width="22.85546875" bestFit="1" customWidth="1"/>
    <col min="131" max="131" width="24.5703125" bestFit="1" customWidth="1"/>
    <col min="132" max="135" width="34.42578125" bestFit="1" customWidth="1"/>
    <col min="136" max="136" width="17.140625" bestFit="1" customWidth="1"/>
    <col min="137" max="137" width="26.7109375" bestFit="1" customWidth="1"/>
    <col min="138" max="138" width="17" bestFit="1" customWidth="1"/>
    <col min="139" max="139" width="31" bestFit="1" customWidth="1"/>
    <col min="140" max="140" width="12.42578125" bestFit="1" customWidth="1"/>
    <col min="141" max="141" width="18.7109375" bestFit="1" customWidth="1"/>
    <col min="142" max="142" width="20.7109375" bestFit="1" customWidth="1"/>
    <col min="143" max="143" width="30.85546875" bestFit="1" customWidth="1"/>
    <col min="144" max="144" width="19.5703125" bestFit="1" customWidth="1"/>
    <col min="145" max="145" width="21.85546875" bestFit="1" customWidth="1"/>
    <col min="146" max="146" width="22.42578125" bestFit="1" customWidth="1"/>
    <col min="147" max="147" width="29.28515625" bestFit="1" customWidth="1"/>
    <col min="148" max="148" width="29.140625" bestFit="1" customWidth="1"/>
    <col min="149" max="149" width="50.140625" bestFit="1" customWidth="1"/>
    <col min="150" max="150" width="51.42578125" bestFit="1" customWidth="1"/>
    <col min="151" max="151" width="50.140625" bestFit="1" customWidth="1"/>
    <col min="152" max="152" width="29.7109375" bestFit="1" customWidth="1"/>
    <col min="153" max="153" width="32.42578125" bestFit="1" customWidth="1"/>
    <col min="154" max="154" width="33.5703125" bestFit="1" customWidth="1"/>
    <col min="155" max="155" width="30" bestFit="1" customWidth="1"/>
    <col min="156" max="156" width="31.28515625" bestFit="1" customWidth="1"/>
    <col min="157" max="157" width="30.42578125" bestFit="1" customWidth="1"/>
    <col min="158" max="158" width="28.85546875" bestFit="1" customWidth="1"/>
    <col min="159" max="159" width="27" bestFit="1" customWidth="1"/>
    <col min="160" max="160" width="28.28515625" bestFit="1" customWidth="1"/>
    <col min="161" max="161" width="17" bestFit="1" customWidth="1"/>
    <col min="162" max="162" width="37.7109375" bestFit="1" customWidth="1"/>
    <col min="163" max="163" width="16.85546875" bestFit="1" customWidth="1"/>
    <col min="164" max="164" width="17" bestFit="1" customWidth="1"/>
    <col min="165" max="165" width="14.5703125" bestFit="1" customWidth="1"/>
    <col min="166" max="166" width="17.85546875" bestFit="1" customWidth="1"/>
    <col min="167" max="167" width="19.85546875" bestFit="1" customWidth="1"/>
    <col min="168" max="168" width="21.42578125" bestFit="1" customWidth="1"/>
    <col min="169" max="169" width="30.7109375" bestFit="1" customWidth="1"/>
    <col min="170" max="170" width="14.28515625" bestFit="1" customWidth="1"/>
    <col min="171" max="171" width="16.28515625" bestFit="1" customWidth="1"/>
    <col min="172" max="172" width="40.85546875" bestFit="1" customWidth="1"/>
    <col min="173" max="173" width="25.140625" bestFit="1" customWidth="1"/>
    <col min="174" max="174" width="19.5703125" bestFit="1" customWidth="1"/>
    <col min="175" max="175" width="8.7109375" customWidth="1"/>
    <col min="176" max="176" width="19.140625" bestFit="1" customWidth="1"/>
    <col min="177" max="177" width="42" bestFit="1" customWidth="1"/>
    <col min="178" max="178" width="18.42578125" bestFit="1" customWidth="1"/>
    <col min="179" max="179" width="19.7109375" bestFit="1" customWidth="1"/>
    <col min="180" max="180" width="24.85546875" bestFit="1" customWidth="1"/>
    <col min="181" max="181" width="20.7109375" bestFit="1" customWidth="1"/>
    <col min="182" max="182" width="29.7109375" bestFit="1" customWidth="1"/>
    <col min="183" max="183" width="19" bestFit="1" customWidth="1"/>
    <col min="184" max="184" width="12.5703125" bestFit="1" customWidth="1"/>
    <col min="185" max="185" width="9.5703125" customWidth="1"/>
    <col min="186" max="186" width="20.42578125" bestFit="1" customWidth="1"/>
    <col min="187" max="187" width="25.85546875" bestFit="1" customWidth="1"/>
    <col min="188" max="188" width="29" bestFit="1" customWidth="1"/>
    <col min="189" max="189" width="26.140625" bestFit="1" customWidth="1"/>
    <col min="190" max="190" width="38.85546875" bestFit="1" customWidth="1"/>
    <col min="191" max="191" width="31.140625" bestFit="1" customWidth="1"/>
    <col min="192" max="192" width="33.28515625" bestFit="1" customWidth="1"/>
    <col min="193" max="193" width="42.5703125" bestFit="1" customWidth="1"/>
    <col min="194" max="194" width="29.85546875" bestFit="1" customWidth="1"/>
    <col min="195" max="195" width="30.42578125" bestFit="1" customWidth="1"/>
    <col min="196" max="196" width="28.42578125" bestFit="1" customWidth="1"/>
    <col min="197" max="197" width="23.85546875" bestFit="1" customWidth="1"/>
    <col min="198" max="198" width="39.5703125" bestFit="1" customWidth="1"/>
    <col min="199" max="199" width="35.140625" bestFit="1" customWidth="1"/>
    <col min="200" max="200" width="23.140625" bestFit="1" customWidth="1"/>
    <col min="201" max="201" width="35.7109375" bestFit="1" customWidth="1"/>
    <col min="202" max="202" width="30.140625" bestFit="1" customWidth="1"/>
    <col min="203" max="203" width="26.85546875" bestFit="1" customWidth="1"/>
    <col min="204" max="204" width="32.140625" bestFit="1" customWidth="1"/>
    <col min="205" max="205" width="21.85546875" bestFit="1" customWidth="1"/>
    <col min="206" max="206" width="19.28515625" bestFit="1" customWidth="1"/>
    <col min="207" max="207" width="6.7109375" customWidth="1"/>
    <col min="208" max="208" width="38" bestFit="1" customWidth="1"/>
    <col min="209" max="209" width="11.5703125" bestFit="1" customWidth="1"/>
    <col min="210" max="210" width="19.140625" bestFit="1" customWidth="1"/>
    <col min="211" max="211" width="14.42578125" bestFit="1" customWidth="1"/>
    <col min="212" max="212" width="14.140625" bestFit="1" customWidth="1"/>
    <col min="213" max="213" width="21.5703125" bestFit="1" customWidth="1"/>
    <col min="214" max="214" width="42.28515625" bestFit="1" customWidth="1"/>
    <col min="215" max="215" width="13.140625" bestFit="1" customWidth="1"/>
    <col min="216" max="216" width="16.85546875" bestFit="1" customWidth="1"/>
    <col min="217" max="217" width="16.42578125" bestFit="1" customWidth="1"/>
    <col min="218" max="218" width="23.7109375" bestFit="1" customWidth="1"/>
    <col min="219" max="219" width="22.85546875" bestFit="1" customWidth="1"/>
    <col min="220" max="220" width="6.85546875" customWidth="1"/>
    <col min="221" max="221" width="11.140625" customWidth="1"/>
    <col min="222" max="222" width="13.140625" bestFit="1" customWidth="1"/>
  </cols>
  <sheetData>
    <row r="2" spans="1:3">
      <c r="A2" s="263" t="s">
        <v>2</v>
      </c>
      <c r="B2" t="s">
        <v>16</v>
      </c>
    </row>
    <row r="4" spans="1:3">
      <c r="A4" s="263" t="s">
        <v>18</v>
      </c>
      <c r="B4" t="s">
        <v>22</v>
      </c>
      <c r="C4" t="s">
        <v>23</v>
      </c>
    </row>
    <row r="5" spans="1:3">
      <c r="A5" s="264" t="s">
        <v>24</v>
      </c>
      <c r="B5">
        <v>72807</v>
      </c>
      <c r="C5">
        <v>5690</v>
      </c>
    </row>
    <row r="6" spans="1:3">
      <c r="A6" s="264" t="s">
        <v>25</v>
      </c>
      <c r="B6">
        <v>71979.5</v>
      </c>
      <c r="C6">
        <v>920</v>
      </c>
    </row>
    <row r="7" spans="1:3">
      <c r="A7" s="264" t="s">
        <v>26</v>
      </c>
      <c r="B7">
        <v>73649.399999999994</v>
      </c>
      <c r="C7">
        <v>420</v>
      </c>
    </row>
    <row r="8" spans="1:3">
      <c r="A8" s="264" t="s">
        <v>27</v>
      </c>
      <c r="B8">
        <v>87595.45</v>
      </c>
      <c r="C8">
        <v>3105</v>
      </c>
    </row>
    <row r="9" spans="1:3">
      <c r="A9" s="264" t="s">
        <v>28</v>
      </c>
      <c r="B9">
        <v>56122.7</v>
      </c>
      <c r="C9">
        <v>485</v>
      </c>
    </row>
    <row r="10" spans="1:3">
      <c r="A10" s="264" t="s">
        <v>29</v>
      </c>
      <c r="B10">
        <v>170198.14999999997</v>
      </c>
      <c r="C10">
        <v>7055</v>
      </c>
    </row>
    <row r="11" spans="1:3">
      <c r="A11" s="264" t="s">
        <v>30</v>
      </c>
      <c r="B11">
        <v>111657.75</v>
      </c>
      <c r="C11">
        <v>115</v>
      </c>
    </row>
    <row r="12" spans="1:3">
      <c r="A12" s="264" t="s">
        <v>31</v>
      </c>
      <c r="B12">
        <v>89605.05</v>
      </c>
      <c r="C12">
        <v>4355</v>
      </c>
    </row>
    <row r="13" spans="1:3">
      <c r="A13" s="264" t="s">
        <v>32</v>
      </c>
      <c r="B13">
        <v>63703.05</v>
      </c>
      <c r="C13">
        <v>2315</v>
      </c>
    </row>
    <row r="14" spans="1:3">
      <c r="A14" s="264" t="s">
        <v>33</v>
      </c>
      <c r="B14">
        <v>72902.399999999994</v>
      </c>
      <c r="C14">
        <v>5700</v>
      </c>
    </row>
    <row r="15" spans="1:3">
      <c r="A15" s="264" t="s">
        <v>34</v>
      </c>
      <c r="B15">
        <v>6440</v>
      </c>
      <c r="C15">
        <v>25</v>
      </c>
    </row>
    <row r="16" spans="1:3">
      <c r="A16" s="264" t="s">
        <v>20</v>
      </c>
      <c r="B16">
        <v>876660.45000000007</v>
      </c>
      <c r="C16">
        <v>30185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B7"/>
  <sheetViews>
    <sheetView workbookViewId="0">
      <selection activeCell="B15" sqref="B15"/>
    </sheetView>
  </sheetViews>
  <sheetFormatPr defaultColWidth="11.42578125" defaultRowHeight="12.75"/>
  <cols>
    <col min="1" max="1" width="17.85546875" customWidth="1"/>
    <col min="2" max="2" width="29.7109375" bestFit="1" customWidth="1"/>
  </cols>
  <sheetData>
    <row r="1" spans="1:2">
      <c r="A1" s="263" t="s">
        <v>2</v>
      </c>
      <c r="B1" t="s">
        <v>35</v>
      </c>
    </row>
    <row r="3" spans="1:2">
      <c r="A3" s="263" t="s">
        <v>18</v>
      </c>
      <c r="B3" t="s">
        <v>22</v>
      </c>
    </row>
    <row r="4" spans="1:2">
      <c r="A4" s="264" t="s">
        <v>29</v>
      </c>
      <c r="B4">
        <v>100</v>
      </c>
    </row>
    <row r="5" spans="1:2">
      <c r="A5" s="264" t="s">
        <v>31</v>
      </c>
      <c r="B5">
        <v>75</v>
      </c>
    </row>
    <row r="6" spans="1:2">
      <c r="A6" s="264" t="s">
        <v>32</v>
      </c>
      <c r="B6">
        <v>100</v>
      </c>
    </row>
    <row r="7" spans="1:2">
      <c r="A7" s="264" t="s">
        <v>20</v>
      </c>
      <c r="B7">
        <v>275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4:C16"/>
  <sheetViews>
    <sheetView workbookViewId="0">
      <selection activeCell="B25" sqref="B25"/>
    </sheetView>
  </sheetViews>
  <sheetFormatPr defaultColWidth="11.42578125" defaultRowHeight="12.75"/>
  <cols>
    <col min="1" max="1" width="17.85546875" customWidth="1"/>
    <col min="2" max="2" width="30.85546875" customWidth="1"/>
    <col min="3" max="3" width="19.85546875" customWidth="1"/>
    <col min="4" max="4" width="13.140625" bestFit="1" customWidth="1"/>
  </cols>
  <sheetData>
    <row r="4" spans="1:3">
      <c r="A4" s="263" t="s">
        <v>18</v>
      </c>
      <c r="B4" t="s">
        <v>36</v>
      </c>
      <c r="C4" t="s">
        <v>37</v>
      </c>
    </row>
    <row r="5" spans="1:3">
      <c r="A5" s="264" t="s">
        <v>26</v>
      </c>
      <c r="B5">
        <v>71</v>
      </c>
      <c r="C5">
        <v>72</v>
      </c>
    </row>
    <row r="6" spans="1:3">
      <c r="A6" s="264" t="s">
        <v>25</v>
      </c>
      <c r="B6">
        <v>75</v>
      </c>
      <c r="C6">
        <v>79</v>
      </c>
    </row>
    <row r="7" spans="1:3">
      <c r="A7" s="264" t="s">
        <v>24</v>
      </c>
      <c r="B7">
        <v>79</v>
      </c>
      <c r="C7">
        <v>84</v>
      </c>
    </row>
    <row r="8" spans="1:3">
      <c r="A8" s="264" t="s">
        <v>27</v>
      </c>
      <c r="B8">
        <v>87</v>
      </c>
      <c r="C8">
        <v>91</v>
      </c>
    </row>
    <row r="9" spans="1:3">
      <c r="A9" s="264" t="s">
        <v>28</v>
      </c>
      <c r="B9">
        <v>81</v>
      </c>
      <c r="C9">
        <v>85</v>
      </c>
    </row>
    <row r="10" spans="1:3">
      <c r="A10" s="264" t="s">
        <v>29</v>
      </c>
      <c r="B10">
        <v>186</v>
      </c>
      <c r="C10">
        <v>192</v>
      </c>
    </row>
    <row r="11" spans="1:3">
      <c r="A11" s="264" t="s">
        <v>31</v>
      </c>
      <c r="B11">
        <v>90</v>
      </c>
      <c r="C11">
        <v>95</v>
      </c>
    </row>
    <row r="12" spans="1:3">
      <c r="A12" s="264" t="s">
        <v>32</v>
      </c>
      <c r="B12">
        <v>100</v>
      </c>
      <c r="C12">
        <v>99</v>
      </c>
    </row>
    <row r="13" spans="1:3">
      <c r="A13" s="264" t="s">
        <v>33</v>
      </c>
      <c r="B13">
        <v>81</v>
      </c>
      <c r="C13">
        <v>87</v>
      </c>
    </row>
    <row r="14" spans="1:3">
      <c r="A14" s="264" t="s">
        <v>30</v>
      </c>
      <c r="B14">
        <v>102</v>
      </c>
      <c r="C14">
        <v>105</v>
      </c>
    </row>
    <row r="15" spans="1:3">
      <c r="A15" s="264" t="s">
        <v>34</v>
      </c>
      <c r="B15">
        <v>9</v>
      </c>
      <c r="C15">
        <v>10</v>
      </c>
    </row>
    <row r="16" spans="1:3">
      <c r="A16" s="264" t="s">
        <v>20</v>
      </c>
      <c r="B16">
        <v>961</v>
      </c>
      <c r="C16">
        <v>999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2:G1011"/>
  <sheetViews>
    <sheetView topLeftCell="C131" zoomScale="110" zoomScaleNormal="110" workbookViewId="0">
      <selection activeCell="F27" sqref="F27"/>
    </sheetView>
  </sheetViews>
  <sheetFormatPr defaultColWidth="11.42578125" defaultRowHeight="12.75"/>
  <cols>
    <col min="1" max="1" width="11.42578125" style="229"/>
    <col min="2" max="2" width="30.7109375" style="229" customWidth="1"/>
    <col min="3" max="8" width="30.7109375" customWidth="1"/>
  </cols>
  <sheetData>
    <row r="2" spans="1:7" ht="25.5" customHeight="1">
      <c r="A2" s="245" t="s">
        <v>38</v>
      </c>
      <c r="B2" s="254" t="s">
        <v>1</v>
      </c>
      <c r="C2" s="135" t="s">
        <v>2</v>
      </c>
      <c r="D2" s="136" t="s">
        <v>39</v>
      </c>
      <c r="E2" s="137" t="s">
        <v>40</v>
      </c>
      <c r="F2" s="137" t="s">
        <v>41</v>
      </c>
      <c r="G2" s="135" t="s">
        <v>42</v>
      </c>
    </row>
    <row r="3" spans="1:7" ht="15.75">
      <c r="A3" s="246" t="s">
        <v>24</v>
      </c>
      <c r="B3" s="247">
        <v>43467</v>
      </c>
      <c r="C3" s="30" t="s">
        <v>43</v>
      </c>
      <c r="D3" s="6">
        <v>1500</v>
      </c>
      <c r="E3" s="6"/>
      <c r="F3" s="46" t="s">
        <v>44</v>
      </c>
      <c r="G3" s="1"/>
    </row>
    <row r="4" spans="1:7" ht="15.75">
      <c r="A4" s="246" t="s">
        <v>24</v>
      </c>
      <c r="B4" s="247">
        <v>43467</v>
      </c>
      <c r="C4" s="30" t="s">
        <v>45</v>
      </c>
      <c r="D4" s="6">
        <f>20+3700</f>
        <v>3720</v>
      </c>
      <c r="E4" s="6"/>
      <c r="F4" s="46" t="s">
        <v>44</v>
      </c>
      <c r="G4" s="1"/>
    </row>
    <row r="5" spans="1:7" ht="15.75">
      <c r="A5" s="246" t="s">
        <v>24</v>
      </c>
      <c r="B5" s="247">
        <v>43467</v>
      </c>
      <c r="C5" s="30" t="s">
        <v>46</v>
      </c>
      <c r="D5" s="6">
        <v>20</v>
      </c>
      <c r="E5" s="6"/>
      <c r="F5" s="46" t="s">
        <v>44</v>
      </c>
      <c r="G5" s="1"/>
    </row>
    <row r="6" spans="1:7" ht="15.75">
      <c r="A6" s="246" t="s">
        <v>24</v>
      </c>
      <c r="B6" s="247">
        <v>43467</v>
      </c>
      <c r="C6" s="30" t="s">
        <v>47</v>
      </c>
      <c r="D6" s="6">
        <v>300</v>
      </c>
      <c r="E6" s="6"/>
      <c r="F6" s="46" t="s">
        <v>44</v>
      </c>
      <c r="G6" s="1"/>
    </row>
    <row r="7" spans="1:7" ht="15.75">
      <c r="A7" s="246" t="s">
        <v>24</v>
      </c>
      <c r="B7" s="247">
        <v>43467</v>
      </c>
      <c r="C7" s="30" t="s">
        <v>48</v>
      </c>
      <c r="D7" s="6">
        <v>375</v>
      </c>
      <c r="E7" s="6"/>
      <c r="F7" s="46" t="s">
        <v>44</v>
      </c>
      <c r="G7" s="1"/>
    </row>
    <row r="8" spans="1:7" ht="15.75">
      <c r="A8" s="246" t="s">
        <v>24</v>
      </c>
      <c r="B8" s="248">
        <v>43468</v>
      </c>
      <c r="C8" s="1" t="s">
        <v>49</v>
      </c>
      <c r="D8" s="6">
        <v>1500</v>
      </c>
      <c r="E8" s="6"/>
      <c r="F8" s="46" t="s">
        <v>50</v>
      </c>
      <c r="G8" s="1"/>
    </row>
    <row r="9" spans="1:7" ht="15.75">
      <c r="A9" s="246" t="s">
        <v>24</v>
      </c>
      <c r="B9" s="248">
        <v>43468</v>
      </c>
      <c r="C9" s="81" t="s">
        <v>51</v>
      </c>
      <c r="D9" s="110"/>
      <c r="E9" s="110">
        <f>20+20+20</f>
        <v>60</v>
      </c>
      <c r="F9" s="83" t="s">
        <v>11</v>
      </c>
      <c r="G9" s="81" t="s">
        <v>52</v>
      </c>
    </row>
    <row r="10" spans="1:7" ht="15.75">
      <c r="A10" s="246" t="s">
        <v>24</v>
      </c>
      <c r="B10" s="248">
        <v>43468</v>
      </c>
      <c r="C10" s="1" t="s">
        <v>53</v>
      </c>
      <c r="D10" s="6">
        <v>20</v>
      </c>
      <c r="E10" s="6"/>
      <c r="F10" s="46" t="s">
        <v>50</v>
      </c>
      <c r="G10" s="1"/>
    </row>
    <row r="11" spans="1:7" ht="15.75">
      <c r="A11" s="246" t="s">
        <v>24</v>
      </c>
      <c r="B11" s="248">
        <v>43469</v>
      </c>
      <c r="C11" s="1" t="s">
        <v>54</v>
      </c>
      <c r="D11" s="6">
        <f>1500+40</f>
        <v>1540</v>
      </c>
      <c r="E11" s="6"/>
      <c r="F11" s="46" t="s">
        <v>44</v>
      </c>
      <c r="G11" s="46"/>
    </row>
    <row r="12" spans="1:7" ht="15.75">
      <c r="A12" s="246" t="s">
        <v>24</v>
      </c>
      <c r="B12" s="248">
        <v>43469</v>
      </c>
      <c r="C12" s="1" t="s">
        <v>55</v>
      </c>
      <c r="D12" s="6">
        <v>400</v>
      </c>
      <c r="E12" s="6"/>
      <c r="F12" s="46" t="s">
        <v>44</v>
      </c>
      <c r="G12" s="83"/>
    </row>
    <row r="13" spans="1:7" ht="15.75">
      <c r="A13" s="246" t="s">
        <v>24</v>
      </c>
      <c r="B13" s="248">
        <v>43469</v>
      </c>
      <c r="C13" s="1" t="s">
        <v>56</v>
      </c>
      <c r="D13" s="6">
        <v>2000</v>
      </c>
      <c r="E13" s="6"/>
      <c r="F13" s="46" t="s">
        <v>44</v>
      </c>
      <c r="G13" s="46"/>
    </row>
    <row r="14" spans="1:7" ht="15.75">
      <c r="A14" s="246" t="s">
        <v>24</v>
      </c>
      <c r="B14" s="248">
        <v>43469</v>
      </c>
      <c r="C14" s="1" t="s">
        <v>57</v>
      </c>
      <c r="D14" s="6">
        <v>250</v>
      </c>
      <c r="E14" s="6"/>
      <c r="F14" s="46" t="s">
        <v>58</v>
      </c>
      <c r="G14" s="46"/>
    </row>
    <row r="15" spans="1:7" ht="15.75">
      <c r="A15" s="246" t="s">
        <v>24</v>
      </c>
      <c r="B15" s="248">
        <v>43469</v>
      </c>
      <c r="C15" s="1" t="s">
        <v>59</v>
      </c>
      <c r="D15" s="6">
        <v>20</v>
      </c>
      <c r="E15" s="6"/>
      <c r="F15" s="46" t="s">
        <v>60</v>
      </c>
      <c r="G15" s="46"/>
    </row>
    <row r="16" spans="1:7" ht="15.75">
      <c r="A16" s="246" t="s">
        <v>24</v>
      </c>
      <c r="B16" s="248">
        <v>43469</v>
      </c>
      <c r="C16" s="1" t="s">
        <v>61</v>
      </c>
      <c r="D16" s="6">
        <f>20+20</f>
        <v>40</v>
      </c>
      <c r="E16" s="6"/>
      <c r="F16" s="46" t="s">
        <v>44</v>
      </c>
      <c r="G16" s="46"/>
    </row>
    <row r="17" spans="1:7" ht="15.75">
      <c r="A17" s="246" t="s">
        <v>24</v>
      </c>
      <c r="B17" s="248">
        <v>43472</v>
      </c>
      <c r="C17" s="30" t="s">
        <v>62</v>
      </c>
      <c r="D17" s="2">
        <v>1500</v>
      </c>
      <c r="E17" s="1"/>
      <c r="F17" s="30" t="s">
        <v>63</v>
      </c>
      <c r="G17" s="30"/>
    </row>
    <row r="18" spans="1:7" ht="15.75">
      <c r="A18" s="246" t="s">
        <v>24</v>
      </c>
      <c r="B18" s="248">
        <v>43472</v>
      </c>
      <c r="C18" s="30" t="s">
        <v>64</v>
      </c>
      <c r="D18" s="2">
        <v>400</v>
      </c>
      <c r="E18" s="1"/>
      <c r="F18" s="30" t="s">
        <v>50</v>
      </c>
      <c r="G18" s="30"/>
    </row>
    <row r="19" spans="1:7" ht="15.75">
      <c r="A19" s="246" t="s">
        <v>24</v>
      </c>
      <c r="B19" s="248">
        <v>43472</v>
      </c>
      <c r="C19" s="30" t="s">
        <v>56</v>
      </c>
      <c r="D19" s="2">
        <v>20</v>
      </c>
      <c r="E19" s="1"/>
      <c r="F19" s="30" t="s">
        <v>63</v>
      </c>
      <c r="G19" s="30"/>
    </row>
    <row r="20" spans="1:7" ht="15.75">
      <c r="A20" s="246" t="s">
        <v>24</v>
      </c>
      <c r="B20" s="248">
        <v>43472</v>
      </c>
      <c r="C20" s="30" t="s">
        <v>47</v>
      </c>
      <c r="D20" s="2">
        <v>250</v>
      </c>
      <c r="E20" s="1"/>
      <c r="F20" s="30" t="s">
        <v>63</v>
      </c>
      <c r="G20" s="30"/>
    </row>
    <row r="21" spans="1:7" ht="15.75">
      <c r="A21" s="246" t="s">
        <v>24</v>
      </c>
      <c r="B21" s="248">
        <v>43472</v>
      </c>
      <c r="C21" s="90" t="s">
        <v>65</v>
      </c>
      <c r="D21" s="82"/>
      <c r="E21" s="82">
        <f>900+1000+800+2400</f>
        <v>5100</v>
      </c>
      <c r="F21" s="90" t="s">
        <v>11</v>
      </c>
      <c r="G21" s="90" t="s">
        <v>66</v>
      </c>
    </row>
    <row r="22" spans="1:7" ht="15.75">
      <c r="A22" s="246" t="s">
        <v>24</v>
      </c>
      <c r="B22" s="248">
        <v>43473</v>
      </c>
      <c r="C22" s="111" t="s">
        <v>67</v>
      </c>
      <c r="D22" s="67">
        <v>300</v>
      </c>
      <c r="E22" s="67"/>
      <c r="F22" s="111" t="s">
        <v>44</v>
      </c>
      <c r="G22" s="74" t="s">
        <v>68</v>
      </c>
    </row>
    <row r="23" spans="1:7" ht="15.75">
      <c r="A23" s="246" t="s">
        <v>24</v>
      </c>
      <c r="B23" s="248">
        <v>43473</v>
      </c>
      <c r="C23" s="30" t="s">
        <v>69</v>
      </c>
      <c r="D23" s="2">
        <v>100</v>
      </c>
      <c r="E23" s="2"/>
      <c r="F23" s="30" t="s">
        <v>63</v>
      </c>
      <c r="G23" s="1"/>
    </row>
    <row r="24" spans="1:7" ht="15.75">
      <c r="A24" s="246" t="s">
        <v>24</v>
      </c>
      <c r="B24" s="248">
        <v>43473</v>
      </c>
      <c r="C24" s="90" t="s">
        <v>70</v>
      </c>
      <c r="D24" s="82"/>
      <c r="E24" s="82">
        <v>125</v>
      </c>
      <c r="F24" s="90" t="s">
        <v>11</v>
      </c>
      <c r="G24" s="81" t="s">
        <v>71</v>
      </c>
    </row>
    <row r="25" spans="1:7" ht="15.75">
      <c r="A25" s="246" t="s">
        <v>24</v>
      </c>
      <c r="B25" s="248">
        <v>43474</v>
      </c>
      <c r="C25" s="30" t="s">
        <v>72</v>
      </c>
      <c r="D25" s="7">
        <v>250</v>
      </c>
      <c r="E25" s="7"/>
      <c r="F25" s="7" t="s">
        <v>58</v>
      </c>
      <c r="G25" s="1"/>
    </row>
    <row r="26" spans="1:7" ht="15.75">
      <c r="A26" s="246" t="s">
        <v>24</v>
      </c>
      <c r="B26" s="248">
        <v>43474</v>
      </c>
      <c r="C26" s="30" t="s">
        <v>46</v>
      </c>
      <c r="D26" s="7">
        <v>3000</v>
      </c>
      <c r="E26" s="7"/>
      <c r="F26" s="7" t="s">
        <v>63</v>
      </c>
      <c r="G26" s="1"/>
    </row>
    <row r="27" spans="1:7" ht="15.75">
      <c r="A27" s="246" t="s">
        <v>24</v>
      </c>
      <c r="B27" s="248">
        <v>43474</v>
      </c>
      <c r="C27" s="30" t="s">
        <v>69</v>
      </c>
      <c r="D27" s="7">
        <v>1000</v>
      </c>
      <c r="E27" s="7"/>
      <c r="F27" s="7" t="s">
        <v>63</v>
      </c>
      <c r="G27" s="1"/>
    </row>
    <row r="28" spans="1:7" ht="15.75">
      <c r="A28" s="246" t="s">
        <v>24</v>
      </c>
      <c r="B28" s="248">
        <v>43474</v>
      </c>
      <c r="C28" s="30" t="s">
        <v>64</v>
      </c>
      <c r="D28" s="7">
        <v>1000</v>
      </c>
      <c r="E28" s="7"/>
      <c r="F28" s="7" t="s">
        <v>60</v>
      </c>
      <c r="G28" s="1" t="s">
        <v>73</v>
      </c>
    </row>
    <row r="29" spans="1:7" ht="15.75">
      <c r="A29" s="246" t="s">
        <v>24</v>
      </c>
      <c r="B29" s="248">
        <v>43474</v>
      </c>
      <c r="C29" s="30" t="s">
        <v>74</v>
      </c>
      <c r="D29" s="7">
        <v>400</v>
      </c>
      <c r="E29" s="7"/>
      <c r="F29" s="7" t="s">
        <v>63</v>
      </c>
      <c r="G29" s="1"/>
    </row>
    <row r="30" spans="1:7" ht="15.75">
      <c r="A30" s="246" t="s">
        <v>24</v>
      </c>
      <c r="B30" s="248">
        <v>43475</v>
      </c>
      <c r="C30" s="1" t="s">
        <v>75</v>
      </c>
      <c r="D30" s="7">
        <v>40</v>
      </c>
      <c r="E30" s="7"/>
      <c r="F30" s="7" t="s">
        <v>63</v>
      </c>
      <c r="G30" s="1" t="s">
        <v>76</v>
      </c>
    </row>
    <row r="31" spans="1:7" ht="15.75">
      <c r="A31" s="246" t="s">
        <v>24</v>
      </c>
      <c r="B31" s="248">
        <v>43475</v>
      </c>
      <c r="C31" s="1" t="s">
        <v>77</v>
      </c>
      <c r="D31" s="7">
        <f>50+50</f>
        <v>100</v>
      </c>
      <c r="E31" s="7"/>
      <c r="F31" s="7" t="s">
        <v>60</v>
      </c>
      <c r="G31" s="1"/>
    </row>
    <row r="32" spans="1:7" ht="15.75">
      <c r="A32" s="246" t="s">
        <v>24</v>
      </c>
      <c r="B32" s="248">
        <v>43475</v>
      </c>
      <c r="C32" s="1" t="s">
        <v>78</v>
      </c>
      <c r="D32" s="7">
        <v>100</v>
      </c>
      <c r="E32" s="7"/>
      <c r="F32" s="7" t="s">
        <v>60</v>
      </c>
      <c r="G32" s="1"/>
    </row>
    <row r="33" spans="1:7" ht="15.75">
      <c r="A33" s="246" t="s">
        <v>24</v>
      </c>
      <c r="B33" s="248">
        <v>43475</v>
      </c>
      <c r="C33" s="1" t="s">
        <v>79</v>
      </c>
      <c r="D33" s="7">
        <v>400</v>
      </c>
      <c r="E33" s="7"/>
      <c r="F33" s="7" t="s">
        <v>60</v>
      </c>
      <c r="G33" s="1"/>
    </row>
    <row r="34" spans="1:7" ht="15.75">
      <c r="A34" s="246" t="s">
        <v>24</v>
      </c>
      <c r="B34" s="248">
        <v>43475</v>
      </c>
      <c r="C34" s="1" t="s">
        <v>80</v>
      </c>
      <c r="D34" s="7">
        <v>500</v>
      </c>
      <c r="E34" s="7"/>
      <c r="F34" s="7" t="s">
        <v>60</v>
      </c>
      <c r="G34" s="1"/>
    </row>
    <row r="35" spans="1:7" ht="15.75">
      <c r="A35" s="246" t="s">
        <v>24</v>
      </c>
      <c r="B35" s="248">
        <v>43475</v>
      </c>
      <c r="C35" s="1" t="s">
        <v>47</v>
      </c>
      <c r="D35" s="7">
        <v>150</v>
      </c>
      <c r="E35" s="7"/>
      <c r="F35" s="7" t="s">
        <v>60</v>
      </c>
      <c r="G35" s="1"/>
    </row>
    <row r="36" spans="1:7" ht="15.75">
      <c r="A36" s="246" t="s">
        <v>24</v>
      </c>
      <c r="B36" s="248">
        <v>43475</v>
      </c>
      <c r="C36" s="1" t="s">
        <v>81</v>
      </c>
      <c r="D36" s="7">
        <f>6000+3000</f>
        <v>9000</v>
      </c>
      <c r="E36" s="7"/>
      <c r="F36" s="7" t="s">
        <v>63</v>
      </c>
      <c r="G36" s="1"/>
    </row>
    <row r="37" spans="1:7" ht="15.75">
      <c r="A37" s="246" t="s">
        <v>24</v>
      </c>
      <c r="B37" s="248">
        <v>43475</v>
      </c>
      <c r="C37" s="1" t="s">
        <v>82</v>
      </c>
      <c r="D37" s="7">
        <v>1200</v>
      </c>
      <c r="E37" s="7"/>
      <c r="F37" s="7" t="s">
        <v>60</v>
      </c>
      <c r="G37" s="1"/>
    </row>
    <row r="38" spans="1:7" ht="15.75">
      <c r="A38" s="246" t="s">
        <v>24</v>
      </c>
      <c r="B38" s="248">
        <v>43476</v>
      </c>
      <c r="C38" s="74" t="s">
        <v>83</v>
      </c>
      <c r="D38" s="101">
        <v>50</v>
      </c>
      <c r="E38" s="101"/>
      <c r="F38" s="101" t="s">
        <v>58</v>
      </c>
      <c r="G38" s="74" t="s">
        <v>84</v>
      </c>
    </row>
    <row r="39" spans="1:7" ht="15.75">
      <c r="A39" s="246" t="s">
        <v>24</v>
      </c>
      <c r="B39" s="248">
        <v>43476</v>
      </c>
      <c r="C39" s="74" t="s">
        <v>43</v>
      </c>
      <c r="D39" s="101">
        <v>20</v>
      </c>
      <c r="E39" s="101"/>
      <c r="F39" s="101" t="s">
        <v>58</v>
      </c>
      <c r="G39" s="74" t="s">
        <v>85</v>
      </c>
    </row>
    <row r="40" spans="1:7" ht="15.75">
      <c r="A40" s="246" t="s">
        <v>24</v>
      </c>
      <c r="B40" s="248">
        <v>43476</v>
      </c>
      <c r="C40" s="1" t="s">
        <v>86</v>
      </c>
      <c r="D40" s="7">
        <v>1200</v>
      </c>
      <c r="E40" s="7"/>
      <c r="F40" s="7" t="s">
        <v>63</v>
      </c>
      <c r="G40" s="1"/>
    </row>
    <row r="41" spans="1:7" ht="15.75">
      <c r="A41" s="246" t="s">
        <v>24</v>
      </c>
      <c r="B41" s="248">
        <v>43476</v>
      </c>
      <c r="C41" s="1" t="s">
        <v>87</v>
      </c>
      <c r="D41" s="7">
        <v>2000</v>
      </c>
      <c r="E41" s="7"/>
      <c r="F41" s="7" t="s">
        <v>60</v>
      </c>
      <c r="G41" s="1" t="s">
        <v>88</v>
      </c>
    </row>
    <row r="42" spans="1:7" ht="15.75">
      <c r="A42" s="246" t="s">
        <v>24</v>
      </c>
      <c r="B42" s="248">
        <v>43479</v>
      </c>
      <c r="C42" s="1" t="s">
        <v>89</v>
      </c>
      <c r="D42" s="2">
        <v>200</v>
      </c>
      <c r="E42" s="2"/>
      <c r="F42" s="46" t="s">
        <v>58</v>
      </c>
      <c r="G42" s="1"/>
    </row>
    <row r="43" spans="1:7" ht="15.75">
      <c r="A43" s="246" t="s">
        <v>24</v>
      </c>
      <c r="B43" s="248">
        <v>43479</v>
      </c>
      <c r="C43" s="1" t="s">
        <v>90</v>
      </c>
      <c r="D43" s="2">
        <v>40</v>
      </c>
      <c r="E43" s="2"/>
      <c r="F43" s="46" t="s">
        <v>58</v>
      </c>
      <c r="G43" s="1"/>
    </row>
    <row r="44" spans="1:7" ht="15.75">
      <c r="A44" s="246" t="s">
        <v>24</v>
      </c>
      <c r="B44" s="248">
        <v>43480</v>
      </c>
      <c r="C44" s="1" t="s">
        <v>91</v>
      </c>
      <c r="D44" s="2">
        <v>75</v>
      </c>
      <c r="E44" s="2"/>
      <c r="F44" s="46" t="s">
        <v>92</v>
      </c>
      <c r="G44" s="1"/>
    </row>
    <row r="45" spans="1:7" ht="15.75">
      <c r="A45" s="246" t="s">
        <v>24</v>
      </c>
      <c r="B45" s="248">
        <v>43480</v>
      </c>
      <c r="C45" s="1" t="s">
        <v>43</v>
      </c>
      <c r="D45" s="2">
        <v>1500</v>
      </c>
      <c r="E45" s="2"/>
      <c r="F45" s="46" t="s">
        <v>63</v>
      </c>
      <c r="G45" s="1"/>
    </row>
    <row r="46" spans="1:7" ht="15.75">
      <c r="A46" s="246" t="s">
        <v>24</v>
      </c>
      <c r="B46" s="248">
        <v>43480</v>
      </c>
      <c r="C46" s="1" t="s">
        <v>93</v>
      </c>
      <c r="D46" s="2">
        <v>2000</v>
      </c>
      <c r="E46" s="2"/>
      <c r="F46" s="46" t="s">
        <v>60</v>
      </c>
      <c r="G46" s="1"/>
    </row>
    <row r="47" spans="1:7" ht="15.75">
      <c r="A47" s="246" t="s">
        <v>24</v>
      </c>
      <c r="B47" s="248">
        <v>43480</v>
      </c>
      <c r="C47" s="74" t="s">
        <v>94</v>
      </c>
      <c r="D47" s="67">
        <f>2000+1000+200</f>
        <v>3200</v>
      </c>
      <c r="E47" s="67"/>
      <c r="F47" s="112" t="s">
        <v>44</v>
      </c>
      <c r="G47" s="74" t="s">
        <v>95</v>
      </c>
    </row>
    <row r="48" spans="1:7" ht="15.75">
      <c r="A48" s="246" t="s">
        <v>24</v>
      </c>
      <c r="B48" s="248">
        <v>43480</v>
      </c>
      <c r="C48" s="1" t="s">
        <v>96</v>
      </c>
      <c r="D48" s="2">
        <v>50</v>
      </c>
      <c r="E48" s="2"/>
      <c r="F48" s="46" t="s">
        <v>92</v>
      </c>
      <c r="G48" s="1"/>
    </row>
    <row r="49" spans="1:7" ht="15.75">
      <c r="A49" s="246" t="s">
        <v>24</v>
      </c>
      <c r="B49" s="248">
        <v>43481</v>
      </c>
      <c r="C49" s="1" t="s">
        <v>97</v>
      </c>
      <c r="D49" s="2">
        <f>50+50</f>
        <v>100</v>
      </c>
      <c r="E49" s="2"/>
      <c r="F49" s="46" t="s">
        <v>98</v>
      </c>
      <c r="G49" s="1" t="s">
        <v>99</v>
      </c>
    </row>
    <row r="50" spans="1:7" ht="15.75">
      <c r="A50" s="246" t="s">
        <v>24</v>
      </c>
      <c r="B50" s="248">
        <v>43482</v>
      </c>
      <c r="C50" s="30" t="s">
        <v>47</v>
      </c>
      <c r="D50" s="2">
        <v>250</v>
      </c>
      <c r="E50" s="2"/>
      <c r="F50" s="2" t="s">
        <v>63</v>
      </c>
      <c r="G50" s="1"/>
    </row>
    <row r="51" spans="1:7" ht="15.75">
      <c r="A51" s="246" t="s">
        <v>24</v>
      </c>
      <c r="B51" s="248">
        <v>43482</v>
      </c>
      <c r="C51" s="30" t="s">
        <v>100</v>
      </c>
      <c r="D51" s="2">
        <v>20</v>
      </c>
      <c r="E51" s="2"/>
      <c r="F51" s="2" t="s">
        <v>60</v>
      </c>
      <c r="G51" s="1"/>
    </row>
    <row r="52" spans="1:7" ht="15.75">
      <c r="A52" s="246" t="s">
        <v>24</v>
      </c>
      <c r="B52" s="248">
        <v>43482</v>
      </c>
      <c r="C52" s="30" t="s">
        <v>101</v>
      </c>
      <c r="D52" s="2">
        <f>350+150+100+250+25</f>
        <v>875</v>
      </c>
      <c r="E52" s="2"/>
      <c r="F52" s="2" t="s">
        <v>63</v>
      </c>
      <c r="G52" s="1"/>
    </row>
    <row r="53" spans="1:7" ht="15.75">
      <c r="A53" s="246" t="s">
        <v>24</v>
      </c>
      <c r="B53" s="248">
        <v>43482</v>
      </c>
      <c r="C53" s="30" t="s">
        <v>56</v>
      </c>
      <c r="D53" s="2">
        <v>2000</v>
      </c>
      <c r="E53" s="2"/>
      <c r="F53" s="2" t="s">
        <v>63</v>
      </c>
      <c r="G53" s="1"/>
    </row>
    <row r="54" spans="1:7" ht="15.75">
      <c r="A54" s="246" t="s">
        <v>24</v>
      </c>
      <c r="B54" s="248">
        <v>43483</v>
      </c>
      <c r="C54" s="1" t="s">
        <v>102</v>
      </c>
      <c r="D54" s="2">
        <v>15</v>
      </c>
      <c r="E54" s="2"/>
      <c r="F54" s="2" t="s">
        <v>58</v>
      </c>
      <c r="G54" s="1"/>
    </row>
    <row r="55" spans="1:7" ht="15.75">
      <c r="A55" s="246" t="s">
        <v>24</v>
      </c>
      <c r="B55" s="248">
        <v>43486</v>
      </c>
      <c r="C55" s="1" t="s">
        <v>103</v>
      </c>
      <c r="D55" s="7">
        <v>150</v>
      </c>
      <c r="E55" s="7"/>
      <c r="F55" s="7" t="s">
        <v>58</v>
      </c>
      <c r="G55" s="46"/>
    </row>
    <row r="56" spans="1:7" ht="15.75">
      <c r="A56" s="246" t="s">
        <v>24</v>
      </c>
      <c r="B56" s="248">
        <v>43486</v>
      </c>
      <c r="C56" s="1" t="s">
        <v>104</v>
      </c>
      <c r="D56" s="7">
        <v>4000</v>
      </c>
      <c r="E56" s="7"/>
      <c r="F56" s="7" t="s">
        <v>50</v>
      </c>
      <c r="G56" s="46" t="s">
        <v>105</v>
      </c>
    </row>
    <row r="57" spans="1:7" ht="15.75">
      <c r="A57" s="246" t="s">
        <v>24</v>
      </c>
      <c r="B57" s="248">
        <v>43486</v>
      </c>
      <c r="C57" s="1" t="s">
        <v>106</v>
      </c>
      <c r="D57" s="7">
        <v>40</v>
      </c>
      <c r="E57" s="7"/>
      <c r="F57" s="7" t="s">
        <v>60</v>
      </c>
      <c r="G57" s="46"/>
    </row>
    <row r="58" spans="1:7" ht="15.75">
      <c r="A58" s="246" t="s">
        <v>24</v>
      </c>
      <c r="B58" s="248">
        <v>43486</v>
      </c>
      <c r="C58" s="81" t="s">
        <v>51</v>
      </c>
      <c r="D58" s="107"/>
      <c r="E58" s="107">
        <v>5</v>
      </c>
      <c r="F58" s="90" t="s">
        <v>11</v>
      </c>
      <c r="G58" s="83" t="s">
        <v>52</v>
      </c>
    </row>
    <row r="59" spans="1:7" ht="15.75">
      <c r="A59" s="246" t="s">
        <v>24</v>
      </c>
      <c r="B59" s="248">
        <v>43486</v>
      </c>
      <c r="C59" s="1" t="s">
        <v>80</v>
      </c>
      <c r="D59" s="7">
        <v>500</v>
      </c>
      <c r="E59" s="7"/>
      <c r="F59" s="7" t="s">
        <v>63</v>
      </c>
      <c r="G59" s="46"/>
    </row>
    <row r="60" spans="1:7" ht="15.75">
      <c r="A60" s="246" t="s">
        <v>24</v>
      </c>
      <c r="B60" s="248">
        <v>43487</v>
      </c>
      <c r="C60" s="81" t="s">
        <v>107</v>
      </c>
      <c r="D60" s="82"/>
      <c r="E60" s="82">
        <v>400</v>
      </c>
      <c r="F60" s="90" t="s">
        <v>11</v>
      </c>
      <c r="G60" s="81" t="s">
        <v>108</v>
      </c>
    </row>
    <row r="61" spans="1:7" ht="15.75">
      <c r="A61" s="246" t="s">
        <v>24</v>
      </c>
      <c r="B61" s="248">
        <v>43487</v>
      </c>
      <c r="C61" s="1" t="s">
        <v>55</v>
      </c>
      <c r="D61" s="2">
        <f>100+50+25+50</f>
        <v>225</v>
      </c>
      <c r="E61" s="2"/>
      <c r="F61" s="2" t="s">
        <v>63</v>
      </c>
      <c r="G61" s="1"/>
    </row>
    <row r="62" spans="1:7" ht="15.75">
      <c r="A62" s="246" t="s">
        <v>24</v>
      </c>
      <c r="B62" s="248">
        <v>43487</v>
      </c>
      <c r="C62" s="1" t="s">
        <v>109</v>
      </c>
      <c r="D62" s="2">
        <v>1</v>
      </c>
      <c r="E62" s="2"/>
      <c r="F62" s="2" t="s">
        <v>63</v>
      </c>
      <c r="G62" s="1" t="s">
        <v>110</v>
      </c>
    </row>
    <row r="63" spans="1:7" ht="15.75">
      <c r="A63" s="246" t="s">
        <v>24</v>
      </c>
      <c r="B63" s="248">
        <v>43487</v>
      </c>
      <c r="C63" s="1" t="s">
        <v>111</v>
      </c>
      <c r="D63" s="2">
        <v>2000</v>
      </c>
      <c r="E63" s="2"/>
      <c r="F63" s="2" t="s">
        <v>63</v>
      </c>
      <c r="G63" s="1"/>
    </row>
    <row r="64" spans="1:7" ht="15.75">
      <c r="A64" s="246" t="s">
        <v>24</v>
      </c>
      <c r="B64" s="248">
        <v>43487</v>
      </c>
      <c r="C64" s="1" t="s">
        <v>69</v>
      </c>
      <c r="D64" s="2">
        <v>1000</v>
      </c>
      <c r="E64" s="2"/>
      <c r="F64" s="2" t="s">
        <v>63</v>
      </c>
      <c r="G64" s="1"/>
    </row>
    <row r="65" spans="1:7" ht="15.75">
      <c r="A65" s="246" t="s">
        <v>24</v>
      </c>
      <c r="B65" s="248">
        <v>43488</v>
      </c>
      <c r="C65" s="1" t="s">
        <v>112</v>
      </c>
      <c r="D65" s="2">
        <v>120</v>
      </c>
      <c r="E65" s="2"/>
      <c r="F65" s="2" t="s">
        <v>58</v>
      </c>
      <c r="G65" s="1"/>
    </row>
    <row r="66" spans="1:7" ht="15.75">
      <c r="A66" s="246" t="s">
        <v>24</v>
      </c>
      <c r="B66" s="248">
        <v>43488</v>
      </c>
      <c r="C66" s="1" t="s">
        <v>113</v>
      </c>
      <c r="D66" s="2">
        <v>200</v>
      </c>
      <c r="E66" s="2"/>
      <c r="F66" s="2" t="s">
        <v>60</v>
      </c>
      <c r="G66" s="81"/>
    </row>
    <row r="67" spans="1:7" ht="15.75">
      <c r="A67" s="246" t="s">
        <v>24</v>
      </c>
      <c r="B67" s="248">
        <v>43489</v>
      </c>
      <c r="C67" s="1" t="s">
        <v>89</v>
      </c>
      <c r="D67" s="2">
        <f>50+200</f>
        <v>250</v>
      </c>
      <c r="E67" s="2"/>
      <c r="F67" s="2" t="s">
        <v>50</v>
      </c>
      <c r="G67" s="1"/>
    </row>
    <row r="68" spans="1:7" ht="15.75">
      <c r="A68" s="246" t="s">
        <v>24</v>
      </c>
      <c r="B68" s="248">
        <v>43489</v>
      </c>
      <c r="C68" s="1" t="s">
        <v>114</v>
      </c>
      <c r="D68" s="2">
        <v>250</v>
      </c>
      <c r="E68" s="2"/>
      <c r="F68" s="2" t="s">
        <v>50</v>
      </c>
      <c r="G68" s="1"/>
    </row>
    <row r="69" spans="1:7" ht="15.75">
      <c r="A69" s="246" t="s">
        <v>24</v>
      </c>
      <c r="B69" s="248">
        <v>43489</v>
      </c>
      <c r="C69" s="1" t="s">
        <v>115</v>
      </c>
      <c r="D69" s="2">
        <v>75</v>
      </c>
      <c r="E69" s="2"/>
      <c r="F69" s="2" t="s">
        <v>50</v>
      </c>
      <c r="G69" s="1"/>
    </row>
    <row r="70" spans="1:7" ht="15.75">
      <c r="A70" s="246" t="s">
        <v>24</v>
      </c>
      <c r="B70" s="248">
        <v>43489</v>
      </c>
      <c r="C70" s="1" t="s">
        <v>90</v>
      </c>
      <c r="D70" s="2">
        <v>100</v>
      </c>
      <c r="E70" s="2"/>
      <c r="F70" s="2" t="s">
        <v>58</v>
      </c>
      <c r="G70" s="1"/>
    </row>
    <row r="71" spans="1:7" ht="15.75">
      <c r="A71" s="246" t="s">
        <v>24</v>
      </c>
      <c r="B71" s="248">
        <v>43489</v>
      </c>
      <c r="C71" s="1" t="s">
        <v>62</v>
      </c>
      <c r="D71" s="2">
        <v>1500</v>
      </c>
      <c r="E71" s="2"/>
      <c r="F71" s="2" t="s">
        <v>50</v>
      </c>
      <c r="G71" s="1"/>
    </row>
    <row r="72" spans="1:7" ht="15.75">
      <c r="A72" s="246" t="s">
        <v>24</v>
      </c>
      <c r="B72" s="248">
        <v>43490</v>
      </c>
      <c r="C72" s="1" t="s">
        <v>86</v>
      </c>
      <c r="D72" s="7">
        <f>750+640</f>
        <v>1390</v>
      </c>
      <c r="E72" s="7"/>
      <c r="F72" s="7" t="s">
        <v>63</v>
      </c>
      <c r="G72" s="1"/>
    </row>
    <row r="73" spans="1:7" ht="15.75">
      <c r="A73" s="246" t="s">
        <v>24</v>
      </c>
      <c r="B73" s="248">
        <v>43490</v>
      </c>
      <c r="C73" s="1" t="s">
        <v>116</v>
      </c>
      <c r="D73" s="7">
        <v>30</v>
      </c>
      <c r="E73" s="7"/>
      <c r="F73" s="7" t="s">
        <v>63</v>
      </c>
      <c r="G73" s="1"/>
    </row>
    <row r="74" spans="1:7" ht="15.75">
      <c r="A74" s="246" t="s">
        <v>24</v>
      </c>
      <c r="B74" s="248">
        <v>43490</v>
      </c>
      <c r="C74" s="1" t="s">
        <v>117</v>
      </c>
      <c r="D74" s="7">
        <v>160</v>
      </c>
      <c r="E74" s="7"/>
      <c r="F74" s="7" t="s">
        <v>44</v>
      </c>
      <c r="G74" s="1"/>
    </row>
    <row r="75" spans="1:7" ht="15.75">
      <c r="A75" s="246" t="s">
        <v>24</v>
      </c>
      <c r="B75" s="248">
        <v>43493</v>
      </c>
      <c r="C75" s="1" t="s">
        <v>48</v>
      </c>
      <c r="D75" s="7">
        <v>425</v>
      </c>
      <c r="E75" s="7"/>
      <c r="F75" s="7" t="s">
        <v>44</v>
      </c>
      <c r="G75" s="1"/>
    </row>
    <row r="76" spans="1:7" ht="15.75">
      <c r="A76" s="246" t="s">
        <v>24</v>
      </c>
      <c r="B76" s="248">
        <v>43494</v>
      </c>
      <c r="C76" s="1" t="s">
        <v>69</v>
      </c>
      <c r="D76" s="2">
        <v>225</v>
      </c>
      <c r="E76" s="113"/>
      <c r="F76" s="2" t="s">
        <v>63</v>
      </c>
      <c r="G76" s="1"/>
    </row>
    <row r="77" spans="1:7" ht="15.75">
      <c r="A77" s="246" t="s">
        <v>24</v>
      </c>
      <c r="B77" s="248">
        <v>43495</v>
      </c>
      <c r="C77" s="30" t="s">
        <v>91</v>
      </c>
      <c r="D77" s="2">
        <v>50</v>
      </c>
      <c r="E77" s="2"/>
      <c r="F77" s="2" t="s">
        <v>92</v>
      </c>
      <c r="G77" s="1"/>
    </row>
    <row r="78" spans="1:7" ht="15.75">
      <c r="A78" s="246" t="s">
        <v>24</v>
      </c>
      <c r="B78" s="248">
        <v>43495</v>
      </c>
      <c r="C78" s="30" t="s">
        <v>118</v>
      </c>
      <c r="D78" s="2">
        <v>125</v>
      </c>
      <c r="E78" s="2"/>
      <c r="F78" s="2" t="s">
        <v>92</v>
      </c>
      <c r="G78" s="1"/>
    </row>
    <row r="79" spans="1:7" ht="15.75">
      <c r="A79" s="246" t="s">
        <v>24</v>
      </c>
      <c r="B79" s="248">
        <v>43495</v>
      </c>
      <c r="C79" s="30" t="s">
        <v>119</v>
      </c>
      <c r="D79" s="2">
        <v>50</v>
      </c>
      <c r="E79" s="2"/>
      <c r="F79" s="2" t="s">
        <v>58</v>
      </c>
      <c r="G79" s="1"/>
    </row>
    <row r="80" spans="1:7" ht="15.75">
      <c r="A80" s="246" t="s">
        <v>24</v>
      </c>
      <c r="B80" s="248">
        <v>43495</v>
      </c>
      <c r="C80" s="30" t="s">
        <v>104</v>
      </c>
      <c r="D80" s="2">
        <f>3000+1000</f>
        <v>4000</v>
      </c>
      <c r="E80" s="2"/>
      <c r="F80" s="2" t="s">
        <v>63</v>
      </c>
      <c r="G80" s="1" t="s">
        <v>120</v>
      </c>
    </row>
    <row r="81" spans="1:7" ht="15.75">
      <c r="A81" s="246" t="s">
        <v>24</v>
      </c>
      <c r="B81" s="248">
        <v>43496</v>
      </c>
      <c r="C81" s="30" t="s">
        <v>101</v>
      </c>
      <c r="D81" s="2">
        <v>1</v>
      </c>
      <c r="E81" s="2"/>
      <c r="F81" s="46" t="s">
        <v>44</v>
      </c>
      <c r="G81" s="1" t="s">
        <v>68</v>
      </c>
    </row>
    <row r="82" spans="1:7" ht="15.75">
      <c r="A82" s="246" t="s">
        <v>24</v>
      </c>
      <c r="B82" s="248">
        <v>43496</v>
      </c>
      <c r="C82" s="30" t="s">
        <v>56</v>
      </c>
      <c r="D82" s="2">
        <v>2000</v>
      </c>
      <c r="E82" s="2"/>
      <c r="F82" s="46" t="s">
        <v>44</v>
      </c>
      <c r="G82" s="1"/>
    </row>
    <row r="83" spans="1:7" ht="15.75">
      <c r="A83" s="246" t="s">
        <v>24</v>
      </c>
      <c r="B83" s="248">
        <v>43496</v>
      </c>
      <c r="C83" s="30" t="s">
        <v>121</v>
      </c>
      <c r="D83" s="2">
        <v>200</v>
      </c>
      <c r="E83" s="2"/>
      <c r="F83" s="46" t="s">
        <v>60</v>
      </c>
      <c r="G83" s="1"/>
    </row>
    <row r="84" spans="1:7" ht="15.75">
      <c r="A84" s="246" t="s">
        <v>24</v>
      </c>
      <c r="B84" s="248">
        <v>43496</v>
      </c>
      <c r="C84" s="30" t="s">
        <v>47</v>
      </c>
      <c r="D84" s="2">
        <v>150</v>
      </c>
      <c r="E84" s="2"/>
      <c r="F84" s="46" t="s">
        <v>44</v>
      </c>
      <c r="G84" s="1"/>
    </row>
    <row r="85" spans="1:7" ht="15.75">
      <c r="A85" s="246" t="s">
        <v>24</v>
      </c>
      <c r="B85" s="248">
        <v>43496</v>
      </c>
      <c r="C85" s="30" t="s">
        <v>111</v>
      </c>
      <c r="D85" s="2">
        <v>1000</v>
      </c>
      <c r="E85" s="2"/>
      <c r="F85" s="46" t="s">
        <v>44</v>
      </c>
      <c r="G85" s="1"/>
    </row>
    <row r="86" spans="1:7" ht="15.75">
      <c r="A86" s="246" t="s">
        <v>24</v>
      </c>
      <c r="B86" s="248">
        <v>43496</v>
      </c>
      <c r="C86" s="30" t="s">
        <v>122</v>
      </c>
      <c r="D86" s="2">
        <f>3600+4000</f>
        <v>7600</v>
      </c>
      <c r="E86" s="2"/>
      <c r="F86" s="46" t="s">
        <v>63</v>
      </c>
      <c r="G86" s="1"/>
    </row>
    <row r="87" spans="1:7" ht="15.75">
      <c r="A87" s="246" t="s">
        <v>26</v>
      </c>
      <c r="B87" s="247">
        <v>43497</v>
      </c>
      <c r="C87" s="30" t="s">
        <v>54</v>
      </c>
      <c r="D87" s="6">
        <f>2500+60</f>
        <v>2560</v>
      </c>
      <c r="E87" s="6"/>
      <c r="F87" s="46" t="s">
        <v>63</v>
      </c>
      <c r="G87" s="1"/>
    </row>
    <row r="88" spans="1:7" ht="15.75">
      <c r="A88" s="246" t="s">
        <v>26</v>
      </c>
      <c r="B88" s="247">
        <v>43497</v>
      </c>
      <c r="C88" s="30" t="s">
        <v>123</v>
      </c>
      <c r="D88" s="6">
        <v>1500</v>
      </c>
      <c r="E88" s="6"/>
      <c r="F88" s="46" t="s">
        <v>63</v>
      </c>
      <c r="G88" s="1"/>
    </row>
    <row r="89" spans="1:7" ht="15.75">
      <c r="A89" s="246" t="s">
        <v>26</v>
      </c>
      <c r="B89" s="247">
        <v>43497</v>
      </c>
      <c r="C89" s="30" t="s">
        <v>55</v>
      </c>
      <c r="D89" s="6">
        <v>400</v>
      </c>
      <c r="E89" s="6"/>
      <c r="F89" s="46" t="s">
        <v>63</v>
      </c>
      <c r="G89" s="1"/>
    </row>
    <row r="90" spans="1:7" ht="15.75">
      <c r="A90" s="246" t="s">
        <v>26</v>
      </c>
      <c r="B90" s="248">
        <v>43501</v>
      </c>
      <c r="C90" s="1" t="s">
        <v>124</v>
      </c>
      <c r="D90" s="6">
        <v>200</v>
      </c>
      <c r="E90" s="6"/>
      <c r="F90" s="46" t="s">
        <v>44</v>
      </c>
      <c r="G90" s="1"/>
    </row>
    <row r="91" spans="1:7" ht="15.75">
      <c r="A91" s="246" t="s">
        <v>26</v>
      </c>
      <c r="B91" s="248">
        <v>43501</v>
      </c>
      <c r="C91" s="1" t="s">
        <v>48</v>
      </c>
      <c r="D91" s="6">
        <v>600</v>
      </c>
      <c r="E91" s="6"/>
      <c r="F91" s="46" t="s">
        <v>63</v>
      </c>
      <c r="G91" s="1"/>
    </row>
    <row r="92" spans="1:7" ht="15.75">
      <c r="A92" s="246" t="s">
        <v>26</v>
      </c>
      <c r="B92" s="248">
        <v>43501</v>
      </c>
      <c r="C92" s="74" t="s">
        <v>125</v>
      </c>
      <c r="D92" s="116">
        <v>100</v>
      </c>
      <c r="E92" s="116"/>
      <c r="F92" s="112" t="s">
        <v>58</v>
      </c>
      <c r="G92" s="74" t="s">
        <v>84</v>
      </c>
    </row>
    <row r="93" spans="1:7" ht="15.75">
      <c r="A93" s="246" t="s">
        <v>26</v>
      </c>
      <c r="B93" s="248">
        <v>43502</v>
      </c>
      <c r="C93" s="1" t="s">
        <v>43</v>
      </c>
      <c r="D93" s="6">
        <v>3000</v>
      </c>
      <c r="E93" s="6"/>
      <c r="F93" s="46" t="s">
        <v>63</v>
      </c>
      <c r="G93" s="46"/>
    </row>
    <row r="94" spans="1:7" ht="15.75">
      <c r="A94" s="246" t="s">
        <v>26</v>
      </c>
      <c r="B94" s="248">
        <v>43502</v>
      </c>
      <c r="C94" s="1" t="s">
        <v>87</v>
      </c>
      <c r="D94" s="6">
        <v>68.099999999999994</v>
      </c>
      <c r="E94" s="6"/>
      <c r="F94" s="46" t="s">
        <v>44</v>
      </c>
      <c r="G94" s="46" t="s">
        <v>88</v>
      </c>
    </row>
    <row r="95" spans="1:7" ht="15.75">
      <c r="A95" s="246" t="s">
        <v>26</v>
      </c>
      <c r="B95" s="248">
        <v>43502</v>
      </c>
      <c r="C95" s="1" t="s">
        <v>72</v>
      </c>
      <c r="D95" s="6">
        <v>250</v>
      </c>
      <c r="E95" s="6"/>
      <c r="F95" s="46" t="s">
        <v>58</v>
      </c>
      <c r="G95" s="46"/>
    </row>
    <row r="96" spans="1:7" ht="15.75">
      <c r="A96" s="246" t="s">
        <v>26</v>
      </c>
      <c r="B96" s="248">
        <v>43502</v>
      </c>
      <c r="C96" s="1" t="s">
        <v>126</v>
      </c>
      <c r="D96" s="6">
        <v>18.600000000000001</v>
      </c>
      <c r="E96" s="6"/>
      <c r="F96" s="46" t="s">
        <v>63</v>
      </c>
      <c r="G96" s="46"/>
    </row>
    <row r="97" spans="1:7" ht="15.75">
      <c r="A97" s="246" t="s">
        <v>26</v>
      </c>
      <c r="B97" s="248">
        <v>43503</v>
      </c>
      <c r="C97" s="30" t="s">
        <v>127</v>
      </c>
      <c r="D97" s="2">
        <v>25</v>
      </c>
      <c r="E97" s="1"/>
      <c r="F97" s="30" t="s">
        <v>63</v>
      </c>
      <c r="G97" s="30"/>
    </row>
    <row r="98" spans="1:7" ht="15.75">
      <c r="A98" s="246" t="s">
        <v>26</v>
      </c>
      <c r="B98" s="248">
        <v>43503</v>
      </c>
      <c r="C98" s="30" t="s">
        <v>111</v>
      </c>
      <c r="D98" s="2">
        <f>1000+1200</f>
        <v>2200</v>
      </c>
      <c r="E98" s="1"/>
      <c r="F98" s="30" t="s">
        <v>50</v>
      </c>
      <c r="G98" s="30"/>
    </row>
    <row r="99" spans="1:7" ht="15.75">
      <c r="A99" s="246" t="s">
        <v>26</v>
      </c>
      <c r="B99" s="248">
        <v>43504</v>
      </c>
      <c r="C99" s="30" t="s">
        <v>123</v>
      </c>
      <c r="D99" s="2">
        <f>2000+20</f>
        <v>2020</v>
      </c>
      <c r="E99" s="2"/>
      <c r="F99" s="30" t="s">
        <v>63</v>
      </c>
      <c r="G99" s="1"/>
    </row>
    <row r="100" spans="1:7" ht="15.75">
      <c r="A100" s="246" t="s">
        <v>26</v>
      </c>
      <c r="B100" s="248">
        <v>43504</v>
      </c>
      <c r="C100" s="30" t="s">
        <v>104</v>
      </c>
      <c r="D100" s="2">
        <v>4000</v>
      </c>
      <c r="E100" s="2"/>
      <c r="F100" s="30" t="s">
        <v>50</v>
      </c>
      <c r="G100" s="1" t="s">
        <v>105</v>
      </c>
    </row>
    <row r="101" spans="1:7" ht="15.75">
      <c r="A101" s="246" t="s">
        <v>26</v>
      </c>
      <c r="B101" s="248">
        <v>43504</v>
      </c>
      <c r="C101" s="111" t="s">
        <v>128</v>
      </c>
      <c r="D101" s="67">
        <v>500</v>
      </c>
      <c r="E101" s="67"/>
      <c r="F101" s="111" t="s">
        <v>129</v>
      </c>
      <c r="G101" s="74" t="s">
        <v>130</v>
      </c>
    </row>
    <row r="102" spans="1:7" ht="15.75">
      <c r="A102" s="246" t="s">
        <v>26</v>
      </c>
      <c r="B102" s="248">
        <v>43505</v>
      </c>
      <c r="C102" s="111" t="s">
        <v>131</v>
      </c>
      <c r="D102" s="101"/>
      <c r="E102" s="101"/>
      <c r="F102" s="101" t="s">
        <v>129</v>
      </c>
      <c r="G102" s="74"/>
    </row>
    <row r="103" spans="1:7" ht="15.75">
      <c r="A103" s="246" t="s">
        <v>26</v>
      </c>
      <c r="B103" s="248">
        <v>43507</v>
      </c>
      <c r="C103" s="1" t="s">
        <v>70</v>
      </c>
      <c r="D103" s="7">
        <v>150</v>
      </c>
      <c r="E103" s="7"/>
      <c r="F103" s="7" t="s">
        <v>63</v>
      </c>
      <c r="G103" s="1"/>
    </row>
    <row r="104" spans="1:7" ht="15.75">
      <c r="A104" s="246" t="s">
        <v>26</v>
      </c>
      <c r="B104" s="248">
        <v>43507</v>
      </c>
      <c r="C104" s="1" t="s">
        <v>132</v>
      </c>
      <c r="D104" s="7">
        <f>600+1000+1200</f>
        <v>2800</v>
      </c>
      <c r="E104" s="7"/>
      <c r="F104" s="7" t="s">
        <v>44</v>
      </c>
      <c r="G104" s="1"/>
    </row>
    <row r="105" spans="1:7" ht="15.75">
      <c r="A105" s="246" t="s">
        <v>26</v>
      </c>
      <c r="B105" s="248">
        <v>43507</v>
      </c>
      <c r="C105" s="1" t="s">
        <v>101</v>
      </c>
      <c r="D105" s="7">
        <f>350+150+600+11.35</f>
        <v>1111.3499999999999</v>
      </c>
      <c r="E105" s="7"/>
      <c r="F105" s="7" t="s">
        <v>63</v>
      </c>
      <c r="G105" s="1"/>
    </row>
    <row r="106" spans="1:7" ht="15.75">
      <c r="A106" s="246" t="s">
        <v>26</v>
      </c>
      <c r="B106" s="248">
        <v>43507</v>
      </c>
      <c r="C106" s="1" t="s">
        <v>133</v>
      </c>
      <c r="D106" s="7">
        <v>120</v>
      </c>
      <c r="E106" s="7"/>
      <c r="F106" s="7" t="s">
        <v>44</v>
      </c>
      <c r="G106" s="1"/>
    </row>
    <row r="107" spans="1:7" ht="15.75">
      <c r="A107" s="246" t="s">
        <v>26</v>
      </c>
      <c r="B107" s="248">
        <v>43508</v>
      </c>
      <c r="C107" s="1" t="s">
        <v>121</v>
      </c>
      <c r="D107" s="7">
        <v>50</v>
      </c>
      <c r="E107" s="7"/>
      <c r="F107" s="7" t="s">
        <v>44</v>
      </c>
      <c r="G107" s="1"/>
    </row>
    <row r="108" spans="1:7" ht="15.75">
      <c r="A108" s="246" t="s">
        <v>26</v>
      </c>
      <c r="B108" s="248">
        <v>43508</v>
      </c>
      <c r="C108" s="74" t="s">
        <v>47</v>
      </c>
      <c r="D108" s="101">
        <f>25+175+800</f>
        <v>1000</v>
      </c>
      <c r="E108" s="101"/>
      <c r="F108" s="101" t="s">
        <v>63</v>
      </c>
      <c r="G108" s="74" t="s">
        <v>134</v>
      </c>
    </row>
    <row r="109" spans="1:7" ht="15.75">
      <c r="A109" s="246" t="s">
        <v>26</v>
      </c>
      <c r="B109" s="248">
        <v>43508</v>
      </c>
      <c r="C109" s="74" t="s">
        <v>69</v>
      </c>
      <c r="D109" s="101">
        <v>200</v>
      </c>
      <c r="E109" s="101"/>
      <c r="F109" s="101" t="s">
        <v>63</v>
      </c>
      <c r="G109" s="74" t="s">
        <v>134</v>
      </c>
    </row>
    <row r="110" spans="1:7" ht="15.75">
      <c r="A110" s="246" t="s">
        <v>26</v>
      </c>
      <c r="B110" s="248">
        <v>43508</v>
      </c>
      <c r="C110" s="74" t="s">
        <v>55</v>
      </c>
      <c r="D110" s="101">
        <v>75</v>
      </c>
      <c r="E110" s="101"/>
      <c r="F110" s="101" t="s">
        <v>63</v>
      </c>
      <c r="G110" s="74" t="s">
        <v>134</v>
      </c>
    </row>
    <row r="111" spans="1:7" ht="15.75">
      <c r="A111" s="246" t="s">
        <v>26</v>
      </c>
      <c r="B111" s="248">
        <v>43508</v>
      </c>
      <c r="C111" s="1" t="s">
        <v>135</v>
      </c>
      <c r="D111" s="7">
        <v>20</v>
      </c>
      <c r="E111" s="7"/>
      <c r="F111" s="7" t="s">
        <v>58</v>
      </c>
      <c r="G111" s="1"/>
    </row>
    <row r="112" spans="1:7" ht="15.75">
      <c r="A112" s="246" t="s">
        <v>26</v>
      </c>
      <c r="B112" s="248">
        <v>43508</v>
      </c>
      <c r="C112" s="1" t="s">
        <v>136</v>
      </c>
      <c r="D112" s="7">
        <v>450</v>
      </c>
      <c r="E112" s="7"/>
      <c r="F112" s="7" t="s">
        <v>92</v>
      </c>
      <c r="G112" s="1" t="s">
        <v>137</v>
      </c>
    </row>
    <row r="113" spans="1:7" ht="15.75">
      <c r="A113" s="246" t="s">
        <v>26</v>
      </c>
      <c r="B113" s="248">
        <v>43508</v>
      </c>
      <c r="C113" s="1" t="s">
        <v>82</v>
      </c>
      <c r="D113" s="7">
        <v>180</v>
      </c>
      <c r="E113" s="7"/>
      <c r="F113" s="7" t="s">
        <v>92</v>
      </c>
      <c r="G113" s="1"/>
    </row>
    <row r="114" spans="1:7" ht="15.75">
      <c r="A114" s="246" t="s">
        <v>26</v>
      </c>
      <c r="B114" s="248">
        <v>43509</v>
      </c>
      <c r="C114" s="1" t="s">
        <v>56</v>
      </c>
      <c r="D114" s="2">
        <v>2000</v>
      </c>
      <c r="E114" s="2"/>
      <c r="F114" s="46" t="s">
        <v>63</v>
      </c>
      <c r="G114" s="1"/>
    </row>
    <row r="115" spans="1:7" ht="15.75">
      <c r="A115" s="246" t="s">
        <v>26</v>
      </c>
      <c r="B115" s="248">
        <v>43509</v>
      </c>
      <c r="C115" s="1" t="s">
        <v>46</v>
      </c>
      <c r="D115" s="2">
        <f>20+2000</f>
        <v>2020</v>
      </c>
      <c r="E115" s="2"/>
      <c r="F115" s="46" t="s">
        <v>63</v>
      </c>
      <c r="G115" s="1"/>
    </row>
    <row r="116" spans="1:7" ht="15.75">
      <c r="A116" s="246" t="s">
        <v>26</v>
      </c>
      <c r="B116" s="248">
        <v>43509</v>
      </c>
      <c r="C116" s="1" t="s">
        <v>138</v>
      </c>
      <c r="D116" s="2">
        <f>1000+3000</f>
        <v>4000</v>
      </c>
      <c r="E116" s="2"/>
      <c r="F116" s="46" t="s">
        <v>44</v>
      </c>
      <c r="G116" s="1" t="s">
        <v>105</v>
      </c>
    </row>
    <row r="117" spans="1:7" ht="15.75">
      <c r="A117" s="246" t="s">
        <v>26</v>
      </c>
      <c r="B117" s="248">
        <v>43510</v>
      </c>
      <c r="C117" s="1" t="s">
        <v>75</v>
      </c>
      <c r="D117" s="2">
        <v>40</v>
      </c>
      <c r="E117" s="2"/>
      <c r="F117" s="46" t="s">
        <v>139</v>
      </c>
      <c r="G117" s="1" t="s">
        <v>76</v>
      </c>
    </row>
    <row r="118" spans="1:7" ht="15.75">
      <c r="A118" s="246" t="s">
        <v>26</v>
      </c>
      <c r="B118" s="248">
        <v>43511</v>
      </c>
      <c r="C118" s="1" t="s">
        <v>140</v>
      </c>
      <c r="D118" s="2">
        <v>75</v>
      </c>
      <c r="E118" s="2"/>
      <c r="F118" s="46" t="s">
        <v>58</v>
      </c>
      <c r="G118" s="1"/>
    </row>
    <row r="119" spans="1:7" ht="15.75">
      <c r="A119" s="246" t="s">
        <v>26</v>
      </c>
      <c r="B119" s="248">
        <v>43511</v>
      </c>
      <c r="C119" s="1" t="s">
        <v>64</v>
      </c>
      <c r="D119" s="2">
        <f>1000+200</f>
        <v>1200</v>
      </c>
      <c r="E119" s="2"/>
      <c r="F119" s="46" t="s">
        <v>50</v>
      </c>
      <c r="G119" s="1" t="s">
        <v>73</v>
      </c>
    </row>
    <row r="120" spans="1:7" ht="15.75">
      <c r="A120" s="246" t="s">
        <v>26</v>
      </c>
      <c r="B120" s="248">
        <v>43511</v>
      </c>
      <c r="C120" s="1" t="s">
        <v>69</v>
      </c>
      <c r="D120" s="2">
        <v>500</v>
      </c>
      <c r="E120" s="2"/>
      <c r="F120" s="46" t="s">
        <v>63</v>
      </c>
      <c r="G120" s="1"/>
    </row>
    <row r="121" spans="1:7" ht="15.75">
      <c r="A121" s="246" t="s">
        <v>26</v>
      </c>
      <c r="B121" s="248">
        <v>43511</v>
      </c>
      <c r="C121" s="1" t="s">
        <v>48</v>
      </c>
      <c r="D121" s="2">
        <v>200</v>
      </c>
      <c r="E121" s="2"/>
      <c r="F121" s="46" t="s">
        <v>63</v>
      </c>
      <c r="G121" s="1"/>
    </row>
    <row r="122" spans="1:7" ht="15.75">
      <c r="A122" s="246" t="s">
        <v>26</v>
      </c>
      <c r="B122" s="248">
        <v>43511</v>
      </c>
      <c r="C122" s="1" t="s">
        <v>55</v>
      </c>
      <c r="D122" s="2">
        <f>100+100</f>
        <v>200</v>
      </c>
      <c r="E122" s="2"/>
      <c r="F122" s="46" t="s">
        <v>63</v>
      </c>
      <c r="G122" s="1"/>
    </row>
    <row r="123" spans="1:7" ht="15.75">
      <c r="A123" s="246" t="s">
        <v>26</v>
      </c>
      <c r="B123" s="248">
        <v>43511</v>
      </c>
      <c r="C123" s="1" t="s">
        <v>81</v>
      </c>
      <c r="D123" s="2">
        <v>2000</v>
      </c>
      <c r="E123" s="2"/>
      <c r="F123" s="46" t="s">
        <v>50</v>
      </c>
      <c r="G123" s="1"/>
    </row>
    <row r="124" spans="1:7" ht="15.75">
      <c r="A124" s="246" t="s">
        <v>26</v>
      </c>
      <c r="B124" s="248">
        <v>43514</v>
      </c>
      <c r="C124" s="30" t="s">
        <v>103</v>
      </c>
      <c r="D124" s="2">
        <v>125</v>
      </c>
      <c r="E124" s="2"/>
      <c r="F124" s="2" t="s">
        <v>92</v>
      </c>
      <c r="G124" s="1"/>
    </row>
    <row r="125" spans="1:7" ht="15.75">
      <c r="A125" s="246" t="s">
        <v>26</v>
      </c>
      <c r="B125" s="248">
        <v>43514</v>
      </c>
      <c r="C125" s="30" t="s">
        <v>57</v>
      </c>
      <c r="D125" s="2">
        <v>75</v>
      </c>
      <c r="E125" s="2"/>
      <c r="F125" s="2" t="s">
        <v>60</v>
      </c>
      <c r="G125" s="1"/>
    </row>
    <row r="126" spans="1:7" ht="15.75">
      <c r="A126" s="246" t="s">
        <v>26</v>
      </c>
      <c r="B126" s="248">
        <v>43514</v>
      </c>
      <c r="C126" s="30" t="s">
        <v>141</v>
      </c>
      <c r="D126" s="2">
        <v>500</v>
      </c>
      <c r="E126" s="2"/>
      <c r="F126" s="2" t="s">
        <v>63</v>
      </c>
      <c r="G126" s="1"/>
    </row>
    <row r="127" spans="1:7" ht="15.75">
      <c r="A127" s="246" t="s">
        <v>26</v>
      </c>
      <c r="B127" s="248">
        <v>43514</v>
      </c>
      <c r="C127" s="30" t="s">
        <v>87</v>
      </c>
      <c r="D127" s="2">
        <v>2000</v>
      </c>
      <c r="E127" s="2"/>
      <c r="F127" s="2" t="s">
        <v>92</v>
      </c>
      <c r="G127" s="1" t="s">
        <v>88</v>
      </c>
    </row>
    <row r="128" spans="1:7" ht="15.75">
      <c r="A128" s="246" t="s">
        <v>26</v>
      </c>
      <c r="B128" s="248">
        <v>43514</v>
      </c>
      <c r="C128" s="30" t="s">
        <v>142</v>
      </c>
      <c r="D128" s="2">
        <v>40</v>
      </c>
      <c r="E128" s="2"/>
      <c r="F128" s="2" t="s">
        <v>60</v>
      </c>
      <c r="G128" s="1"/>
    </row>
    <row r="129" spans="1:7" ht="15.75">
      <c r="A129" s="246" t="s">
        <v>26</v>
      </c>
      <c r="B129" s="248">
        <v>43514</v>
      </c>
      <c r="C129" s="30" t="s">
        <v>89</v>
      </c>
      <c r="D129" s="2">
        <f>100+40</f>
        <v>140</v>
      </c>
      <c r="E129" s="2"/>
      <c r="F129" s="2" t="s">
        <v>60</v>
      </c>
      <c r="G129" s="1"/>
    </row>
    <row r="130" spans="1:7" ht="15.75">
      <c r="A130" s="246" t="s">
        <v>26</v>
      </c>
      <c r="B130" s="248">
        <v>43515</v>
      </c>
      <c r="C130" s="90" t="s">
        <v>51</v>
      </c>
      <c r="D130" s="82"/>
      <c r="E130" s="82">
        <v>20</v>
      </c>
      <c r="F130" s="82"/>
      <c r="G130" s="81" t="s">
        <v>52</v>
      </c>
    </row>
    <row r="131" spans="1:7" ht="15.75">
      <c r="A131" s="246" t="s">
        <v>26</v>
      </c>
      <c r="B131" s="248">
        <v>43515</v>
      </c>
      <c r="C131" s="30" t="s">
        <v>97</v>
      </c>
      <c r="D131" s="2">
        <v>200</v>
      </c>
      <c r="E131" s="2"/>
      <c r="F131" s="2" t="s">
        <v>60</v>
      </c>
      <c r="G131" s="1"/>
    </row>
    <row r="132" spans="1:7" ht="15.75">
      <c r="A132" s="246" t="s">
        <v>26</v>
      </c>
      <c r="B132" s="248">
        <v>43515</v>
      </c>
      <c r="C132" s="30" t="s">
        <v>81</v>
      </c>
      <c r="D132" s="2">
        <f>4000+2000</f>
        <v>6000</v>
      </c>
      <c r="E132" s="2"/>
      <c r="F132" s="2" t="s">
        <v>50</v>
      </c>
      <c r="G132" s="1" t="s">
        <v>143</v>
      </c>
    </row>
    <row r="133" spans="1:7" ht="15.75">
      <c r="A133" s="246" t="s">
        <v>26</v>
      </c>
      <c r="B133" s="248">
        <v>43515</v>
      </c>
      <c r="C133" s="30" t="s">
        <v>82</v>
      </c>
      <c r="D133" s="2">
        <f>600+200+210</f>
        <v>1010</v>
      </c>
      <c r="E133" s="2"/>
      <c r="F133" s="2" t="s">
        <v>63</v>
      </c>
      <c r="G133" s="1"/>
    </row>
    <row r="134" spans="1:7" ht="15.75">
      <c r="A134" s="246" t="s">
        <v>26</v>
      </c>
      <c r="B134" s="248">
        <v>43516</v>
      </c>
      <c r="C134" s="1" t="s">
        <v>123</v>
      </c>
      <c r="D134" s="7">
        <v>1500</v>
      </c>
      <c r="E134" s="7"/>
      <c r="F134" s="7" t="s">
        <v>58</v>
      </c>
      <c r="G134" s="46"/>
    </row>
    <row r="135" spans="1:7" ht="15.75">
      <c r="A135" s="246" t="s">
        <v>26</v>
      </c>
      <c r="B135" s="248">
        <v>43516</v>
      </c>
      <c r="C135" s="1" t="s">
        <v>104</v>
      </c>
      <c r="D135" s="7">
        <v>4000</v>
      </c>
      <c r="E135" s="7"/>
      <c r="F135" s="7" t="s">
        <v>50</v>
      </c>
      <c r="G135" s="46" t="s">
        <v>105</v>
      </c>
    </row>
    <row r="136" spans="1:7" ht="15.75">
      <c r="A136" s="246" t="s">
        <v>26</v>
      </c>
      <c r="B136" s="248">
        <v>43516</v>
      </c>
      <c r="C136" s="1" t="s">
        <v>144</v>
      </c>
      <c r="D136" s="7">
        <f>200+40</f>
        <v>240</v>
      </c>
      <c r="E136" s="7"/>
      <c r="F136" s="7" t="s">
        <v>50</v>
      </c>
      <c r="G136" s="46" t="s">
        <v>105</v>
      </c>
    </row>
    <row r="137" spans="1:7" ht="15.75">
      <c r="A137" s="246" t="s">
        <v>26</v>
      </c>
      <c r="B137" s="248">
        <v>43516</v>
      </c>
      <c r="C137" s="1" t="s">
        <v>145</v>
      </c>
      <c r="D137" s="7">
        <f>60+120</f>
        <v>180</v>
      </c>
      <c r="E137" s="7"/>
      <c r="F137" s="7" t="s">
        <v>63</v>
      </c>
      <c r="G137" s="46"/>
    </row>
    <row r="138" spans="1:7" ht="15.75">
      <c r="A138" s="246" t="s">
        <v>26</v>
      </c>
      <c r="B138" s="248">
        <v>43516</v>
      </c>
      <c r="C138" s="30" t="s">
        <v>146</v>
      </c>
      <c r="D138" s="7">
        <f>11.35+50</f>
        <v>61.35</v>
      </c>
      <c r="E138" s="7"/>
      <c r="F138" s="7" t="s">
        <v>63</v>
      </c>
      <c r="G138" s="46"/>
    </row>
    <row r="139" spans="1:7" ht="15.75">
      <c r="A139" s="246" t="s">
        <v>26</v>
      </c>
      <c r="B139" s="248">
        <v>43517</v>
      </c>
      <c r="C139" s="1" t="s">
        <v>147</v>
      </c>
      <c r="D139" s="2">
        <f>600+1000+1200</f>
        <v>2800</v>
      </c>
      <c r="E139" s="2"/>
      <c r="F139" s="2" t="s">
        <v>63</v>
      </c>
      <c r="G139" s="1"/>
    </row>
    <row r="140" spans="1:7" ht="15.75">
      <c r="A140" s="246" t="s">
        <v>26</v>
      </c>
      <c r="B140" s="248">
        <v>43517</v>
      </c>
      <c r="C140" s="1" t="s">
        <v>148</v>
      </c>
      <c r="D140" s="2">
        <v>100</v>
      </c>
      <c r="E140" s="2"/>
      <c r="F140" s="2" t="s">
        <v>44</v>
      </c>
      <c r="G140" s="1" t="s">
        <v>88</v>
      </c>
    </row>
    <row r="141" spans="1:7" ht="15.75">
      <c r="A141" s="246" t="s">
        <v>26</v>
      </c>
      <c r="B141" s="248">
        <v>43517</v>
      </c>
      <c r="C141" s="1" t="s">
        <v>69</v>
      </c>
      <c r="D141" s="2">
        <v>600</v>
      </c>
      <c r="E141" s="2"/>
      <c r="F141" s="2" t="s">
        <v>50</v>
      </c>
      <c r="G141" s="1"/>
    </row>
    <row r="142" spans="1:7" ht="15.75">
      <c r="A142" s="246" t="s">
        <v>26</v>
      </c>
      <c r="B142" s="248">
        <v>43518</v>
      </c>
      <c r="C142" s="1" t="s">
        <v>112</v>
      </c>
      <c r="D142" s="2">
        <v>160</v>
      </c>
      <c r="E142" s="2"/>
      <c r="F142" s="2" t="s">
        <v>58</v>
      </c>
      <c r="G142" s="1"/>
    </row>
    <row r="143" spans="1:7" ht="15.75">
      <c r="A143" s="246" t="s">
        <v>26</v>
      </c>
      <c r="B143" s="248">
        <v>43518</v>
      </c>
      <c r="C143" s="1" t="s">
        <v>62</v>
      </c>
      <c r="D143" s="2">
        <v>1500</v>
      </c>
      <c r="E143" s="2"/>
      <c r="F143" s="2" t="s">
        <v>63</v>
      </c>
      <c r="G143" s="81"/>
    </row>
    <row r="144" spans="1:7" ht="15.75">
      <c r="A144" s="246" t="s">
        <v>26</v>
      </c>
      <c r="B144" s="248">
        <v>43518</v>
      </c>
      <c r="C144" s="1" t="s">
        <v>47</v>
      </c>
      <c r="D144" s="2">
        <v>700</v>
      </c>
      <c r="E144" s="2"/>
      <c r="F144" s="2" t="s">
        <v>63</v>
      </c>
      <c r="G144" s="1"/>
    </row>
    <row r="145" spans="1:7" ht="15.75">
      <c r="A145" s="246" t="s">
        <v>26</v>
      </c>
      <c r="B145" s="248">
        <v>43518</v>
      </c>
      <c r="C145" s="1" t="s">
        <v>69</v>
      </c>
      <c r="D145" s="2">
        <v>400</v>
      </c>
      <c r="E145" s="2"/>
      <c r="F145" s="2" t="s">
        <v>63</v>
      </c>
      <c r="G145" s="1"/>
    </row>
    <row r="146" spans="1:7" ht="15.75">
      <c r="A146" s="246" t="s">
        <v>26</v>
      </c>
      <c r="B146" s="248">
        <v>43518</v>
      </c>
      <c r="C146" s="1" t="s">
        <v>149</v>
      </c>
      <c r="D146" s="2">
        <v>20</v>
      </c>
      <c r="E146" s="2"/>
      <c r="F146" s="2" t="s">
        <v>63</v>
      </c>
      <c r="G146" s="1"/>
    </row>
    <row r="147" spans="1:7" ht="15.75">
      <c r="A147" s="246" t="s">
        <v>26</v>
      </c>
      <c r="B147" s="248">
        <v>43521</v>
      </c>
      <c r="C147" s="1" t="s">
        <v>150</v>
      </c>
      <c r="D147" s="2">
        <v>20</v>
      </c>
      <c r="E147" s="2"/>
      <c r="F147" s="2" t="s">
        <v>63</v>
      </c>
      <c r="G147" s="1"/>
    </row>
    <row r="148" spans="1:7" ht="15.75">
      <c r="A148" s="246" t="s">
        <v>26</v>
      </c>
      <c r="B148" s="248">
        <v>43521</v>
      </c>
      <c r="C148" s="1" t="s">
        <v>151</v>
      </c>
      <c r="D148" s="2">
        <f>20+100</f>
        <v>120</v>
      </c>
      <c r="E148" s="2"/>
      <c r="F148" s="2" t="s">
        <v>63</v>
      </c>
      <c r="G148" s="1"/>
    </row>
    <row r="149" spans="1:7" ht="15.75">
      <c r="A149" s="246" t="s">
        <v>26</v>
      </c>
      <c r="B149" s="248">
        <v>43521</v>
      </c>
      <c r="C149" s="81" t="s">
        <v>107</v>
      </c>
      <c r="D149" s="82"/>
      <c r="E149" s="82">
        <v>400</v>
      </c>
      <c r="F149" s="90" t="s">
        <v>11</v>
      </c>
      <c r="G149" s="81" t="s">
        <v>108</v>
      </c>
    </row>
    <row r="150" spans="1:7" ht="15.75">
      <c r="A150" s="246" t="s">
        <v>26</v>
      </c>
      <c r="B150" s="248">
        <v>43521</v>
      </c>
      <c r="C150" s="1" t="s">
        <v>48</v>
      </c>
      <c r="D150" s="2">
        <f>600+500</f>
        <v>1100</v>
      </c>
      <c r="E150" s="2"/>
      <c r="F150" s="90"/>
      <c r="G150" s="1"/>
    </row>
    <row r="151" spans="1:7" ht="15.75">
      <c r="A151" s="246" t="s">
        <v>26</v>
      </c>
      <c r="B151" s="248">
        <v>43522</v>
      </c>
      <c r="C151" s="74" t="s">
        <v>125</v>
      </c>
      <c r="D151" s="101">
        <v>100</v>
      </c>
      <c r="E151" s="101"/>
      <c r="F151" s="101" t="s">
        <v>92</v>
      </c>
      <c r="G151" s="74" t="s">
        <v>84</v>
      </c>
    </row>
    <row r="152" spans="1:7" ht="15.75">
      <c r="A152" s="246" t="s">
        <v>26</v>
      </c>
      <c r="B152" s="248">
        <v>43522</v>
      </c>
      <c r="C152" s="1" t="s">
        <v>152</v>
      </c>
      <c r="D152" s="7">
        <v>100</v>
      </c>
      <c r="E152" s="7"/>
      <c r="F152" s="7" t="s">
        <v>58</v>
      </c>
      <c r="G152" s="1"/>
    </row>
    <row r="153" spans="1:7" ht="15.75">
      <c r="A153" s="246" t="s">
        <v>26</v>
      </c>
      <c r="B153" s="248">
        <v>43522</v>
      </c>
      <c r="C153" s="74" t="s">
        <v>153</v>
      </c>
      <c r="D153" s="101">
        <v>180</v>
      </c>
      <c r="E153" s="101"/>
      <c r="F153" s="101" t="s">
        <v>63</v>
      </c>
      <c r="G153" s="74" t="s">
        <v>154</v>
      </c>
    </row>
    <row r="154" spans="1:7" ht="15.75">
      <c r="A154" s="246" t="s">
        <v>26</v>
      </c>
      <c r="B154" s="248">
        <v>43523</v>
      </c>
      <c r="C154" s="1" t="s">
        <v>96</v>
      </c>
      <c r="D154" s="7">
        <v>50</v>
      </c>
      <c r="E154" s="7"/>
      <c r="F154" s="7" t="s">
        <v>92</v>
      </c>
      <c r="G154" s="1"/>
    </row>
    <row r="155" spans="1:7" ht="15.75">
      <c r="A155" s="246" t="s">
        <v>26</v>
      </c>
      <c r="B155" s="248">
        <v>43523</v>
      </c>
      <c r="C155" s="1" t="s">
        <v>104</v>
      </c>
      <c r="D155" s="7">
        <f>1000+3000</f>
        <v>4000</v>
      </c>
      <c r="E155" s="7"/>
      <c r="F155" s="7" t="s">
        <v>44</v>
      </c>
      <c r="G155" s="1" t="s">
        <v>105</v>
      </c>
    </row>
    <row r="156" spans="1:7" ht="15.75">
      <c r="A156" s="246" t="s">
        <v>26</v>
      </c>
      <c r="B156" s="248">
        <v>43523</v>
      </c>
      <c r="C156" s="1" t="s">
        <v>69</v>
      </c>
      <c r="D156" s="7">
        <v>500</v>
      </c>
      <c r="E156" s="7"/>
      <c r="F156" s="7" t="s">
        <v>50</v>
      </c>
      <c r="G156" s="1"/>
    </row>
    <row r="157" spans="1:7" ht="15.75">
      <c r="A157" s="246" t="s">
        <v>26</v>
      </c>
      <c r="B157" s="248">
        <v>43523</v>
      </c>
      <c r="C157" s="1" t="s">
        <v>155</v>
      </c>
      <c r="D157" s="7">
        <v>125</v>
      </c>
      <c r="E157" s="7"/>
      <c r="F157" s="7" t="s">
        <v>60</v>
      </c>
      <c r="G157" s="1"/>
    </row>
    <row r="158" spans="1:7" ht="15.75">
      <c r="A158" s="246" t="s">
        <v>26</v>
      </c>
      <c r="B158" s="248">
        <v>43523</v>
      </c>
      <c r="C158" s="1" t="s">
        <v>81</v>
      </c>
      <c r="D158" s="2">
        <f>2000+3150</f>
        <v>5150</v>
      </c>
      <c r="E158" s="2"/>
      <c r="F158" s="2" t="s">
        <v>63</v>
      </c>
      <c r="G158" s="1"/>
    </row>
    <row r="159" spans="1:7" ht="15.75">
      <c r="A159" s="246" t="s">
        <v>26</v>
      </c>
      <c r="B159" s="248">
        <v>43524</v>
      </c>
      <c r="C159" s="1" t="s">
        <v>56</v>
      </c>
      <c r="D159" s="2">
        <f>2000+20</f>
        <v>2020</v>
      </c>
      <c r="E159" s="113"/>
      <c r="F159" s="2" t="s">
        <v>63</v>
      </c>
      <c r="G159" s="1"/>
    </row>
    <row r="160" spans="1:7" ht="15.75">
      <c r="A160" s="246" t="s">
        <v>26</v>
      </c>
      <c r="B160" s="248">
        <v>43524</v>
      </c>
      <c r="C160" s="1" t="s">
        <v>111</v>
      </c>
      <c r="D160" s="2">
        <f>1000+1000</f>
        <v>2000</v>
      </c>
      <c r="E160" s="113"/>
      <c r="F160" s="2" t="s">
        <v>63</v>
      </c>
      <c r="G160" s="1"/>
    </row>
    <row r="161" spans="1:7" ht="15.75">
      <c r="A161" s="246" t="s">
        <v>27</v>
      </c>
      <c r="B161" s="247">
        <v>43525</v>
      </c>
      <c r="C161" s="30" t="s">
        <v>156</v>
      </c>
      <c r="D161" s="6">
        <f>540+400+1000+1500</f>
        <v>3440</v>
      </c>
      <c r="E161" s="6"/>
      <c r="F161" s="46" t="s">
        <v>50</v>
      </c>
      <c r="G161" s="1" t="s">
        <v>88</v>
      </c>
    </row>
    <row r="162" spans="1:7" ht="15.75">
      <c r="A162" s="246" t="s">
        <v>27</v>
      </c>
      <c r="B162" s="247">
        <v>43525</v>
      </c>
      <c r="C162" s="30" t="s">
        <v>93</v>
      </c>
      <c r="D162" s="6">
        <v>2000</v>
      </c>
      <c r="E162" s="6"/>
      <c r="F162" s="46" t="s">
        <v>44</v>
      </c>
      <c r="G162" s="1"/>
    </row>
    <row r="163" spans="1:7" ht="15.75">
      <c r="A163" s="246" t="s">
        <v>27</v>
      </c>
      <c r="B163" s="247">
        <v>43525</v>
      </c>
      <c r="C163" s="30" t="s">
        <v>157</v>
      </c>
      <c r="D163" s="6">
        <v>150</v>
      </c>
      <c r="E163" s="6"/>
      <c r="F163" s="46" t="s">
        <v>58</v>
      </c>
      <c r="G163" s="1"/>
    </row>
    <row r="164" spans="1:7" ht="15.75">
      <c r="A164" s="246" t="s">
        <v>27</v>
      </c>
      <c r="B164" s="247">
        <v>43525</v>
      </c>
      <c r="C164" s="1" t="s">
        <v>47</v>
      </c>
      <c r="D164" s="2">
        <v>250</v>
      </c>
      <c r="E164" s="2"/>
      <c r="F164" s="2" t="s">
        <v>44</v>
      </c>
      <c r="G164" s="1"/>
    </row>
    <row r="165" spans="1:7" ht="15.75">
      <c r="A165" s="246" t="s">
        <v>27</v>
      </c>
      <c r="B165" s="247">
        <v>43525</v>
      </c>
      <c r="C165" s="1" t="s">
        <v>62</v>
      </c>
      <c r="D165" s="2">
        <v>400</v>
      </c>
      <c r="E165" s="2"/>
      <c r="F165" s="2" t="s">
        <v>44</v>
      </c>
      <c r="G165" s="1"/>
    </row>
    <row r="166" spans="1:7" ht="15.75">
      <c r="A166" s="246" t="s">
        <v>27</v>
      </c>
      <c r="B166" s="247">
        <v>43525</v>
      </c>
      <c r="C166" s="74" t="s">
        <v>158</v>
      </c>
      <c r="D166" s="67">
        <v>4000</v>
      </c>
      <c r="E166" s="67"/>
      <c r="F166" s="67" t="s">
        <v>159</v>
      </c>
      <c r="G166" s="74" t="s">
        <v>160</v>
      </c>
    </row>
    <row r="167" spans="1:7" ht="15.75">
      <c r="A167" s="246" t="s">
        <v>27</v>
      </c>
      <c r="B167" s="248">
        <v>43528</v>
      </c>
      <c r="C167" s="1" t="s">
        <v>161</v>
      </c>
      <c r="D167" s="6">
        <v>240</v>
      </c>
      <c r="E167" s="6"/>
      <c r="F167" s="46" t="s">
        <v>50</v>
      </c>
      <c r="G167" s="1"/>
    </row>
    <row r="168" spans="1:7" ht="15.75">
      <c r="A168" s="246" t="s">
        <v>27</v>
      </c>
      <c r="B168" s="248">
        <v>43528</v>
      </c>
      <c r="C168" s="1" t="s">
        <v>54</v>
      </c>
      <c r="D168" s="6">
        <f>3000+60</f>
        <v>3060</v>
      </c>
      <c r="E168" s="6"/>
      <c r="F168" s="46" t="s">
        <v>50</v>
      </c>
      <c r="G168" s="1"/>
    </row>
    <row r="169" spans="1:7" ht="15.75">
      <c r="A169" s="246" t="s">
        <v>27</v>
      </c>
      <c r="B169" s="248">
        <v>43528</v>
      </c>
      <c r="C169" s="1" t="s">
        <v>162</v>
      </c>
      <c r="D169" s="6">
        <v>50</v>
      </c>
      <c r="E169" s="6"/>
      <c r="F169" s="46" t="s">
        <v>58</v>
      </c>
      <c r="G169" s="1" t="s">
        <v>88</v>
      </c>
    </row>
    <row r="170" spans="1:7" ht="15.75">
      <c r="A170" s="246" t="s">
        <v>27</v>
      </c>
      <c r="B170" s="248">
        <v>43529</v>
      </c>
      <c r="C170" s="1" t="s">
        <v>163</v>
      </c>
      <c r="D170" s="6">
        <v>25</v>
      </c>
      <c r="E170" s="6"/>
      <c r="F170" s="46" t="s">
        <v>44</v>
      </c>
      <c r="G170" s="46"/>
    </row>
    <row r="171" spans="1:7" ht="15.75">
      <c r="A171" s="246" t="s">
        <v>27</v>
      </c>
      <c r="B171" s="248">
        <v>43529</v>
      </c>
      <c r="C171" s="1" t="s">
        <v>91</v>
      </c>
      <c r="D171" s="6">
        <v>125</v>
      </c>
      <c r="E171" s="6"/>
      <c r="F171" s="46" t="s">
        <v>44</v>
      </c>
      <c r="G171" s="46"/>
    </row>
    <row r="172" spans="1:7" ht="15.75">
      <c r="A172" s="246" t="s">
        <v>27</v>
      </c>
      <c r="B172" s="248">
        <v>43529</v>
      </c>
      <c r="C172" s="1" t="s">
        <v>155</v>
      </c>
      <c r="D172" s="6">
        <v>125</v>
      </c>
      <c r="E172" s="6"/>
      <c r="F172" s="46" t="s">
        <v>44</v>
      </c>
      <c r="G172" s="46"/>
    </row>
    <row r="173" spans="1:7" ht="15.75">
      <c r="A173" s="246" t="s">
        <v>27</v>
      </c>
      <c r="B173" s="248">
        <v>43529</v>
      </c>
      <c r="C173" s="1" t="s">
        <v>72</v>
      </c>
      <c r="D173" s="6">
        <v>300</v>
      </c>
      <c r="E173" s="6"/>
      <c r="F173" s="46" t="s">
        <v>92</v>
      </c>
      <c r="G173" s="46"/>
    </row>
    <row r="174" spans="1:7" ht="15.75">
      <c r="A174" s="246" t="s">
        <v>27</v>
      </c>
      <c r="B174" s="248">
        <v>43529</v>
      </c>
      <c r="C174" s="1" t="s">
        <v>81</v>
      </c>
      <c r="D174" s="6">
        <v>1200</v>
      </c>
      <c r="E174" s="6"/>
      <c r="F174" s="46" t="s">
        <v>63</v>
      </c>
      <c r="G174" s="46"/>
    </row>
    <row r="175" spans="1:7" ht="15.75">
      <c r="A175" s="246" t="s">
        <v>27</v>
      </c>
      <c r="B175" s="248">
        <v>43530</v>
      </c>
      <c r="C175" s="30" t="s">
        <v>46</v>
      </c>
      <c r="D175" s="2">
        <v>20</v>
      </c>
      <c r="E175" s="1"/>
      <c r="F175" s="30" t="s">
        <v>63</v>
      </c>
      <c r="G175" s="30"/>
    </row>
    <row r="176" spans="1:7" ht="15.75">
      <c r="A176" s="246" t="s">
        <v>27</v>
      </c>
      <c r="B176" s="248">
        <v>43530</v>
      </c>
      <c r="C176" s="30" t="s">
        <v>64</v>
      </c>
      <c r="D176" s="2">
        <v>200</v>
      </c>
      <c r="E176" s="1"/>
      <c r="F176" s="30" t="s">
        <v>44</v>
      </c>
      <c r="G176" s="30" t="s">
        <v>73</v>
      </c>
    </row>
    <row r="177" spans="1:7" ht="15.75">
      <c r="A177" s="246" t="s">
        <v>27</v>
      </c>
      <c r="B177" s="248">
        <v>43530</v>
      </c>
      <c r="C177" s="30" t="s">
        <v>104</v>
      </c>
      <c r="D177" s="2">
        <v>4000</v>
      </c>
      <c r="E177" s="1"/>
      <c r="F177" s="30" t="s">
        <v>44</v>
      </c>
      <c r="G177" s="30" t="s">
        <v>105</v>
      </c>
    </row>
    <row r="178" spans="1:7" ht="15.75">
      <c r="A178" s="246" t="s">
        <v>27</v>
      </c>
      <c r="B178" s="248">
        <v>43530</v>
      </c>
      <c r="C178" s="30" t="s">
        <v>164</v>
      </c>
      <c r="D178" s="2">
        <v>600</v>
      </c>
      <c r="E178" s="1"/>
      <c r="F178" s="30" t="s">
        <v>92</v>
      </c>
      <c r="G178" s="30"/>
    </row>
    <row r="179" spans="1:7" ht="15.75">
      <c r="A179" s="246" t="s">
        <v>27</v>
      </c>
      <c r="B179" s="248">
        <v>43530</v>
      </c>
      <c r="C179" s="1" t="s">
        <v>102</v>
      </c>
      <c r="D179" s="2">
        <v>525</v>
      </c>
      <c r="E179" s="2"/>
      <c r="F179" s="2" t="s">
        <v>50</v>
      </c>
      <c r="G179" s="1"/>
    </row>
    <row r="180" spans="1:7" ht="15.75">
      <c r="A180" s="246" t="s">
        <v>27</v>
      </c>
      <c r="B180" s="248">
        <v>43531</v>
      </c>
      <c r="C180" s="30" t="s">
        <v>165</v>
      </c>
      <c r="D180" s="2">
        <v>200</v>
      </c>
      <c r="E180" s="2"/>
      <c r="F180" s="30" t="s">
        <v>60</v>
      </c>
      <c r="G180" s="1"/>
    </row>
    <row r="181" spans="1:7" ht="15.75">
      <c r="A181" s="246" t="s">
        <v>27</v>
      </c>
      <c r="B181" s="248">
        <v>43531</v>
      </c>
      <c r="C181" s="30" t="s">
        <v>147</v>
      </c>
      <c r="D181" s="2">
        <v>180</v>
      </c>
      <c r="E181" s="2"/>
      <c r="F181" s="30" t="s">
        <v>60</v>
      </c>
      <c r="G181" s="1"/>
    </row>
    <row r="182" spans="1:7" ht="15.75">
      <c r="A182" s="246" t="s">
        <v>27</v>
      </c>
      <c r="B182" s="248">
        <v>43531</v>
      </c>
      <c r="C182" s="30" t="s">
        <v>166</v>
      </c>
      <c r="D182" s="2">
        <f>100+50</f>
        <v>150</v>
      </c>
      <c r="E182" s="2"/>
      <c r="F182" s="30" t="s">
        <v>44</v>
      </c>
      <c r="G182" s="1"/>
    </row>
    <row r="183" spans="1:7" ht="15.75">
      <c r="A183" s="246" t="s">
        <v>27</v>
      </c>
      <c r="B183" s="248">
        <v>43531</v>
      </c>
      <c r="C183" s="30" t="s">
        <v>47</v>
      </c>
      <c r="D183" s="2">
        <v>375</v>
      </c>
      <c r="E183" s="2"/>
      <c r="F183" s="30" t="s">
        <v>44</v>
      </c>
      <c r="G183" s="1"/>
    </row>
    <row r="184" spans="1:7" ht="15.75">
      <c r="A184" s="246" t="s">
        <v>27</v>
      </c>
      <c r="B184" s="248">
        <v>43531</v>
      </c>
      <c r="C184" s="30" t="s">
        <v>80</v>
      </c>
      <c r="D184" s="2">
        <v>500</v>
      </c>
      <c r="E184" s="2"/>
      <c r="F184" s="30" t="s">
        <v>44</v>
      </c>
      <c r="G184" s="1"/>
    </row>
    <row r="185" spans="1:7" ht="15.75">
      <c r="A185" s="246" t="s">
        <v>27</v>
      </c>
      <c r="B185" s="248">
        <v>43531</v>
      </c>
      <c r="C185" s="30" t="s">
        <v>62</v>
      </c>
      <c r="D185" s="2">
        <v>1100</v>
      </c>
      <c r="E185" s="2"/>
      <c r="F185" s="30" t="s">
        <v>44</v>
      </c>
      <c r="G185" s="1"/>
    </row>
    <row r="186" spans="1:7" ht="15.75">
      <c r="A186" s="246" t="s">
        <v>27</v>
      </c>
      <c r="B186" s="248">
        <v>43531</v>
      </c>
      <c r="C186" s="30" t="s">
        <v>55</v>
      </c>
      <c r="D186" s="2">
        <f>200+75</f>
        <v>275</v>
      </c>
      <c r="E186" s="2"/>
      <c r="F186" s="30" t="s">
        <v>44</v>
      </c>
      <c r="G186" s="1"/>
    </row>
    <row r="187" spans="1:7" ht="15.75">
      <c r="A187" s="246" t="s">
        <v>27</v>
      </c>
      <c r="B187" s="248">
        <v>43531</v>
      </c>
      <c r="C187" s="30" t="s">
        <v>167</v>
      </c>
      <c r="D187" s="2">
        <v>51</v>
      </c>
      <c r="E187" s="2"/>
      <c r="F187" s="30" t="s">
        <v>44</v>
      </c>
      <c r="G187" s="1"/>
    </row>
    <row r="188" spans="1:7" ht="15.75">
      <c r="A188" s="246" t="s">
        <v>27</v>
      </c>
      <c r="B188" s="248">
        <v>43531</v>
      </c>
      <c r="C188" s="30" t="s">
        <v>81</v>
      </c>
      <c r="D188" s="2">
        <v>5000</v>
      </c>
      <c r="E188" s="1"/>
      <c r="F188" s="30" t="s">
        <v>44</v>
      </c>
      <c r="G188" s="1"/>
    </row>
    <row r="189" spans="1:7" ht="15.75">
      <c r="A189" s="246" t="s">
        <v>27</v>
      </c>
      <c r="B189" s="248">
        <v>43532</v>
      </c>
      <c r="C189" s="30" t="s">
        <v>48</v>
      </c>
      <c r="D189" s="7">
        <v>600</v>
      </c>
      <c r="E189" s="7"/>
      <c r="F189" s="7" t="s">
        <v>50</v>
      </c>
      <c r="G189" s="1"/>
    </row>
    <row r="190" spans="1:7" ht="15.75">
      <c r="A190" s="246" t="s">
        <v>27</v>
      </c>
      <c r="B190" s="248">
        <v>43532</v>
      </c>
      <c r="C190" s="111" t="s">
        <v>168</v>
      </c>
      <c r="D190" s="101">
        <v>2000</v>
      </c>
      <c r="E190" s="101"/>
      <c r="F190" s="101" t="s">
        <v>44</v>
      </c>
      <c r="G190" s="74" t="s">
        <v>169</v>
      </c>
    </row>
    <row r="191" spans="1:7" ht="15.75">
      <c r="A191" s="246" t="s">
        <v>27</v>
      </c>
      <c r="B191" s="248">
        <v>43535</v>
      </c>
      <c r="C191" s="1" t="s">
        <v>114</v>
      </c>
      <c r="D191" s="7">
        <v>175</v>
      </c>
      <c r="E191" s="7"/>
      <c r="F191" s="7" t="s">
        <v>50</v>
      </c>
      <c r="G191" s="1"/>
    </row>
    <row r="192" spans="1:7" ht="15.75">
      <c r="A192" s="246" t="s">
        <v>27</v>
      </c>
      <c r="B192" s="248">
        <v>43535</v>
      </c>
      <c r="C192" s="1" t="s">
        <v>155</v>
      </c>
      <c r="D192" s="7">
        <v>150</v>
      </c>
      <c r="E192" s="7"/>
      <c r="F192" s="7" t="s">
        <v>50</v>
      </c>
      <c r="G192" s="1"/>
    </row>
    <row r="193" spans="1:7" ht="15.75">
      <c r="A193" s="246" t="s">
        <v>27</v>
      </c>
      <c r="B193" s="248">
        <v>43535</v>
      </c>
      <c r="C193" s="1" t="s">
        <v>124</v>
      </c>
      <c r="D193" s="7">
        <v>200</v>
      </c>
      <c r="E193" s="7"/>
      <c r="F193" s="7" t="s">
        <v>60</v>
      </c>
      <c r="G193" s="1"/>
    </row>
    <row r="194" spans="1:7" ht="15.75">
      <c r="A194" s="246" t="s">
        <v>27</v>
      </c>
      <c r="B194" s="248">
        <v>43535</v>
      </c>
      <c r="C194" s="1" t="s">
        <v>121</v>
      </c>
      <c r="D194" s="7">
        <v>200</v>
      </c>
      <c r="E194" s="7"/>
      <c r="F194" s="7" t="s">
        <v>60</v>
      </c>
      <c r="G194" s="1"/>
    </row>
    <row r="195" spans="1:7" ht="15.75">
      <c r="A195" s="246" t="s">
        <v>27</v>
      </c>
      <c r="B195" s="248">
        <v>43536</v>
      </c>
      <c r="C195" s="1" t="s">
        <v>93</v>
      </c>
      <c r="D195" s="7">
        <v>2000</v>
      </c>
      <c r="E195" s="7"/>
      <c r="F195" s="7" t="s">
        <v>63</v>
      </c>
      <c r="G195" s="1"/>
    </row>
    <row r="196" spans="1:7" ht="15.75">
      <c r="A196" s="246" t="s">
        <v>27</v>
      </c>
      <c r="B196" s="248">
        <v>43536</v>
      </c>
      <c r="C196" s="1" t="s">
        <v>43</v>
      </c>
      <c r="D196" s="7">
        <v>3000</v>
      </c>
      <c r="E196" s="7"/>
      <c r="F196" s="7" t="s">
        <v>63</v>
      </c>
      <c r="G196" s="1"/>
    </row>
    <row r="197" spans="1:7" ht="15.75">
      <c r="A197" s="246" t="s">
        <v>27</v>
      </c>
      <c r="B197" s="248">
        <v>43537</v>
      </c>
      <c r="C197" s="81" t="s">
        <v>51</v>
      </c>
      <c r="D197" s="82"/>
      <c r="E197" s="82">
        <v>5</v>
      </c>
      <c r="F197" s="83" t="s">
        <v>11</v>
      </c>
      <c r="G197" s="81" t="s">
        <v>52</v>
      </c>
    </row>
    <row r="198" spans="1:7" ht="15.75">
      <c r="A198" s="246" t="s">
        <v>27</v>
      </c>
      <c r="B198" s="248">
        <v>43537</v>
      </c>
      <c r="C198" s="1" t="s">
        <v>64</v>
      </c>
      <c r="D198" s="2">
        <v>1000</v>
      </c>
      <c r="E198" s="2"/>
      <c r="F198" s="46" t="s">
        <v>170</v>
      </c>
      <c r="G198" s="1" t="s">
        <v>73</v>
      </c>
    </row>
    <row r="199" spans="1:7" ht="15.75">
      <c r="A199" s="246" t="s">
        <v>27</v>
      </c>
      <c r="B199" s="248">
        <v>43537</v>
      </c>
      <c r="C199" s="1" t="s">
        <v>86</v>
      </c>
      <c r="D199" s="2">
        <v>1000</v>
      </c>
      <c r="E199" s="2"/>
      <c r="F199" s="46" t="s">
        <v>63</v>
      </c>
      <c r="G199" s="1"/>
    </row>
    <row r="200" spans="1:7" ht="15.75">
      <c r="A200" s="246" t="s">
        <v>27</v>
      </c>
      <c r="B200" s="248">
        <v>43538</v>
      </c>
      <c r="C200" s="74" t="s">
        <v>117</v>
      </c>
      <c r="D200" s="67">
        <f>160+160</f>
        <v>320</v>
      </c>
      <c r="E200" s="67"/>
      <c r="F200" s="112" t="s">
        <v>63</v>
      </c>
      <c r="G200" s="74" t="s">
        <v>95</v>
      </c>
    </row>
    <row r="201" spans="1:7" ht="15.75">
      <c r="A201" s="246" t="s">
        <v>27</v>
      </c>
      <c r="B201" s="248">
        <v>43538</v>
      </c>
      <c r="C201" s="74" t="s">
        <v>94</v>
      </c>
      <c r="D201" s="67">
        <v>2000</v>
      </c>
      <c r="E201" s="67"/>
      <c r="F201" s="112" t="s">
        <v>63</v>
      </c>
      <c r="G201" s="74" t="s">
        <v>95</v>
      </c>
    </row>
    <row r="202" spans="1:7" ht="15.75">
      <c r="A202" s="246" t="s">
        <v>27</v>
      </c>
      <c r="B202" s="248">
        <v>43538</v>
      </c>
      <c r="C202" s="1" t="s">
        <v>47</v>
      </c>
      <c r="D202" s="2">
        <v>250</v>
      </c>
      <c r="E202" s="2"/>
      <c r="F202" s="46" t="s">
        <v>44</v>
      </c>
      <c r="G202" s="1"/>
    </row>
    <row r="203" spans="1:7" ht="15.75">
      <c r="A203" s="246" t="s">
        <v>27</v>
      </c>
      <c r="B203" s="248">
        <v>43538</v>
      </c>
      <c r="C203" s="1" t="s">
        <v>69</v>
      </c>
      <c r="D203" s="2">
        <v>1000</v>
      </c>
      <c r="E203" s="2"/>
      <c r="F203" s="46" t="s">
        <v>44</v>
      </c>
      <c r="G203" s="1"/>
    </row>
    <row r="204" spans="1:7" ht="15.75">
      <c r="A204" s="246" t="s">
        <v>27</v>
      </c>
      <c r="B204" s="248">
        <v>43538</v>
      </c>
      <c r="C204" s="1" t="s">
        <v>171</v>
      </c>
      <c r="D204" s="2">
        <v>100</v>
      </c>
      <c r="E204" s="2"/>
      <c r="F204" s="46" t="s">
        <v>50</v>
      </c>
      <c r="G204" s="1"/>
    </row>
    <row r="205" spans="1:7" ht="15.75">
      <c r="A205" s="246" t="s">
        <v>27</v>
      </c>
      <c r="B205" s="248">
        <v>43539</v>
      </c>
      <c r="C205" s="1" t="s">
        <v>172</v>
      </c>
      <c r="D205" s="2">
        <v>40</v>
      </c>
      <c r="E205" s="2"/>
      <c r="F205" s="46" t="s">
        <v>50</v>
      </c>
      <c r="G205" s="1"/>
    </row>
    <row r="206" spans="1:7" ht="15.75">
      <c r="A206" s="246" t="s">
        <v>27</v>
      </c>
      <c r="B206" s="248">
        <v>43539</v>
      </c>
      <c r="C206" s="1" t="s">
        <v>79</v>
      </c>
      <c r="D206" s="2">
        <v>200</v>
      </c>
      <c r="E206" s="2"/>
      <c r="F206" s="46" t="s">
        <v>63</v>
      </c>
      <c r="G206" s="1"/>
    </row>
    <row r="207" spans="1:7" ht="15.75">
      <c r="A207" s="246" t="s">
        <v>27</v>
      </c>
      <c r="B207" s="248">
        <v>43539</v>
      </c>
      <c r="C207" s="30" t="s">
        <v>146</v>
      </c>
      <c r="D207" s="2">
        <v>11.35</v>
      </c>
      <c r="E207" s="2"/>
      <c r="F207" s="46" t="s">
        <v>63</v>
      </c>
      <c r="G207" s="1"/>
    </row>
    <row r="208" spans="1:7" ht="15.75">
      <c r="A208" s="246" t="s">
        <v>27</v>
      </c>
      <c r="B208" s="248">
        <v>43539</v>
      </c>
      <c r="C208" s="1" t="s">
        <v>173</v>
      </c>
      <c r="D208" s="2">
        <v>10</v>
      </c>
      <c r="E208" s="2"/>
      <c r="F208" s="46" t="s">
        <v>63</v>
      </c>
      <c r="G208" s="1" t="s">
        <v>68</v>
      </c>
    </row>
    <row r="209" spans="1:7" ht="15.75">
      <c r="A209" s="246" t="s">
        <v>27</v>
      </c>
      <c r="B209" s="248">
        <v>43539</v>
      </c>
      <c r="C209" s="1" t="s">
        <v>64</v>
      </c>
      <c r="D209" s="2">
        <v>200</v>
      </c>
      <c r="E209" s="2"/>
      <c r="F209" s="46" t="s">
        <v>44</v>
      </c>
      <c r="G209" s="1" t="s">
        <v>73</v>
      </c>
    </row>
    <row r="210" spans="1:7" ht="15.75">
      <c r="A210" s="246" t="s">
        <v>27</v>
      </c>
      <c r="B210" s="248">
        <v>43539</v>
      </c>
      <c r="C210" s="81" t="s">
        <v>174</v>
      </c>
      <c r="D210" s="82"/>
      <c r="E210" s="82">
        <f>500+500+600</f>
        <v>1600</v>
      </c>
      <c r="F210" s="83" t="s">
        <v>11</v>
      </c>
      <c r="G210" s="81" t="s">
        <v>66</v>
      </c>
    </row>
    <row r="211" spans="1:7" ht="15.75">
      <c r="A211" s="246" t="s">
        <v>27</v>
      </c>
      <c r="B211" s="248">
        <v>43543</v>
      </c>
      <c r="C211" s="30" t="s">
        <v>103</v>
      </c>
      <c r="D211" s="2">
        <v>125</v>
      </c>
      <c r="E211" s="2"/>
      <c r="F211" s="2" t="s">
        <v>60</v>
      </c>
      <c r="G211" s="1"/>
    </row>
    <row r="212" spans="1:7" ht="15.75">
      <c r="A212" s="246" t="s">
        <v>27</v>
      </c>
      <c r="B212" s="248">
        <v>43543</v>
      </c>
      <c r="C212" s="30" t="s">
        <v>175</v>
      </c>
      <c r="D212" s="2">
        <f>40+25</f>
        <v>65</v>
      </c>
      <c r="E212" s="2"/>
      <c r="F212" s="2" t="s">
        <v>139</v>
      </c>
      <c r="G212" s="1" t="s">
        <v>76</v>
      </c>
    </row>
    <row r="213" spans="1:7" ht="15.75">
      <c r="A213" s="246" t="s">
        <v>27</v>
      </c>
      <c r="B213" s="248">
        <v>43543</v>
      </c>
      <c r="C213" s="30" t="s">
        <v>47</v>
      </c>
      <c r="D213" s="2">
        <v>200</v>
      </c>
      <c r="E213" s="2"/>
      <c r="F213" s="2" t="s">
        <v>63</v>
      </c>
      <c r="G213" s="1"/>
    </row>
    <row r="214" spans="1:7" ht="15.75">
      <c r="A214" s="246" t="s">
        <v>27</v>
      </c>
      <c r="B214" s="248">
        <v>43543</v>
      </c>
      <c r="C214" s="30" t="s">
        <v>122</v>
      </c>
      <c r="D214" s="2">
        <f>4000+4000+2025</f>
        <v>10025</v>
      </c>
      <c r="E214" s="2"/>
      <c r="F214" s="2" t="s">
        <v>63</v>
      </c>
      <c r="G214" s="1"/>
    </row>
    <row r="215" spans="1:7" ht="15.75">
      <c r="A215" s="246" t="s">
        <v>27</v>
      </c>
      <c r="B215" s="248">
        <v>43544</v>
      </c>
      <c r="C215" s="30" t="s">
        <v>46</v>
      </c>
      <c r="D215" s="2">
        <v>3000</v>
      </c>
      <c r="E215" s="2"/>
      <c r="F215" s="2" t="s">
        <v>63</v>
      </c>
      <c r="G215" s="1"/>
    </row>
    <row r="216" spans="1:7" ht="15.75">
      <c r="A216" s="246" t="s">
        <v>27</v>
      </c>
      <c r="B216" s="248">
        <v>43544</v>
      </c>
      <c r="C216" s="30" t="s">
        <v>47</v>
      </c>
      <c r="D216" s="2">
        <v>250</v>
      </c>
      <c r="E216" s="2"/>
      <c r="F216" s="2" t="s">
        <v>63</v>
      </c>
      <c r="G216" s="1"/>
    </row>
    <row r="217" spans="1:7" ht="15.75">
      <c r="A217" s="246" t="s">
        <v>27</v>
      </c>
      <c r="B217" s="248">
        <v>43544</v>
      </c>
      <c r="C217" s="30" t="s">
        <v>69</v>
      </c>
      <c r="D217" s="2">
        <v>500</v>
      </c>
      <c r="E217" s="2"/>
      <c r="F217" s="2" t="s">
        <v>63</v>
      </c>
      <c r="G217" s="1"/>
    </row>
    <row r="218" spans="1:7" ht="15.75">
      <c r="A218" s="246" t="s">
        <v>27</v>
      </c>
      <c r="B218" s="248">
        <v>43544</v>
      </c>
      <c r="C218" s="30" t="s">
        <v>152</v>
      </c>
      <c r="D218" s="2">
        <v>100</v>
      </c>
      <c r="E218" s="2"/>
      <c r="F218" s="2" t="s">
        <v>58</v>
      </c>
      <c r="G218" s="1"/>
    </row>
    <row r="219" spans="1:7" ht="15.75">
      <c r="A219" s="246" t="s">
        <v>27</v>
      </c>
      <c r="B219" s="248">
        <v>43544</v>
      </c>
      <c r="C219" s="30" t="s">
        <v>176</v>
      </c>
      <c r="D219" s="2">
        <v>20</v>
      </c>
      <c r="E219" s="2"/>
      <c r="F219" s="2" t="s">
        <v>58</v>
      </c>
      <c r="G219" s="1"/>
    </row>
    <row r="220" spans="1:7" ht="15.75">
      <c r="A220" s="246" t="s">
        <v>27</v>
      </c>
      <c r="B220" s="248">
        <v>43544</v>
      </c>
      <c r="C220" s="30" t="s">
        <v>81</v>
      </c>
      <c r="D220" s="2">
        <f>2640+4050</f>
        <v>6690</v>
      </c>
      <c r="E220" s="2"/>
      <c r="F220" s="2" t="s">
        <v>50</v>
      </c>
      <c r="G220" s="1"/>
    </row>
    <row r="221" spans="1:7" ht="15.75">
      <c r="A221" s="246" t="s">
        <v>27</v>
      </c>
      <c r="B221" s="248">
        <v>43545</v>
      </c>
      <c r="C221" s="1" t="s">
        <v>177</v>
      </c>
      <c r="D221" s="7">
        <v>1000</v>
      </c>
      <c r="E221" s="7"/>
      <c r="F221" s="7" t="s">
        <v>63</v>
      </c>
      <c r="G221" s="46"/>
    </row>
    <row r="222" spans="1:7" ht="15.75">
      <c r="A222" s="246" t="s">
        <v>27</v>
      </c>
      <c r="B222" s="248">
        <v>43545</v>
      </c>
      <c r="C222" s="81" t="s">
        <v>178</v>
      </c>
      <c r="D222" s="107"/>
      <c r="E222" s="107">
        <v>100</v>
      </c>
      <c r="F222" s="107" t="s">
        <v>11</v>
      </c>
      <c r="G222" s="83" t="s">
        <v>179</v>
      </c>
    </row>
    <row r="223" spans="1:7" ht="15.75">
      <c r="A223" s="246" t="s">
        <v>27</v>
      </c>
      <c r="B223" s="248">
        <v>43546</v>
      </c>
      <c r="C223" s="1" t="s">
        <v>112</v>
      </c>
      <c r="D223" s="2">
        <v>160</v>
      </c>
      <c r="E223" s="2"/>
      <c r="F223" s="2" t="s">
        <v>58</v>
      </c>
      <c r="G223" s="1"/>
    </row>
    <row r="224" spans="1:7" ht="15.75">
      <c r="A224" s="246" t="s">
        <v>27</v>
      </c>
      <c r="B224" s="248">
        <v>43546</v>
      </c>
      <c r="C224" s="1" t="s">
        <v>87</v>
      </c>
      <c r="D224" s="2">
        <v>68.099999999999994</v>
      </c>
      <c r="E224" s="2"/>
      <c r="F224" s="2" t="s">
        <v>92</v>
      </c>
      <c r="G224" s="1" t="s">
        <v>88</v>
      </c>
    </row>
    <row r="225" spans="1:7" ht="15.75">
      <c r="A225" s="246" t="s">
        <v>27</v>
      </c>
      <c r="B225" s="248">
        <v>43546</v>
      </c>
      <c r="C225" s="1" t="s">
        <v>118</v>
      </c>
      <c r="D225" s="2">
        <v>50</v>
      </c>
      <c r="E225" s="2"/>
      <c r="F225" s="2" t="s">
        <v>44</v>
      </c>
      <c r="G225" s="1"/>
    </row>
    <row r="226" spans="1:7" ht="15.75">
      <c r="A226" s="246" t="s">
        <v>27</v>
      </c>
      <c r="B226" s="248">
        <v>43546</v>
      </c>
      <c r="C226" s="1" t="s">
        <v>180</v>
      </c>
      <c r="D226" s="2">
        <v>25</v>
      </c>
      <c r="E226" s="2"/>
      <c r="F226" s="2" t="s">
        <v>44</v>
      </c>
      <c r="G226" s="1"/>
    </row>
    <row r="227" spans="1:7" ht="15.75">
      <c r="A227" s="246" t="s">
        <v>27</v>
      </c>
      <c r="B227" s="248">
        <v>43546</v>
      </c>
      <c r="C227" s="1" t="s">
        <v>111</v>
      </c>
      <c r="D227" s="2">
        <f>1200+1000</f>
        <v>2200</v>
      </c>
      <c r="E227" s="2"/>
      <c r="F227" s="2" t="s">
        <v>63</v>
      </c>
      <c r="G227" s="1"/>
    </row>
    <row r="228" spans="1:7" ht="15.75">
      <c r="A228" s="246" t="s">
        <v>27</v>
      </c>
      <c r="B228" s="248">
        <v>43546</v>
      </c>
      <c r="C228" s="1" t="s">
        <v>181</v>
      </c>
      <c r="D228" s="2">
        <v>2400</v>
      </c>
      <c r="E228" s="2"/>
      <c r="F228" s="2" t="s">
        <v>63</v>
      </c>
      <c r="G228" s="1"/>
    </row>
    <row r="229" spans="1:7" ht="15.75">
      <c r="A229" s="246" t="s">
        <v>27</v>
      </c>
      <c r="B229" s="248">
        <v>43546</v>
      </c>
      <c r="C229" s="1" t="s">
        <v>48</v>
      </c>
      <c r="D229" s="2">
        <f>600+700</f>
        <v>1300</v>
      </c>
      <c r="E229" s="2"/>
      <c r="F229" s="2" t="s">
        <v>50</v>
      </c>
      <c r="G229" s="1"/>
    </row>
    <row r="230" spans="1:7" ht="15.75">
      <c r="A230" s="246" t="s">
        <v>27</v>
      </c>
      <c r="B230" s="248">
        <v>43546</v>
      </c>
      <c r="C230" s="81" t="s">
        <v>182</v>
      </c>
      <c r="D230" s="82"/>
      <c r="E230" s="82">
        <v>1400</v>
      </c>
      <c r="F230" s="82" t="s">
        <v>11</v>
      </c>
      <c r="G230" s="81" t="s">
        <v>52</v>
      </c>
    </row>
    <row r="231" spans="1:7" ht="15.75">
      <c r="A231" s="246" t="s">
        <v>27</v>
      </c>
      <c r="B231" s="248">
        <v>43549</v>
      </c>
      <c r="C231" s="1" t="s">
        <v>56</v>
      </c>
      <c r="D231" s="2">
        <v>2000</v>
      </c>
      <c r="E231" s="2"/>
      <c r="F231" s="2" t="s">
        <v>63</v>
      </c>
      <c r="G231" s="1"/>
    </row>
    <row r="232" spans="1:7" ht="15.75">
      <c r="A232" s="246" t="s">
        <v>27</v>
      </c>
      <c r="B232" s="248">
        <v>43549</v>
      </c>
      <c r="C232" s="74" t="s">
        <v>125</v>
      </c>
      <c r="D232" s="67">
        <f>50+50</f>
        <v>100</v>
      </c>
      <c r="E232" s="67"/>
      <c r="F232" s="67" t="s">
        <v>92</v>
      </c>
      <c r="G232" s="74" t="s">
        <v>84</v>
      </c>
    </row>
    <row r="233" spans="1:7" ht="15.75">
      <c r="A233" s="246" t="s">
        <v>27</v>
      </c>
      <c r="B233" s="248">
        <v>43549</v>
      </c>
      <c r="C233" s="74" t="s">
        <v>65</v>
      </c>
      <c r="D233" s="67">
        <v>125</v>
      </c>
      <c r="E233" s="67"/>
      <c r="F233" s="67" t="s">
        <v>92</v>
      </c>
      <c r="G233" s="74" t="s">
        <v>84</v>
      </c>
    </row>
    <row r="234" spans="1:7" ht="15.75">
      <c r="A234" s="246" t="s">
        <v>27</v>
      </c>
      <c r="B234" s="248">
        <v>43549</v>
      </c>
      <c r="C234" s="1" t="s">
        <v>183</v>
      </c>
      <c r="D234" s="2">
        <f>100+200</f>
        <v>300</v>
      </c>
      <c r="E234" s="2"/>
      <c r="F234" s="2" t="s">
        <v>63</v>
      </c>
      <c r="G234" s="1"/>
    </row>
    <row r="235" spans="1:7" ht="15.75">
      <c r="A235" s="246" t="s">
        <v>27</v>
      </c>
      <c r="B235" s="248">
        <v>43549</v>
      </c>
      <c r="C235" s="1" t="s">
        <v>184</v>
      </c>
      <c r="D235" s="2">
        <f>1200+1000</f>
        <v>2200</v>
      </c>
      <c r="E235" s="2"/>
      <c r="F235" s="2" t="s">
        <v>63</v>
      </c>
      <c r="G235" s="1"/>
    </row>
    <row r="236" spans="1:7" ht="15.75">
      <c r="A236" s="246" t="s">
        <v>27</v>
      </c>
      <c r="B236" s="248">
        <v>43550</v>
      </c>
      <c r="C236" s="1" t="s">
        <v>57</v>
      </c>
      <c r="D236" s="2">
        <v>50</v>
      </c>
      <c r="E236" s="2"/>
      <c r="F236" s="2" t="s">
        <v>92</v>
      </c>
      <c r="G236" s="1"/>
    </row>
    <row r="237" spans="1:7" ht="15.75">
      <c r="A237" s="246" t="s">
        <v>27</v>
      </c>
      <c r="B237" s="248">
        <v>43550</v>
      </c>
      <c r="C237" s="1" t="s">
        <v>47</v>
      </c>
      <c r="D237" s="2">
        <v>100</v>
      </c>
      <c r="E237" s="2"/>
      <c r="F237" s="2" t="s">
        <v>44</v>
      </c>
      <c r="G237" s="1"/>
    </row>
    <row r="238" spans="1:7" ht="15.75">
      <c r="A238" s="246" t="s">
        <v>27</v>
      </c>
      <c r="B238" s="248">
        <v>43550</v>
      </c>
      <c r="C238" s="161" t="s">
        <v>185</v>
      </c>
      <c r="D238" s="2">
        <v>5</v>
      </c>
      <c r="E238" s="2"/>
      <c r="F238" s="2" t="s">
        <v>44</v>
      </c>
      <c r="G238" s="1"/>
    </row>
    <row r="239" spans="1:7" ht="15.75">
      <c r="A239" s="246" t="s">
        <v>27</v>
      </c>
      <c r="B239" s="248">
        <v>43550</v>
      </c>
      <c r="C239" s="1" t="s">
        <v>80</v>
      </c>
      <c r="D239" s="2">
        <v>500</v>
      </c>
      <c r="E239" s="2"/>
      <c r="F239" s="2" t="s">
        <v>44</v>
      </c>
      <c r="G239" s="1"/>
    </row>
    <row r="240" spans="1:7" ht="15.75">
      <c r="A240" s="246" t="s">
        <v>27</v>
      </c>
      <c r="B240" s="248">
        <v>43550</v>
      </c>
      <c r="C240" s="1" t="s">
        <v>62</v>
      </c>
      <c r="D240" s="2">
        <v>1500</v>
      </c>
      <c r="E240" s="2"/>
      <c r="F240" s="2" t="s">
        <v>44</v>
      </c>
      <c r="G240" s="1"/>
    </row>
    <row r="241" spans="1:7" ht="15.75">
      <c r="A241" s="246" t="s">
        <v>27</v>
      </c>
      <c r="B241" s="248">
        <v>43551</v>
      </c>
      <c r="C241" s="1" t="s">
        <v>166</v>
      </c>
      <c r="D241" s="7">
        <f>100+25</f>
        <v>125</v>
      </c>
      <c r="E241" s="7"/>
      <c r="F241" s="7" t="s">
        <v>44</v>
      </c>
      <c r="G241" s="1"/>
    </row>
    <row r="242" spans="1:7" ht="15.75">
      <c r="A242" s="246" t="s">
        <v>27</v>
      </c>
      <c r="B242" s="248">
        <v>43551</v>
      </c>
      <c r="C242" s="1" t="s">
        <v>138</v>
      </c>
      <c r="D242" s="7">
        <v>4000</v>
      </c>
      <c r="E242" s="7"/>
      <c r="F242" s="7" t="s">
        <v>50</v>
      </c>
      <c r="G242" s="1"/>
    </row>
    <row r="243" spans="1:7" ht="15.75">
      <c r="A243" s="246" t="s">
        <v>27</v>
      </c>
      <c r="B243" s="248">
        <v>43551</v>
      </c>
      <c r="C243" s="1" t="s">
        <v>74</v>
      </c>
      <c r="D243" s="7">
        <v>125</v>
      </c>
      <c r="E243" s="7"/>
      <c r="F243" s="7" t="s">
        <v>92</v>
      </c>
      <c r="G243" s="1"/>
    </row>
    <row r="244" spans="1:7" ht="15.75">
      <c r="A244" s="246" t="s">
        <v>27</v>
      </c>
      <c r="B244" s="248">
        <v>43552</v>
      </c>
      <c r="C244" s="1" t="s">
        <v>127</v>
      </c>
      <c r="D244" s="7">
        <v>25</v>
      </c>
      <c r="E244" s="7"/>
      <c r="F244" s="7" t="s">
        <v>92</v>
      </c>
      <c r="G244" s="1"/>
    </row>
    <row r="245" spans="1:7" ht="15.75">
      <c r="A245" s="246" t="s">
        <v>27</v>
      </c>
      <c r="B245" s="248">
        <v>43552</v>
      </c>
      <c r="C245" s="1" t="s">
        <v>118</v>
      </c>
      <c r="D245" s="7">
        <v>125</v>
      </c>
      <c r="E245" s="7"/>
      <c r="F245" s="7" t="s">
        <v>92</v>
      </c>
      <c r="G245" s="1"/>
    </row>
    <row r="246" spans="1:7" ht="15.75">
      <c r="A246" s="246" t="s">
        <v>27</v>
      </c>
      <c r="B246" s="248">
        <v>43552</v>
      </c>
      <c r="C246" s="1" t="s">
        <v>186</v>
      </c>
      <c r="D246" s="7">
        <v>100</v>
      </c>
      <c r="E246" s="7"/>
      <c r="F246" s="7" t="s">
        <v>60</v>
      </c>
      <c r="G246" s="1" t="s">
        <v>187</v>
      </c>
    </row>
    <row r="247" spans="1:7" ht="15.75">
      <c r="A247" s="246" t="s">
        <v>27</v>
      </c>
      <c r="B247" s="248">
        <v>43553</v>
      </c>
      <c r="C247" s="1" t="s">
        <v>87</v>
      </c>
      <c r="D247" s="2">
        <v>2000</v>
      </c>
      <c r="E247" s="113"/>
      <c r="F247" s="2" t="s">
        <v>44</v>
      </c>
      <c r="G247" s="1" t="s">
        <v>88</v>
      </c>
    </row>
    <row r="248" spans="1:7" ht="15.75">
      <c r="A248" s="246" t="s">
        <v>27</v>
      </c>
      <c r="B248" s="248">
        <v>43553</v>
      </c>
      <c r="C248" s="1" t="s">
        <v>173</v>
      </c>
      <c r="D248" s="2">
        <v>10</v>
      </c>
      <c r="E248" s="113"/>
      <c r="F248" s="2" t="s">
        <v>58</v>
      </c>
      <c r="G248" s="1" t="s">
        <v>110</v>
      </c>
    </row>
    <row r="249" spans="1:7" ht="15.75">
      <c r="A249" s="246" t="s">
        <v>27</v>
      </c>
      <c r="B249" s="248">
        <v>43553</v>
      </c>
      <c r="C249" s="1" t="s">
        <v>188</v>
      </c>
      <c r="D249" s="2">
        <v>20</v>
      </c>
      <c r="E249" s="113"/>
      <c r="F249" s="2" t="s">
        <v>58</v>
      </c>
      <c r="G249" s="1"/>
    </row>
    <row r="250" spans="1:7" ht="15.75">
      <c r="A250" s="246" t="s">
        <v>27</v>
      </c>
      <c r="B250" s="248">
        <v>43553</v>
      </c>
      <c r="C250" s="1" t="s">
        <v>82</v>
      </c>
      <c r="D250" s="2">
        <f>600+210+200</f>
        <v>1010</v>
      </c>
      <c r="E250" s="113"/>
      <c r="F250" s="2" t="s">
        <v>44</v>
      </c>
      <c r="G250" s="1"/>
    </row>
    <row r="251" spans="1:7" ht="15.75">
      <c r="A251" s="246" t="s">
        <v>27</v>
      </c>
      <c r="B251" s="248">
        <v>43553</v>
      </c>
      <c r="C251" s="1" t="s">
        <v>81</v>
      </c>
      <c r="D251" s="2">
        <v>2000</v>
      </c>
      <c r="E251" s="113"/>
      <c r="F251" s="2" t="s">
        <v>60</v>
      </c>
      <c r="G251" s="1"/>
    </row>
    <row r="252" spans="1:7" ht="15.75">
      <c r="A252" s="246" t="s">
        <v>25</v>
      </c>
      <c r="B252" s="247">
        <v>43556</v>
      </c>
      <c r="C252" s="30" t="s">
        <v>72</v>
      </c>
      <c r="D252" s="6">
        <v>300</v>
      </c>
      <c r="E252" s="6"/>
      <c r="F252" s="46" t="s">
        <v>92</v>
      </c>
      <c r="G252" s="1"/>
    </row>
    <row r="253" spans="1:7" ht="15.75">
      <c r="A253" s="246" t="s">
        <v>25</v>
      </c>
      <c r="B253" s="247">
        <v>43556</v>
      </c>
      <c r="C253" s="30" t="s">
        <v>124</v>
      </c>
      <c r="D253" s="6">
        <v>200</v>
      </c>
      <c r="E253" s="6"/>
      <c r="F253" s="46" t="s">
        <v>50</v>
      </c>
      <c r="G253" s="1"/>
    </row>
    <row r="254" spans="1:7" ht="15.75">
      <c r="A254" s="246" t="s">
        <v>25</v>
      </c>
      <c r="B254" s="247">
        <v>43556</v>
      </c>
      <c r="C254" s="30" t="s">
        <v>91</v>
      </c>
      <c r="D254" s="6">
        <v>125</v>
      </c>
      <c r="E254" s="6"/>
      <c r="F254" s="46" t="s">
        <v>92</v>
      </c>
      <c r="G254" s="1"/>
    </row>
    <row r="255" spans="1:7" ht="15.75">
      <c r="A255" s="246" t="s">
        <v>25</v>
      </c>
      <c r="B255" s="247">
        <v>43556</v>
      </c>
      <c r="C255" s="1" t="s">
        <v>155</v>
      </c>
      <c r="D255" s="2">
        <v>150</v>
      </c>
      <c r="E255" s="2"/>
      <c r="F255" s="2" t="s">
        <v>92</v>
      </c>
      <c r="G255" s="1"/>
    </row>
    <row r="256" spans="1:7" ht="15.75">
      <c r="A256" s="246" t="s">
        <v>25</v>
      </c>
      <c r="B256" s="247">
        <v>43556</v>
      </c>
      <c r="C256" s="74" t="s">
        <v>125</v>
      </c>
      <c r="D256" s="67">
        <f>50+150</f>
        <v>200</v>
      </c>
      <c r="E256" s="67"/>
      <c r="F256" s="67" t="s">
        <v>58</v>
      </c>
      <c r="G256" s="74" t="s">
        <v>84</v>
      </c>
    </row>
    <row r="257" spans="1:7" ht="15.75">
      <c r="A257" s="246" t="s">
        <v>25</v>
      </c>
      <c r="B257" s="247">
        <v>43556</v>
      </c>
      <c r="C257" s="1" t="s">
        <v>54</v>
      </c>
      <c r="D257" s="2">
        <v>3000</v>
      </c>
      <c r="E257" s="2"/>
      <c r="F257" s="2" t="s">
        <v>50</v>
      </c>
      <c r="G257" s="1"/>
    </row>
    <row r="258" spans="1:7" ht="15.75">
      <c r="A258" s="246" t="s">
        <v>25</v>
      </c>
      <c r="B258" s="247">
        <v>43556</v>
      </c>
      <c r="C258" s="1" t="s">
        <v>78</v>
      </c>
      <c r="D258" s="2">
        <f>80+50</f>
        <v>130</v>
      </c>
      <c r="E258" s="2"/>
      <c r="F258" s="2" t="s">
        <v>50</v>
      </c>
      <c r="G258" s="1"/>
    </row>
    <row r="259" spans="1:7" ht="15.75">
      <c r="A259" s="246" t="s">
        <v>25</v>
      </c>
      <c r="B259" s="247">
        <v>43556</v>
      </c>
      <c r="C259" s="74"/>
      <c r="D259" s="67"/>
      <c r="E259" s="67"/>
      <c r="F259" s="67" t="s">
        <v>11</v>
      </c>
      <c r="G259" s="74"/>
    </row>
    <row r="260" spans="1:7" ht="15.75">
      <c r="A260" s="246" t="s">
        <v>25</v>
      </c>
      <c r="B260" s="248">
        <v>43557</v>
      </c>
      <c r="C260" s="1" t="s">
        <v>123</v>
      </c>
      <c r="D260" s="6">
        <v>2500</v>
      </c>
      <c r="E260" s="6"/>
      <c r="F260" s="46" t="s">
        <v>44</v>
      </c>
      <c r="G260" s="1"/>
    </row>
    <row r="261" spans="1:7" ht="15.75">
      <c r="A261" s="246" t="s">
        <v>25</v>
      </c>
      <c r="B261" s="248">
        <v>43557</v>
      </c>
      <c r="C261" s="1" t="s">
        <v>148</v>
      </c>
      <c r="D261" s="6">
        <v>100</v>
      </c>
      <c r="E261" s="6"/>
      <c r="F261" s="46" t="s">
        <v>60</v>
      </c>
      <c r="G261" s="1" t="s">
        <v>88</v>
      </c>
    </row>
    <row r="262" spans="1:7" ht="15.75">
      <c r="A262" s="246" t="s">
        <v>25</v>
      </c>
      <c r="B262" s="248">
        <v>43557</v>
      </c>
      <c r="C262" s="1" t="s">
        <v>189</v>
      </c>
      <c r="D262" s="6">
        <v>1000</v>
      </c>
      <c r="E262" s="6"/>
      <c r="F262" s="46" t="s">
        <v>60</v>
      </c>
      <c r="G262" s="1" t="s">
        <v>187</v>
      </c>
    </row>
    <row r="263" spans="1:7" ht="15.75">
      <c r="A263" s="246" t="s">
        <v>25</v>
      </c>
      <c r="B263" s="248">
        <v>43557</v>
      </c>
      <c r="C263" s="1" t="s">
        <v>190</v>
      </c>
      <c r="D263" s="6">
        <v>200</v>
      </c>
      <c r="E263" s="6"/>
      <c r="F263" s="46" t="s">
        <v>58</v>
      </c>
      <c r="G263" s="1" t="s">
        <v>73</v>
      </c>
    </row>
    <row r="264" spans="1:7" ht="15.75">
      <c r="A264" s="246" t="s">
        <v>25</v>
      </c>
      <c r="B264" s="248">
        <v>43557</v>
      </c>
      <c r="C264" s="1" t="s">
        <v>191</v>
      </c>
      <c r="D264" s="6">
        <v>520</v>
      </c>
      <c r="E264" s="6"/>
      <c r="F264" s="46" t="s">
        <v>58</v>
      </c>
      <c r="G264" s="1"/>
    </row>
    <row r="265" spans="1:7" ht="15.75">
      <c r="A265" s="246" t="s">
        <v>25</v>
      </c>
      <c r="B265" s="248">
        <v>43557</v>
      </c>
      <c r="C265" s="1" t="s">
        <v>45</v>
      </c>
      <c r="D265" s="6">
        <f>20+720</f>
        <v>740</v>
      </c>
      <c r="E265" s="6"/>
      <c r="F265" s="46" t="s">
        <v>44</v>
      </c>
      <c r="G265" s="1"/>
    </row>
    <row r="266" spans="1:7" ht="15.75">
      <c r="A266" s="246" t="s">
        <v>25</v>
      </c>
      <c r="B266" s="248">
        <v>43557</v>
      </c>
      <c r="C266" s="1" t="s">
        <v>82</v>
      </c>
      <c r="D266" s="6">
        <f>180+3600+3150</f>
        <v>6930</v>
      </c>
      <c r="E266" s="6"/>
      <c r="F266" s="46" t="s">
        <v>63</v>
      </c>
      <c r="G266" s="1"/>
    </row>
    <row r="267" spans="1:7" ht="15.75">
      <c r="A267" s="246" t="s">
        <v>25</v>
      </c>
      <c r="B267" s="248">
        <v>43558</v>
      </c>
      <c r="C267" s="1" t="s">
        <v>121</v>
      </c>
      <c r="D267" s="6">
        <f>200+80</f>
        <v>280</v>
      </c>
      <c r="E267" s="6"/>
      <c r="F267" s="46" t="s">
        <v>58</v>
      </c>
      <c r="G267" s="46"/>
    </row>
    <row r="268" spans="1:7" ht="15.75">
      <c r="A268" s="246" t="s">
        <v>25</v>
      </c>
      <c r="B268" s="248">
        <v>43558</v>
      </c>
      <c r="C268" s="1" t="s">
        <v>142</v>
      </c>
      <c r="D268" s="6">
        <v>40</v>
      </c>
      <c r="E268" s="6"/>
      <c r="F268" s="46" t="s">
        <v>50</v>
      </c>
      <c r="G268" s="46"/>
    </row>
    <row r="269" spans="1:7" ht="15.75">
      <c r="A269" s="246" t="s">
        <v>25</v>
      </c>
      <c r="B269" s="248">
        <v>43558</v>
      </c>
      <c r="C269" s="1" t="s">
        <v>101</v>
      </c>
      <c r="D269" s="6">
        <f>280+120+500</f>
        <v>900</v>
      </c>
      <c r="E269" s="6"/>
      <c r="F269" s="46" t="s">
        <v>50</v>
      </c>
      <c r="G269" s="46"/>
    </row>
    <row r="270" spans="1:7" ht="15.75">
      <c r="A270" s="246" t="s">
        <v>25</v>
      </c>
      <c r="B270" s="248">
        <v>43558</v>
      </c>
      <c r="C270" s="1" t="s">
        <v>96</v>
      </c>
      <c r="D270" s="6">
        <v>100</v>
      </c>
      <c r="E270" s="6"/>
      <c r="F270" s="46" t="s">
        <v>50</v>
      </c>
      <c r="G270" s="46"/>
    </row>
    <row r="271" spans="1:7" ht="15.75">
      <c r="A271" s="246" t="s">
        <v>25</v>
      </c>
      <c r="B271" s="248">
        <v>43558</v>
      </c>
      <c r="C271" s="1" t="s">
        <v>48</v>
      </c>
      <c r="D271" s="6">
        <v>600</v>
      </c>
      <c r="E271" s="6"/>
      <c r="F271" s="46" t="s">
        <v>50</v>
      </c>
      <c r="G271" s="46"/>
    </row>
    <row r="272" spans="1:7" ht="15.75">
      <c r="A272" s="246" t="s">
        <v>25</v>
      </c>
      <c r="B272" s="248">
        <v>43558</v>
      </c>
      <c r="C272" s="1" t="s">
        <v>69</v>
      </c>
      <c r="D272" s="6">
        <v>1000</v>
      </c>
      <c r="E272" s="6"/>
      <c r="F272" s="46" t="s">
        <v>50</v>
      </c>
      <c r="G272" s="46"/>
    </row>
    <row r="273" spans="1:7" ht="15.75">
      <c r="A273" s="246" t="s">
        <v>25</v>
      </c>
      <c r="B273" s="248">
        <v>43558</v>
      </c>
      <c r="C273" s="1" t="s">
        <v>192</v>
      </c>
      <c r="D273" s="6">
        <f>400+3200+3000</f>
        <v>6600</v>
      </c>
      <c r="E273" s="6"/>
      <c r="F273" s="46" t="s">
        <v>63</v>
      </c>
      <c r="G273" s="46"/>
    </row>
    <row r="274" spans="1:7" ht="15.75">
      <c r="A274" s="246" t="s">
        <v>25</v>
      </c>
      <c r="B274" s="248">
        <v>43559</v>
      </c>
      <c r="C274" s="30" t="s">
        <v>111</v>
      </c>
      <c r="D274" s="2">
        <f>1200+1000</f>
        <v>2200</v>
      </c>
      <c r="E274" s="1"/>
      <c r="F274" s="30" t="s">
        <v>63</v>
      </c>
      <c r="G274" s="30"/>
    </row>
    <row r="275" spans="1:7" ht="15.75">
      <c r="A275" s="246" t="s">
        <v>25</v>
      </c>
      <c r="B275" s="248">
        <v>43559</v>
      </c>
      <c r="C275" s="30" t="s">
        <v>147</v>
      </c>
      <c r="D275" s="2">
        <v>180</v>
      </c>
      <c r="E275" s="1"/>
      <c r="F275" s="30" t="s">
        <v>63</v>
      </c>
      <c r="G275" s="30"/>
    </row>
    <row r="276" spans="1:7" ht="15.75">
      <c r="A276" s="246" t="s">
        <v>25</v>
      </c>
      <c r="B276" s="248">
        <v>43560</v>
      </c>
      <c r="C276" s="30" t="s">
        <v>43</v>
      </c>
      <c r="D276" s="2">
        <v>2500</v>
      </c>
      <c r="E276" s="2"/>
      <c r="F276" s="30" t="s">
        <v>63</v>
      </c>
      <c r="G276" s="1"/>
    </row>
    <row r="277" spans="1:7" ht="15.75">
      <c r="A277" s="246" t="s">
        <v>25</v>
      </c>
      <c r="B277" s="248">
        <v>43560</v>
      </c>
      <c r="C277" s="30" t="s">
        <v>183</v>
      </c>
      <c r="D277" s="2">
        <f>50+50</f>
        <v>100</v>
      </c>
      <c r="E277" s="2"/>
      <c r="F277" s="30" t="s">
        <v>63</v>
      </c>
      <c r="G277" s="1"/>
    </row>
    <row r="278" spans="1:7" ht="15.75">
      <c r="A278" s="246" t="s">
        <v>25</v>
      </c>
      <c r="B278" s="248">
        <v>43560</v>
      </c>
      <c r="C278" s="30" t="s">
        <v>47</v>
      </c>
      <c r="D278" s="2">
        <v>300</v>
      </c>
      <c r="E278" s="2"/>
      <c r="F278" s="30" t="s">
        <v>63</v>
      </c>
      <c r="G278" s="1"/>
    </row>
    <row r="279" spans="1:7" ht="15.75">
      <c r="A279" s="246" t="s">
        <v>25</v>
      </c>
      <c r="B279" s="248">
        <v>43563</v>
      </c>
      <c r="C279" s="30" t="s">
        <v>193</v>
      </c>
      <c r="D279" s="7">
        <v>40</v>
      </c>
      <c r="E279" s="7"/>
      <c r="F279" s="7" t="s">
        <v>63</v>
      </c>
      <c r="G279" s="1"/>
    </row>
    <row r="280" spans="1:7" ht="15.75">
      <c r="A280" s="246" t="s">
        <v>25</v>
      </c>
      <c r="B280" s="248">
        <v>43564</v>
      </c>
      <c r="C280" s="1" t="s">
        <v>75</v>
      </c>
      <c r="D280" s="7">
        <f>25+40+1</f>
        <v>66</v>
      </c>
      <c r="E280" s="7"/>
      <c r="F280" s="7" t="s">
        <v>139</v>
      </c>
      <c r="G280" s="1" t="s">
        <v>76</v>
      </c>
    </row>
    <row r="281" spans="1:7" ht="15.75">
      <c r="A281" s="246" t="s">
        <v>25</v>
      </c>
      <c r="B281" s="248">
        <v>43564</v>
      </c>
      <c r="C281" s="1" t="s">
        <v>47</v>
      </c>
      <c r="D281" s="7">
        <v>425</v>
      </c>
      <c r="E281" s="7"/>
      <c r="F281" s="7" t="s">
        <v>50</v>
      </c>
      <c r="G281" s="1"/>
    </row>
    <row r="282" spans="1:7" ht="15.75">
      <c r="A282" s="246" t="s">
        <v>25</v>
      </c>
      <c r="B282" s="248">
        <v>43564</v>
      </c>
      <c r="C282" s="1" t="s">
        <v>162</v>
      </c>
      <c r="D282" s="7">
        <v>50</v>
      </c>
      <c r="E282" s="7"/>
      <c r="F282" s="7" t="s">
        <v>44</v>
      </c>
      <c r="G282" s="1" t="s">
        <v>88</v>
      </c>
    </row>
    <row r="283" spans="1:7" ht="15.75">
      <c r="A283" s="246" t="s">
        <v>25</v>
      </c>
      <c r="B283" s="248">
        <v>43565</v>
      </c>
      <c r="C283" s="1" t="s">
        <v>80</v>
      </c>
      <c r="D283" s="7">
        <v>500</v>
      </c>
      <c r="E283" s="7"/>
      <c r="F283" s="7" t="s">
        <v>44</v>
      </c>
      <c r="G283" s="1"/>
    </row>
    <row r="284" spans="1:7" ht="15.75">
      <c r="A284" s="246" t="s">
        <v>25</v>
      </c>
      <c r="B284" s="248">
        <v>43565</v>
      </c>
      <c r="C284" s="1" t="s">
        <v>157</v>
      </c>
      <c r="D284" s="7">
        <v>150</v>
      </c>
      <c r="E284" s="7"/>
      <c r="F284" s="7" t="s">
        <v>92</v>
      </c>
      <c r="G284" s="1"/>
    </row>
    <row r="285" spans="1:7" ht="15.75">
      <c r="A285" s="246" t="s">
        <v>25</v>
      </c>
      <c r="B285" s="248">
        <v>43565</v>
      </c>
      <c r="C285" s="74" t="s">
        <v>194</v>
      </c>
      <c r="D285" s="101">
        <f>1000+25</f>
        <v>1025</v>
      </c>
      <c r="E285" s="101"/>
      <c r="F285" s="101" t="s">
        <v>63</v>
      </c>
      <c r="G285" s="74" t="s">
        <v>195</v>
      </c>
    </row>
    <row r="286" spans="1:7" ht="15.75">
      <c r="A286" s="246" t="s">
        <v>25</v>
      </c>
      <c r="B286" s="248">
        <v>43566</v>
      </c>
      <c r="C286" s="1" t="s">
        <v>156</v>
      </c>
      <c r="D286" s="2">
        <f>400+650+750</f>
        <v>1800</v>
      </c>
      <c r="E286" s="2"/>
      <c r="F286" s="46" t="s">
        <v>44</v>
      </c>
      <c r="G286" s="1" t="s">
        <v>88</v>
      </c>
    </row>
    <row r="287" spans="1:7" ht="15.75">
      <c r="A287" s="246" t="s">
        <v>25</v>
      </c>
      <c r="B287" s="248">
        <v>43566</v>
      </c>
      <c r="C287" s="1" t="s">
        <v>196</v>
      </c>
      <c r="D287" s="2">
        <f>20+1</f>
        <v>21</v>
      </c>
      <c r="E287" s="2"/>
      <c r="F287" s="46" t="s">
        <v>44</v>
      </c>
      <c r="G287" s="1" t="s">
        <v>197</v>
      </c>
    </row>
    <row r="288" spans="1:7" ht="15.75">
      <c r="A288" s="246" t="s">
        <v>25</v>
      </c>
      <c r="B288" s="248">
        <v>43566</v>
      </c>
      <c r="C288" s="1" t="s">
        <v>198</v>
      </c>
      <c r="D288" s="2">
        <f>5+5+5</f>
        <v>15</v>
      </c>
      <c r="E288" s="2"/>
      <c r="F288" s="46" t="s">
        <v>44</v>
      </c>
      <c r="G288" s="1" t="s">
        <v>88</v>
      </c>
    </row>
    <row r="289" spans="1:7" ht="15.75">
      <c r="A289" s="246" t="s">
        <v>25</v>
      </c>
      <c r="B289" s="248">
        <v>43566</v>
      </c>
      <c r="C289" s="1" t="s">
        <v>48</v>
      </c>
      <c r="D289" s="2">
        <v>500</v>
      </c>
      <c r="E289" s="2"/>
      <c r="F289" s="46" t="s">
        <v>50</v>
      </c>
      <c r="G289" s="1"/>
    </row>
    <row r="290" spans="1:7" ht="15.75">
      <c r="A290" s="246" t="s">
        <v>25</v>
      </c>
      <c r="B290" s="248">
        <v>43566</v>
      </c>
      <c r="C290" s="1" t="s">
        <v>47</v>
      </c>
      <c r="D290" s="2">
        <v>250</v>
      </c>
      <c r="E290" s="2"/>
      <c r="F290" s="46" t="s">
        <v>50</v>
      </c>
      <c r="G290" s="1"/>
    </row>
    <row r="291" spans="1:7" ht="15.75">
      <c r="A291" s="246" t="s">
        <v>25</v>
      </c>
      <c r="B291" s="248">
        <v>43566</v>
      </c>
      <c r="C291" s="1" t="s">
        <v>69</v>
      </c>
      <c r="D291" s="2">
        <v>1000</v>
      </c>
      <c r="E291" s="2"/>
      <c r="F291" s="46" t="s">
        <v>50</v>
      </c>
      <c r="G291" s="1"/>
    </row>
    <row r="292" spans="1:7" ht="15.75">
      <c r="A292" s="246" t="s">
        <v>25</v>
      </c>
      <c r="B292" s="248">
        <v>43566</v>
      </c>
      <c r="C292" s="74" t="s">
        <v>199</v>
      </c>
      <c r="D292" s="67">
        <f>200+100+50+1</f>
        <v>351</v>
      </c>
      <c r="E292" s="67"/>
      <c r="F292" s="112" t="s">
        <v>92</v>
      </c>
      <c r="G292" s="74" t="s">
        <v>200</v>
      </c>
    </row>
    <row r="293" spans="1:7" ht="15.75">
      <c r="A293" s="246" t="s">
        <v>25</v>
      </c>
      <c r="B293" s="248">
        <v>43566</v>
      </c>
      <c r="C293" s="1" t="s">
        <v>64</v>
      </c>
      <c r="D293" s="2">
        <f>1000+200</f>
        <v>1200</v>
      </c>
      <c r="E293" s="2"/>
      <c r="F293" s="46" t="s">
        <v>60</v>
      </c>
      <c r="G293" s="1" t="s">
        <v>73</v>
      </c>
    </row>
    <row r="294" spans="1:7" ht="15.75">
      <c r="A294" s="246" t="s">
        <v>25</v>
      </c>
      <c r="B294" s="248">
        <v>43567</v>
      </c>
      <c r="C294" s="1" t="s">
        <v>140</v>
      </c>
      <c r="D294" s="2">
        <v>75</v>
      </c>
      <c r="E294" s="2"/>
      <c r="F294" s="46" t="s">
        <v>44</v>
      </c>
      <c r="G294" s="1"/>
    </row>
    <row r="295" spans="1:7" ht="15.75">
      <c r="A295" s="246" t="s">
        <v>25</v>
      </c>
      <c r="B295" s="248">
        <v>43567</v>
      </c>
      <c r="C295" s="1" t="s">
        <v>57</v>
      </c>
      <c r="D295" s="2">
        <v>50</v>
      </c>
      <c r="E295" s="2"/>
      <c r="F295" s="46" t="s">
        <v>44</v>
      </c>
      <c r="G295" s="1"/>
    </row>
    <row r="296" spans="1:7" ht="15.75">
      <c r="A296" s="246" t="s">
        <v>25</v>
      </c>
      <c r="B296" s="248">
        <v>43570</v>
      </c>
      <c r="C296" s="1" t="s">
        <v>103</v>
      </c>
      <c r="D296" s="2">
        <v>125</v>
      </c>
      <c r="E296" s="2"/>
      <c r="F296" s="46" t="s">
        <v>60</v>
      </c>
      <c r="G296" s="1" t="s">
        <v>201</v>
      </c>
    </row>
    <row r="297" spans="1:7" ht="15.75">
      <c r="A297" s="246" t="s">
        <v>25</v>
      </c>
      <c r="B297" s="248">
        <v>43570</v>
      </c>
      <c r="C297" s="1" t="s">
        <v>56</v>
      </c>
      <c r="D297" s="2">
        <v>2000</v>
      </c>
      <c r="E297" s="2"/>
      <c r="F297" s="46" t="s">
        <v>50</v>
      </c>
      <c r="G297" s="1"/>
    </row>
    <row r="298" spans="1:7" ht="15.75">
      <c r="A298" s="246" t="s">
        <v>25</v>
      </c>
      <c r="B298" s="248">
        <v>43570</v>
      </c>
      <c r="C298" s="1" t="s">
        <v>62</v>
      </c>
      <c r="D298" s="2">
        <v>1500</v>
      </c>
      <c r="E298" s="2"/>
      <c r="F298" s="46" t="s">
        <v>50</v>
      </c>
      <c r="G298" s="1"/>
    </row>
    <row r="299" spans="1:7" ht="15.75">
      <c r="A299" s="246" t="s">
        <v>25</v>
      </c>
      <c r="B299" s="248">
        <v>43570</v>
      </c>
      <c r="C299" s="1" t="s">
        <v>48</v>
      </c>
      <c r="D299" s="2">
        <v>600</v>
      </c>
      <c r="E299" s="2"/>
      <c r="F299" s="46" t="s">
        <v>50</v>
      </c>
      <c r="G299" s="1"/>
    </row>
    <row r="300" spans="1:7" ht="15.75">
      <c r="A300" s="246" t="s">
        <v>25</v>
      </c>
      <c r="B300" s="248">
        <v>43571</v>
      </c>
      <c r="C300" s="30" t="s">
        <v>202</v>
      </c>
      <c r="D300" s="2">
        <v>20</v>
      </c>
      <c r="E300" s="2"/>
      <c r="F300" s="2" t="s">
        <v>58</v>
      </c>
      <c r="G300" s="1"/>
    </row>
    <row r="301" spans="1:7" ht="15.75">
      <c r="A301" s="246" t="s">
        <v>25</v>
      </c>
      <c r="B301" s="248">
        <v>43571</v>
      </c>
      <c r="C301" s="30" t="s">
        <v>152</v>
      </c>
      <c r="D301" s="2">
        <v>100</v>
      </c>
      <c r="E301" s="2"/>
      <c r="F301" s="2" t="s">
        <v>58</v>
      </c>
      <c r="G301" s="1"/>
    </row>
    <row r="302" spans="1:7" ht="15.75">
      <c r="A302" s="246" t="s">
        <v>25</v>
      </c>
      <c r="B302" s="248">
        <v>43571</v>
      </c>
      <c r="C302" s="30" t="s">
        <v>164</v>
      </c>
      <c r="D302" s="2">
        <f>200+210+150+200</f>
        <v>760</v>
      </c>
      <c r="E302" s="2"/>
      <c r="F302" s="2" t="s">
        <v>58</v>
      </c>
      <c r="G302" s="1"/>
    </row>
    <row r="303" spans="1:7" ht="15.75">
      <c r="A303" s="246" t="s">
        <v>25</v>
      </c>
      <c r="B303" s="248">
        <v>43572</v>
      </c>
      <c r="C303" s="30" t="s">
        <v>46</v>
      </c>
      <c r="D303" s="2">
        <f>20+3000</f>
        <v>3020</v>
      </c>
      <c r="E303" s="2"/>
      <c r="F303" s="2" t="s">
        <v>50</v>
      </c>
      <c r="G303" s="1"/>
    </row>
    <row r="304" spans="1:7" ht="15.75">
      <c r="A304" s="246" t="s">
        <v>25</v>
      </c>
      <c r="B304" s="248">
        <v>43572</v>
      </c>
      <c r="C304" s="90" t="s">
        <v>107</v>
      </c>
      <c r="D304" s="82"/>
      <c r="E304" s="82">
        <v>400</v>
      </c>
      <c r="F304" s="82" t="s">
        <v>11</v>
      </c>
      <c r="G304" s="81" t="s">
        <v>108</v>
      </c>
    </row>
    <row r="305" spans="1:7" ht="15.75">
      <c r="A305" s="246" t="s">
        <v>25</v>
      </c>
      <c r="B305" s="248">
        <v>43572</v>
      </c>
      <c r="C305" s="30" t="s">
        <v>118</v>
      </c>
      <c r="D305" s="2">
        <v>25</v>
      </c>
      <c r="E305" s="2"/>
      <c r="F305" s="2" t="s">
        <v>60</v>
      </c>
      <c r="G305" s="1"/>
    </row>
    <row r="306" spans="1:7" ht="15.75">
      <c r="A306" s="246" t="s">
        <v>25</v>
      </c>
      <c r="B306" s="248">
        <v>43572</v>
      </c>
      <c r="C306" s="30" t="s">
        <v>77</v>
      </c>
      <c r="D306" s="2">
        <f>50+50</f>
        <v>100</v>
      </c>
      <c r="E306" s="2"/>
      <c r="F306" s="2" t="s">
        <v>50</v>
      </c>
      <c r="G306" s="1"/>
    </row>
    <row r="307" spans="1:7" ht="15.75">
      <c r="A307" s="246" t="s">
        <v>25</v>
      </c>
      <c r="B307" s="248">
        <v>43572</v>
      </c>
      <c r="C307" s="30" t="s">
        <v>146</v>
      </c>
      <c r="D307" s="2">
        <v>11.5</v>
      </c>
      <c r="E307" s="2"/>
      <c r="F307" s="2" t="s">
        <v>50</v>
      </c>
      <c r="G307" s="1"/>
    </row>
    <row r="308" spans="1:7" ht="15.75">
      <c r="A308" s="246" t="s">
        <v>25</v>
      </c>
      <c r="B308" s="248">
        <v>43577</v>
      </c>
      <c r="C308" s="1" t="s">
        <v>123</v>
      </c>
      <c r="D308" s="7">
        <v>2500</v>
      </c>
      <c r="E308" s="7"/>
      <c r="F308" s="7" t="s">
        <v>50</v>
      </c>
      <c r="G308" s="46"/>
    </row>
    <row r="309" spans="1:7" ht="15.75">
      <c r="A309" s="246" t="s">
        <v>25</v>
      </c>
      <c r="B309" s="248">
        <v>43577</v>
      </c>
      <c r="C309" s="1" t="s">
        <v>54</v>
      </c>
      <c r="D309" s="7">
        <v>3000</v>
      </c>
      <c r="E309" s="7"/>
      <c r="F309" s="7" t="s">
        <v>50</v>
      </c>
      <c r="G309" s="46"/>
    </row>
    <row r="310" spans="1:7" ht="15.75">
      <c r="A310" s="246" t="s">
        <v>25</v>
      </c>
      <c r="B310" s="248">
        <v>43578</v>
      </c>
      <c r="C310" s="81" t="s">
        <v>51</v>
      </c>
      <c r="D310" s="82"/>
      <c r="E310" s="82">
        <v>20</v>
      </c>
      <c r="F310" s="82" t="s">
        <v>11</v>
      </c>
      <c r="G310" s="81" t="s">
        <v>52</v>
      </c>
    </row>
    <row r="311" spans="1:7" ht="15.75">
      <c r="A311" s="246" t="s">
        <v>25</v>
      </c>
      <c r="B311" s="248">
        <v>43578</v>
      </c>
      <c r="C311" s="1" t="s">
        <v>166</v>
      </c>
      <c r="D311" s="2">
        <v>200</v>
      </c>
      <c r="E311" s="2"/>
      <c r="F311" s="2" t="s">
        <v>63</v>
      </c>
      <c r="G311" s="1"/>
    </row>
    <row r="312" spans="1:7" ht="15.75">
      <c r="A312" s="246" t="s">
        <v>25</v>
      </c>
      <c r="B312" s="248">
        <v>43578</v>
      </c>
      <c r="C312" s="1" t="s">
        <v>111</v>
      </c>
      <c r="D312" s="2">
        <v>2000</v>
      </c>
      <c r="E312" s="2"/>
      <c r="F312" s="2" t="s">
        <v>63</v>
      </c>
      <c r="G312" s="1"/>
    </row>
    <row r="313" spans="1:7" ht="15.75">
      <c r="A313" s="246" t="s">
        <v>25</v>
      </c>
      <c r="B313" s="248">
        <v>43579</v>
      </c>
      <c r="C313" s="1" t="s">
        <v>47</v>
      </c>
      <c r="D313" s="2">
        <v>325</v>
      </c>
      <c r="E313" s="2"/>
      <c r="F313" s="2" t="s">
        <v>50</v>
      </c>
      <c r="G313" s="1"/>
    </row>
    <row r="314" spans="1:7" ht="15.75">
      <c r="A314" s="246" t="s">
        <v>25</v>
      </c>
      <c r="B314" s="248">
        <v>43579</v>
      </c>
      <c r="C314" s="1" t="s">
        <v>69</v>
      </c>
      <c r="D314" s="2">
        <v>1000</v>
      </c>
      <c r="E314" s="2"/>
      <c r="F314" s="2" t="s">
        <v>50</v>
      </c>
      <c r="G314" s="1"/>
    </row>
    <row r="315" spans="1:7" ht="15.75">
      <c r="A315" s="246" t="s">
        <v>25</v>
      </c>
      <c r="B315" s="248">
        <v>43579</v>
      </c>
      <c r="C315" s="81" t="s">
        <v>174</v>
      </c>
      <c r="D315" s="82"/>
      <c r="E315" s="82">
        <v>500</v>
      </c>
      <c r="F315" s="82" t="s">
        <v>11</v>
      </c>
      <c r="G315" s="81" t="s">
        <v>66</v>
      </c>
    </row>
    <row r="316" spans="1:7" ht="15.75">
      <c r="A316" s="246" t="s">
        <v>25</v>
      </c>
      <c r="B316" s="248">
        <v>43580</v>
      </c>
      <c r="C316" s="1" t="s">
        <v>147</v>
      </c>
      <c r="D316" s="2">
        <v>600</v>
      </c>
      <c r="E316" s="2"/>
      <c r="F316" s="2" t="s">
        <v>63</v>
      </c>
      <c r="G316" s="1"/>
    </row>
    <row r="317" spans="1:7" ht="15.75">
      <c r="A317" s="246" t="s">
        <v>25</v>
      </c>
      <c r="B317" s="248">
        <v>43580</v>
      </c>
      <c r="C317" s="1" t="s">
        <v>148</v>
      </c>
      <c r="D317" s="2">
        <v>100</v>
      </c>
      <c r="E317" s="2"/>
      <c r="F317" s="2" t="s">
        <v>58</v>
      </c>
      <c r="G317" s="1" t="s">
        <v>88</v>
      </c>
    </row>
    <row r="318" spans="1:7" ht="15.75">
      <c r="A318" s="246" t="s">
        <v>25</v>
      </c>
      <c r="B318" s="248">
        <v>43580</v>
      </c>
      <c r="C318" s="1" t="s">
        <v>145</v>
      </c>
      <c r="D318" s="2">
        <v>100</v>
      </c>
      <c r="E318" s="2"/>
      <c r="F318" s="2" t="s">
        <v>50</v>
      </c>
      <c r="G318" s="1"/>
    </row>
    <row r="319" spans="1:7" ht="15.75">
      <c r="A319" s="246" t="s">
        <v>25</v>
      </c>
      <c r="B319" s="248">
        <v>43581</v>
      </c>
      <c r="C319" s="1" t="s">
        <v>141</v>
      </c>
      <c r="D319" s="7">
        <v>500</v>
      </c>
      <c r="E319" s="7"/>
      <c r="F319" s="7" t="s">
        <v>63</v>
      </c>
      <c r="G319" s="1"/>
    </row>
    <row r="320" spans="1:7" ht="15.75">
      <c r="A320" s="246" t="s">
        <v>25</v>
      </c>
      <c r="B320" s="248">
        <v>43581</v>
      </c>
      <c r="C320" s="1" t="s">
        <v>112</v>
      </c>
      <c r="D320" s="7">
        <v>160</v>
      </c>
      <c r="E320" s="7"/>
      <c r="F320" s="7" t="s">
        <v>92</v>
      </c>
      <c r="G320" s="1"/>
    </row>
    <row r="321" spans="1:7" ht="15.75">
      <c r="A321" s="246" t="s">
        <v>25</v>
      </c>
      <c r="B321" s="248">
        <v>43581</v>
      </c>
      <c r="C321" s="1" t="s">
        <v>64</v>
      </c>
      <c r="D321" s="7">
        <v>200</v>
      </c>
      <c r="E321" s="7"/>
      <c r="F321" s="7" t="s">
        <v>58</v>
      </c>
      <c r="G321" s="1" t="s">
        <v>73</v>
      </c>
    </row>
    <row r="322" spans="1:7" ht="15.75">
      <c r="A322" s="246" t="s">
        <v>25</v>
      </c>
      <c r="B322" s="248">
        <v>43581</v>
      </c>
      <c r="C322" s="1" t="s">
        <v>203</v>
      </c>
      <c r="D322" s="7">
        <f>4000+4000</f>
        <v>8000</v>
      </c>
      <c r="E322" s="7"/>
      <c r="F322" s="7" t="s">
        <v>50</v>
      </c>
      <c r="G322" s="1" t="s">
        <v>105</v>
      </c>
    </row>
    <row r="323" spans="1:7" ht="15.75">
      <c r="A323" s="246" t="s">
        <v>25</v>
      </c>
      <c r="B323" s="248">
        <v>43581</v>
      </c>
      <c r="C323" s="1" t="s">
        <v>204</v>
      </c>
      <c r="D323" s="7">
        <f>200+50</f>
        <v>250</v>
      </c>
      <c r="E323" s="7"/>
      <c r="F323" s="7" t="s">
        <v>50</v>
      </c>
      <c r="G323" s="1" t="s">
        <v>105</v>
      </c>
    </row>
    <row r="324" spans="1:7" ht="15.75">
      <c r="A324" s="246" t="s">
        <v>25</v>
      </c>
      <c r="B324" s="248">
        <v>43581</v>
      </c>
      <c r="C324" s="134" t="s">
        <v>199</v>
      </c>
      <c r="D324" s="133">
        <f>20+50+50+50</f>
        <v>170</v>
      </c>
      <c r="E324" s="133"/>
      <c r="F324" s="133" t="s">
        <v>205</v>
      </c>
      <c r="G324" s="134" t="s">
        <v>206</v>
      </c>
    </row>
    <row r="325" spans="1:7" ht="15.75">
      <c r="A325" s="246" t="s">
        <v>25</v>
      </c>
      <c r="B325" s="248">
        <v>43581</v>
      </c>
      <c r="C325" s="1" t="s">
        <v>82</v>
      </c>
      <c r="D325" s="7">
        <v>2000</v>
      </c>
      <c r="E325" s="7"/>
      <c r="F325" s="7" t="s">
        <v>58</v>
      </c>
      <c r="G325" s="1"/>
    </row>
    <row r="326" spans="1:7" ht="15.75">
      <c r="A326" s="246" t="s">
        <v>25</v>
      </c>
      <c r="B326" s="248">
        <v>43581</v>
      </c>
      <c r="C326" s="1" t="s">
        <v>111</v>
      </c>
      <c r="D326" s="7">
        <v>1000</v>
      </c>
      <c r="E326" s="7"/>
      <c r="F326" s="7" t="s">
        <v>58</v>
      </c>
      <c r="G326" s="1"/>
    </row>
    <row r="327" spans="1:7" ht="15.75">
      <c r="A327" s="246" t="s">
        <v>25</v>
      </c>
      <c r="B327" s="248">
        <v>43584</v>
      </c>
      <c r="C327" s="1" t="s">
        <v>91</v>
      </c>
      <c r="D327" s="7">
        <v>125</v>
      </c>
      <c r="E327" s="7"/>
      <c r="F327" s="7" t="s">
        <v>92</v>
      </c>
      <c r="G327" s="1"/>
    </row>
    <row r="328" spans="1:7" ht="15.75">
      <c r="A328" s="246" t="s">
        <v>25</v>
      </c>
      <c r="B328" s="248">
        <v>43584</v>
      </c>
      <c r="C328" s="1" t="s">
        <v>207</v>
      </c>
      <c r="D328" s="7">
        <v>900</v>
      </c>
      <c r="E328" s="7"/>
      <c r="F328" s="7" t="s">
        <v>44</v>
      </c>
      <c r="G328" s="1"/>
    </row>
    <row r="329" spans="1:7" ht="15.75">
      <c r="A329" s="246" t="s">
        <v>25</v>
      </c>
      <c r="B329" s="248">
        <v>43584</v>
      </c>
      <c r="C329" s="1" t="s">
        <v>87</v>
      </c>
      <c r="D329" s="7">
        <v>2000</v>
      </c>
      <c r="E329" s="7"/>
      <c r="F329" s="7" t="s">
        <v>60</v>
      </c>
      <c r="G329" s="1" t="s">
        <v>88</v>
      </c>
    </row>
    <row r="330" spans="1:7" ht="15.75">
      <c r="A330" s="246" t="s">
        <v>25</v>
      </c>
      <c r="B330" s="248">
        <v>43585</v>
      </c>
      <c r="C330" s="1" t="s">
        <v>118</v>
      </c>
      <c r="D330" s="2">
        <v>175</v>
      </c>
      <c r="E330" s="113"/>
      <c r="F330" s="2" t="s">
        <v>58</v>
      </c>
      <c r="G330" s="1"/>
    </row>
    <row r="331" spans="1:7" ht="15.75">
      <c r="A331" s="246" t="s">
        <v>28</v>
      </c>
      <c r="B331" s="247">
        <v>43587</v>
      </c>
      <c r="C331" s="30" t="s">
        <v>208</v>
      </c>
      <c r="D331" s="6">
        <v>300</v>
      </c>
      <c r="E331" s="6"/>
      <c r="F331" s="46" t="s">
        <v>58</v>
      </c>
      <c r="G331" s="1"/>
    </row>
    <row r="332" spans="1:7" ht="15.75">
      <c r="A332" s="246" t="s">
        <v>28</v>
      </c>
      <c r="B332" s="247">
        <v>43587</v>
      </c>
      <c r="C332" s="30" t="s">
        <v>127</v>
      </c>
      <c r="D332" s="6">
        <v>25</v>
      </c>
      <c r="E332" s="6"/>
      <c r="F332" s="46" t="s">
        <v>92</v>
      </c>
      <c r="G332" s="1"/>
    </row>
    <row r="333" spans="1:7" ht="15.75">
      <c r="A333" s="246" t="s">
        <v>28</v>
      </c>
      <c r="B333" s="247">
        <v>43587</v>
      </c>
      <c r="C333" s="30" t="s">
        <v>180</v>
      </c>
      <c r="D333" s="6">
        <v>25</v>
      </c>
      <c r="E333" s="6"/>
      <c r="F333" s="46" t="s">
        <v>92</v>
      </c>
      <c r="G333" s="1"/>
    </row>
    <row r="334" spans="1:7" ht="15.75">
      <c r="A334" s="246" t="s">
        <v>28</v>
      </c>
      <c r="B334" s="247">
        <v>43587</v>
      </c>
      <c r="C334" s="1" t="s">
        <v>132</v>
      </c>
      <c r="D334" s="2">
        <v>1000</v>
      </c>
      <c r="E334" s="2"/>
      <c r="F334" s="2" t="s">
        <v>92</v>
      </c>
      <c r="G334" s="1"/>
    </row>
    <row r="335" spans="1:7" ht="15.75">
      <c r="A335" s="246" t="s">
        <v>28</v>
      </c>
      <c r="B335" s="247">
        <v>43587</v>
      </c>
      <c r="C335" s="1" t="s">
        <v>209</v>
      </c>
      <c r="D335" s="2">
        <v>22.7</v>
      </c>
      <c r="E335" s="2"/>
      <c r="F335" s="2" t="s">
        <v>210</v>
      </c>
      <c r="G335" s="1"/>
    </row>
    <row r="336" spans="1:7" ht="15.75">
      <c r="A336" s="246" t="s">
        <v>28</v>
      </c>
      <c r="B336" s="247">
        <v>43587</v>
      </c>
      <c r="C336" s="1" t="s">
        <v>211</v>
      </c>
      <c r="D336" s="2">
        <v>25</v>
      </c>
      <c r="E336" s="2"/>
      <c r="F336" s="2" t="s">
        <v>63</v>
      </c>
      <c r="G336" s="1"/>
    </row>
    <row r="337" spans="1:7" ht="15.75">
      <c r="A337" s="246" t="s">
        <v>28</v>
      </c>
      <c r="B337" s="248">
        <v>43588</v>
      </c>
      <c r="C337" s="1" t="s">
        <v>46</v>
      </c>
      <c r="D337" s="6">
        <v>2000</v>
      </c>
      <c r="E337" s="6"/>
      <c r="F337" s="46" t="s">
        <v>50</v>
      </c>
      <c r="G337" s="1"/>
    </row>
    <row r="338" spans="1:7" ht="15.75">
      <c r="A338" s="246" t="s">
        <v>28</v>
      </c>
      <c r="B338" s="248">
        <v>43588</v>
      </c>
      <c r="C338" s="74" t="s">
        <v>51</v>
      </c>
      <c r="D338" s="116"/>
      <c r="E338" s="116">
        <f>20+20</f>
        <v>40</v>
      </c>
      <c r="F338" s="112" t="s">
        <v>11</v>
      </c>
      <c r="G338" s="74" t="s">
        <v>52</v>
      </c>
    </row>
    <row r="339" spans="1:7" ht="15.75">
      <c r="A339" s="246" t="s">
        <v>28</v>
      </c>
      <c r="B339" s="248">
        <v>43588</v>
      </c>
      <c r="C339" s="1" t="s">
        <v>47</v>
      </c>
      <c r="D339" s="6">
        <v>200</v>
      </c>
      <c r="E339" s="6"/>
      <c r="F339" s="46" t="s">
        <v>50</v>
      </c>
      <c r="G339" s="1"/>
    </row>
    <row r="340" spans="1:7" ht="15.75">
      <c r="A340" s="246" t="s">
        <v>28</v>
      </c>
      <c r="B340" s="248">
        <v>43588</v>
      </c>
      <c r="C340" s="1" t="s">
        <v>55</v>
      </c>
      <c r="D340" s="6">
        <v>50</v>
      </c>
      <c r="E340" s="6"/>
      <c r="F340" s="46" t="s">
        <v>50</v>
      </c>
      <c r="G340" s="1"/>
    </row>
    <row r="341" spans="1:7" ht="15.75">
      <c r="A341" s="246" t="s">
        <v>28</v>
      </c>
      <c r="B341" s="248">
        <v>43588</v>
      </c>
      <c r="C341" s="1" t="s">
        <v>62</v>
      </c>
      <c r="D341" s="6">
        <v>1500</v>
      </c>
      <c r="E341" s="6"/>
      <c r="F341" s="46" t="s">
        <v>50</v>
      </c>
      <c r="G341" s="1"/>
    </row>
    <row r="342" spans="1:7" ht="15.75">
      <c r="A342" s="246" t="s">
        <v>28</v>
      </c>
      <c r="B342" s="248">
        <v>43588</v>
      </c>
      <c r="C342" s="1" t="s">
        <v>69</v>
      </c>
      <c r="D342" s="6">
        <v>500</v>
      </c>
      <c r="E342" s="6"/>
      <c r="F342" s="46" t="s">
        <v>50</v>
      </c>
      <c r="G342" s="1"/>
    </row>
    <row r="343" spans="1:7" ht="15.75">
      <c r="A343" s="246" t="s">
        <v>28</v>
      </c>
      <c r="B343" s="248">
        <v>43588</v>
      </c>
      <c r="C343" s="1" t="s">
        <v>162</v>
      </c>
      <c r="D343" s="6">
        <v>170.25</v>
      </c>
      <c r="E343" s="6"/>
      <c r="F343" s="46" t="s">
        <v>58</v>
      </c>
      <c r="G343" s="1" t="s">
        <v>88</v>
      </c>
    </row>
    <row r="344" spans="1:7" ht="15.75">
      <c r="A344" s="246" t="s">
        <v>28</v>
      </c>
      <c r="B344" s="248">
        <v>43588</v>
      </c>
      <c r="C344" s="1" t="s">
        <v>87</v>
      </c>
      <c r="D344" s="6">
        <v>34.049999999999997</v>
      </c>
      <c r="E344" s="6"/>
      <c r="F344" s="46" t="s">
        <v>58</v>
      </c>
      <c r="G344" s="1" t="s">
        <v>88</v>
      </c>
    </row>
    <row r="345" spans="1:7" ht="15.75">
      <c r="A345" s="246" t="s">
        <v>28</v>
      </c>
      <c r="B345" s="248">
        <v>43591</v>
      </c>
      <c r="C345" s="1" t="s">
        <v>80</v>
      </c>
      <c r="D345" s="6">
        <v>500</v>
      </c>
      <c r="E345" s="6"/>
      <c r="F345" s="46" t="s">
        <v>63</v>
      </c>
      <c r="G345" s="46"/>
    </row>
    <row r="346" spans="1:7" ht="15.75">
      <c r="A346" s="246" t="s">
        <v>28</v>
      </c>
      <c r="B346" s="248">
        <v>43591</v>
      </c>
      <c r="C346" s="1" t="s">
        <v>48</v>
      </c>
      <c r="D346" s="6">
        <f>400+400</f>
        <v>800</v>
      </c>
      <c r="E346" s="6"/>
      <c r="F346" s="46" t="s">
        <v>63</v>
      </c>
      <c r="G346" s="46"/>
    </row>
    <row r="347" spans="1:7" ht="15.75">
      <c r="A347" s="246" t="s">
        <v>28</v>
      </c>
      <c r="B347" s="248">
        <v>43591</v>
      </c>
      <c r="C347" s="1" t="s">
        <v>74</v>
      </c>
      <c r="D347" s="6">
        <v>450</v>
      </c>
      <c r="E347" s="6"/>
      <c r="F347" s="46" t="s">
        <v>58</v>
      </c>
      <c r="G347" s="46"/>
    </row>
    <row r="348" spans="1:7" ht="15.75">
      <c r="A348" s="246" t="s">
        <v>28</v>
      </c>
      <c r="B348" s="248">
        <v>43591</v>
      </c>
      <c r="C348" s="1" t="s">
        <v>81</v>
      </c>
      <c r="D348" s="6">
        <v>1000</v>
      </c>
      <c r="E348" s="6"/>
      <c r="F348" s="46" t="s">
        <v>50</v>
      </c>
      <c r="G348" s="46"/>
    </row>
    <row r="349" spans="1:7" ht="15.75">
      <c r="A349" s="246" t="s">
        <v>28</v>
      </c>
      <c r="B349" s="248">
        <v>43592</v>
      </c>
      <c r="C349" s="30" t="s">
        <v>56</v>
      </c>
      <c r="D349" s="2">
        <f>20+2000</f>
        <v>2020</v>
      </c>
      <c r="E349" s="1"/>
      <c r="F349" s="30" t="s">
        <v>50</v>
      </c>
      <c r="G349" s="30"/>
    </row>
    <row r="350" spans="1:7" ht="15.75">
      <c r="A350" s="246" t="s">
        <v>28</v>
      </c>
      <c r="B350" s="248">
        <v>43592</v>
      </c>
      <c r="C350" s="30" t="s">
        <v>55</v>
      </c>
      <c r="D350" s="2">
        <f>150+50</f>
        <v>200</v>
      </c>
      <c r="E350" s="1"/>
      <c r="F350" s="30" t="s">
        <v>50</v>
      </c>
      <c r="G350" s="30"/>
    </row>
    <row r="351" spans="1:7" ht="15.75">
      <c r="A351" s="246" t="s">
        <v>28</v>
      </c>
      <c r="B351" s="248">
        <v>43592</v>
      </c>
      <c r="C351" s="1" t="s">
        <v>82</v>
      </c>
      <c r="D351" s="2">
        <v>2000</v>
      </c>
      <c r="E351" s="1"/>
      <c r="F351" s="30" t="s">
        <v>50</v>
      </c>
      <c r="G351" s="30"/>
    </row>
    <row r="352" spans="1:7" ht="15.75">
      <c r="A352" s="246" t="s">
        <v>28</v>
      </c>
      <c r="B352" s="248">
        <v>43592</v>
      </c>
      <c r="C352" s="30" t="s">
        <v>212</v>
      </c>
      <c r="D352" s="2">
        <v>100</v>
      </c>
      <c r="E352" s="1"/>
      <c r="F352" s="30" t="s">
        <v>92</v>
      </c>
      <c r="G352" s="30"/>
    </row>
    <row r="353" spans="1:7" ht="15.75">
      <c r="A353" s="246" t="s">
        <v>28</v>
      </c>
      <c r="B353" s="248">
        <v>43593</v>
      </c>
      <c r="C353" s="30" t="s">
        <v>213</v>
      </c>
      <c r="D353" s="2">
        <v>25</v>
      </c>
      <c r="E353" s="2"/>
      <c r="F353" s="30" t="s">
        <v>44</v>
      </c>
      <c r="G353" s="1" t="s">
        <v>88</v>
      </c>
    </row>
    <row r="354" spans="1:7" ht="15.75">
      <c r="A354" s="246" t="s">
        <v>28</v>
      </c>
      <c r="B354" s="248">
        <v>43593</v>
      </c>
      <c r="C354" s="30" t="s">
        <v>183</v>
      </c>
      <c r="D354" s="2">
        <f>100+200</f>
        <v>300</v>
      </c>
      <c r="E354" s="2"/>
      <c r="F354" s="30" t="s">
        <v>50</v>
      </c>
      <c r="G354" s="1"/>
    </row>
    <row r="355" spans="1:7" ht="15.75">
      <c r="A355" s="246" t="s">
        <v>28</v>
      </c>
      <c r="B355" s="248">
        <v>43593</v>
      </c>
      <c r="C355" s="30" t="s">
        <v>70</v>
      </c>
      <c r="D355" s="2">
        <v>225</v>
      </c>
      <c r="E355" s="2"/>
      <c r="F355" s="30" t="s">
        <v>63</v>
      </c>
      <c r="G355" s="1"/>
    </row>
    <row r="356" spans="1:7" ht="15.75">
      <c r="A356" s="246" t="s">
        <v>28</v>
      </c>
      <c r="B356" s="248">
        <v>43593</v>
      </c>
      <c r="C356" s="30" t="s">
        <v>157</v>
      </c>
      <c r="D356" s="2">
        <v>150</v>
      </c>
      <c r="E356" s="2"/>
      <c r="F356" s="30" t="s">
        <v>63</v>
      </c>
      <c r="G356" s="1"/>
    </row>
    <row r="357" spans="1:7" ht="15.75">
      <c r="A357" s="246" t="s">
        <v>28</v>
      </c>
      <c r="B357" s="248">
        <v>43593</v>
      </c>
      <c r="C357" s="30" t="s">
        <v>69</v>
      </c>
      <c r="D357" s="2">
        <f>50+500</f>
        <v>550</v>
      </c>
      <c r="E357" s="2"/>
      <c r="F357" s="30" t="s">
        <v>50</v>
      </c>
      <c r="G357" s="1"/>
    </row>
    <row r="358" spans="1:7" ht="15.75">
      <c r="A358" s="246" t="s">
        <v>28</v>
      </c>
      <c r="B358" s="248">
        <v>43593</v>
      </c>
      <c r="C358" s="30" t="s">
        <v>47</v>
      </c>
      <c r="D358" s="2">
        <v>250</v>
      </c>
      <c r="E358" s="2"/>
      <c r="F358" s="30" t="s">
        <v>50</v>
      </c>
      <c r="G358" s="1"/>
    </row>
    <row r="359" spans="1:7" ht="15.75">
      <c r="A359" s="246" t="s">
        <v>28</v>
      </c>
      <c r="B359" s="248">
        <v>43593</v>
      </c>
      <c r="C359" s="30" t="s">
        <v>61</v>
      </c>
      <c r="D359" s="2">
        <f>18+20</f>
        <v>38</v>
      </c>
      <c r="E359" s="2"/>
      <c r="F359" s="30" t="s">
        <v>50</v>
      </c>
      <c r="G359" s="1"/>
    </row>
    <row r="360" spans="1:7" ht="15.75">
      <c r="A360" s="246" t="s">
        <v>28</v>
      </c>
      <c r="B360" s="248">
        <v>43593</v>
      </c>
      <c r="C360" s="30" t="s">
        <v>156</v>
      </c>
      <c r="D360" s="2">
        <f>390+400+1200+750</f>
        <v>2740</v>
      </c>
      <c r="E360" s="1"/>
      <c r="F360" s="30" t="s">
        <v>44</v>
      </c>
      <c r="G360" s="1" t="s">
        <v>88</v>
      </c>
    </row>
    <row r="361" spans="1:7" ht="15.75">
      <c r="A361" s="246" t="s">
        <v>28</v>
      </c>
      <c r="B361" s="248">
        <v>43594</v>
      </c>
      <c r="C361" s="90" t="s">
        <v>51</v>
      </c>
      <c r="D361" s="107"/>
      <c r="E361" s="107">
        <v>25</v>
      </c>
      <c r="F361" s="107" t="s">
        <v>11</v>
      </c>
      <c r="G361" s="81" t="s">
        <v>52</v>
      </c>
    </row>
    <row r="362" spans="1:7" ht="15.75">
      <c r="A362" s="246" t="s">
        <v>28</v>
      </c>
      <c r="B362" s="248">
        <v>43594</v>
      </c>
      <c r="C362" s="30" t="s">
        <v>100</v>
      </c>
      <c r="D362" s="7">
        <f>20+20</f>
        <v>40</v>
      </c>
      <c r="E362" s="7"/>
      <c r="F362" s="7" t="s">
        <v>58</v>
      </c>
      <c r="G362" s="1"/>
    </row>
    <row r="363" spans="1:7" ht="15.75">
      <c r="A363" s="246" t="s">
        <v>28</v>
      </c>
      <c r="B363" s="248">
        <v>43594</v>
      </c>
      <c r="C363" s="30" t="s">
        <v>214</v>
      </c>
      <c r="D363" s="7">
        <v>100</v>
      </c>
      <c r="E363" s="7"/>
      <c r="F363" s="7" t="s">
        <v>44</v>
      </c>
      <c r="G363" s="1"/>
    </row>
    <row r="364" spans="1:7" ht="15.75">
      <c r="A364" s="246" t="s">
        <v>28</v>
      </c>
      <c r="B364" s="248">
        <v>43595</v>
      </c>
      <c r="C364" s="1" t="s">
        <v>123</v>
      </c>
      <c r="D364" s="7"/>
      <c r="E364" s="7">
        <v>20</v>
      </c>
      <c r="F364" s="7" t="s">
        <v>11</v>
      </c>
      <c r="G364" s="1" t="s">
        <v>52</v>
      </c>
    </row>
    <row r="365" spans="1:7" ht="15.75">
      <c r="A365" s="246" t="s">
        <v>28</v>
      </c>
      <c r="B365" s="248">
        <v>43598</v>
      </c>
      <c r="C365" s="1" t="s">
        <v>103</v>
      </c>
      <c r="D365" s="7">
        <v>125</v>
      </c>
      <c r="E365" s="7"/>
      <c r="F365" s="7" t="s">
        <v>58</v>
      </c>
      <c r="G365" s="1" t="s">
        <v>88</v>
      </c>
    </row>
    <row r="366" spans="1:7" ht="15.75">
      <c r="A366" s="246" t="s">
        <v>28</v>
      </c>
      <c r="B366" s="248">
        <v>43598</v>
      </c>
      <c r="C366" s="1" t="s">
        <v>162</v>
      </c>
      <c r="D366" s="7">
        <v>50</v>
      </c>
      <c r="E366" s="7"/>
      <c r="F366" s="7" t="s">
        <v>58</v>
      </c>
      <c r="G366" s="1" t="s">
        <v>88</v>
      </c>
    </row>
    <row r="367" spans="1:7" ht="15.75">
      <c r="A367" s="246" t="s">
        <v>28</v>
      </c>
      <c r="B367" s="248">
        <v>43598</v>
      </c>
      <c r="C367" s="1" t="s">
        <v>54</v>
      </c>
      <c r="D367" s="7">
        <f>2500+40</f>
        <v>2540</v>
      </c>
      <c r="E367" s="7"/>
      <c r="F367" s="7" t="s">
        <v>50</v>
      </c>
      <c r="G367" s="1"/>
    </row>
    <row r="368" spans="1:7" ht="15.75">
      <c r="A368" s="246" t="s">
        <v>28</v>
      </c>
      <c r="B368" s="248">
        <v>43598</v>
      </c>
      <c r="C368" s="1" t="s">
        <v>47</v>
      </c>
      <c r="D368" s="7">
        <v>500</v>
      </c>
      <c r="E368" s="7"/>
      <c r="F368" s="7" t="s">
        <v>50</v>
      </c>
      <c r="G368" s="1"/>
    </row>
    <row r="369" spans="1:7" ht="15.75">
      <c r="A369" s="246" t="s">
        <v>28</v>
      </c>
      <c r="B369" s="248">
        <v>43598</v>
      </c>
      <c r="C369" s="1" t="s">
        <v>78</v>
      </c>
      <c r="D369" s="7">
        <v>80</v>
      </c>
      <c r="E369" s="7"/>
      <c r="F369" s="7" t="s">
        <v>50</v>
      </c>
      <c r="G369" s="1"/>
    </row>
    <row r="370" spans="1:7" ht="15.75">
      <c r="A370" s="246" t="s">
        <v>28</v>
      </c>
      <c r="B370" s="248">
        <v>43599</v>
      </c>
      <c r="C370" s="161" t="s">
        <v>185</v>
      </c>
      <c r="D370" s="2">
        <v>25</v>
      </c>
      <c r="E370" s="2"/>
      <c r="F370" s="46" t="s">
        <v>58</v>
      </c>
      <c r="G370" s="1"/>
    </row>
    <row r="371" spans="1:7" ht="15.75">
      <c r="A371" s="246" t="s">
        <v>28</v>
      </c>
      <c r="B371" s="248">
        <v>43600</v>
      </c>
      <c r="C371" s="1" t="s">
        <v>161</v>
      </c>
      <c r="D371" s="2">
        <v>240</v>
      </c>
      <c r="E371" s="2"/>
      <c r="F371" s="46" t="s">
        <v>63</v>
      </c>
      <c r="G371" s="1"/>
    </row>
    <row r="372" spans="1:7" ht="15.75">
      <c r="A372" s="246" t="s">
        <v>28</v>
      </c>
      <c r="B372" s="248">
        <v>43600</v>
      </c>
      <c r="C372" s="1" t="s">
        <v>111</v>
      </c>
      <c r="D372" s="2">
        <v>2000</v>
      </c>
      <c r="E372" s="2"/>
      <c r="F372" s="46" t="s">
        <v>44</v>
      </c>
      <c r="G372" s="1"/>
    </row>
    <row r="373" spans="1:7" ht="15.75">
      <c r="A373" s="246" t="s">
        <v>28</v>
      </c>
      <c r="B373" s="248">
        <v>43601</v>
      </c>
      <c r="C373" s="1" t="s">
        <v>213</v>
      </c>
      <c r="D373" s="2">
        <v>100</v>
      </c>
      <c r="E373" s="2"/>
      <c r="F373" s="46" t="s">
        <v>60</v>
      </c>
      <c r="G373" s="1" t="s">
        <v>88</v>
      </c>
    </row>
    <row r="374" spans="1:7" ht="15.75">
      <c r="A374" s="246" t="s">
        <v>28</v>
      </c>
      <c r="B374" s="248">
        <v>43601</v>
      </c>
      <c r="C374" s="1" t="s">
        <v>47</v>
      </c>
      <c r="D374" s="2">
        <v>250</v>
      </c>
      <c r="E374" s="2"/>
      <c r="F374" s="46" t="s">
        <v>50</v>
      </c>
      <c r="G374" s="1"/>
    </row>
    <row r="375" spans="1:7" ht="15.75">
      <c r="A375" s="246" t="s">
        <v>28</v>
      </c>
      <c r="B375" s="248">
        <v>43602</v>
      </c>
      <c r="C375" s="30" t="s">
        <v>124</v>
      </c>
      <c r="D375" s="2">
        <v>150</v>
      </c>
      <c r="E375" s="2"/>
      <c r="F375" s="2" t="s">
        <v>60</v>
      </c>
      <c r="G375" s="1"/>
    </row>
    <row r="376" spans="1:7" ht="15.75">
      <c r="A376" s="246" t="s">
        <v>28</v>
      </c>
      <c r="B376" s="248">
        <v>43602</v>
      </c>
      <c r="C376" s="30" t="s">
        <v>114</v>
      </c>
      <c r="D376" s="2">
        <v>200</v>
      </c>
      <c r="E376" s="2"/>
      <c r="F376" s="2" t="s">
        <v>63</v>
      </c>
      <c r="G376" s="1"/>
    </row>
    <row r="377" spans="1:7" ht="15.75">
      <c r="A377" s="246" t="s">
        <v>28</v>
      </c>
      <c r="B377" s="248">
        <v>43602</v>
      </c>
      <c r="C377" s="30" t="s">
        <v>115</v>
      </c>
      <c r="D377" s="2">
        <v>75</v>
      </c>
      <c r="E377" s="2"/>
      <c r="F377" s="2" t="s">
        <v>63</v>
      </c>
      <c r="G377" s="1"/>
    </row>
    <row r="378" spans="1:7" ht="15.75">
      <c r="A378" s="246" t="s">
        <v>28</v>
      </c>
      <c r="B378" s="248">
        <v>43602</v>
      </c>
      <c r="C378" s="30" t="s">
        <v>57</v>
      </c>
      <c r="D378" s="2">
        <v>125</v>
      </c>
      <c r="E378" s="2"/>
      <c r="F378" s="2" t="s">
        <v>63</v>
      </c>
      <c r="G378" s="1"/>
    </row>
    <row r="379" spans="1:7" ht="15.75">
      <c r="A379" s="246" t="s">
        <v>28</v>
      </c>
      <c r="B379" s="248">
        <v>43602</v>
      </c>
      <c r="C379" s="90" t="s">
        <v>107</v>
      </c>
      <c r="D379" s="82"/>
      <c r="E379" s="82">
        <v>400</v>
      </c>
      <c r="F379" s="82" t="s">
        <v>11</v>
      </c>
      <c r="G379" s="81" t="s">
        <v>108</v>
      </c>
    </row>
    <row r="380" spans="1:7" ht="15.75">
      <c r="A380" s="246" t="s">
        <v>28</v>
      </c>
      <c r="B380" s="248">
        <v>43602</v>
      </c>
      <c r="C380" s="111" t="s">
        <v>215</v>
      </c>
      <c r="D380" s="67">
        <v>50</v>
      </c>
      <c r="E380" s="67"/>
      <c r="F380" s="67" t="s">
        <v>44</v>
      </c>
      <c r="G380" s="74" t="s">
        <v>84</v>
      </c>
    </row>
    <row r="381" spans="1:7" ht="15.75">
      <c r="A381" s="246" t="s">
        <v>28</v>
      </c>
      <c r="B381" s="248">
        <v>43602</v>
      </c>
      <c r="C381" s="30" t="s">
        <v>216</v>
      </c>
      <c r="D381" s="2">
        <v>110</v>
      </c>
      <c r="E381" s="2"/>
      <c r="F381" s="2" t="s">
        <v>60</v>
      </c>
      <c r="G381" s="1" t="s">
        <v>217</v>
      </c>
    </row>
    <row r="382" spans="1:7" ht="15.75">
      <c r="A382" s="246" t="s">
        <v>28</v>
      </c>
      <c r="B382" s="248">
        <v>43602</v>
      </c>
      <c r="C382" s="30" t="s">
        <v>81</v>
      </c>
      <c r="D382" s="2">
        <v>4000</v>
      </c>
      <c r="E382" s="2"/>
      <c r="F382" s="2" t="s">
        <v>63</v>
      </c>
      <c r="G382" s="1"/>
    </row>
    <row r="383" spans="1:7" ht="15.75">
      <c r="A383" s="246" t="s">
        <v>28</v>
      </c>
      <c r="B383" s="248">
        <v>43602</v>
      </c>
      <c r="C383" s="1" t="s">
        <v>82</v>
      </c>
      <c r="D383" s="2">
        <v>3000</v>
      </c>
      <c r="E383" s="2"/>
      <c r="F383" s="2" t="s">
        <v>60</v>
      </c>
      <c r="G383" s="1"/>
    </row>
    <row r="384" spans="1:7" ht="15.75">
      <c r="A384" s="246" t="s">
        <v>28</v>
      </c>
      <c r="B384" s="248">
        <v>43605</v>
      </c>
      <c r="C384" s="30" t="s">
        <v>123</v>
      </c>
      <c r="D384" s="2">
        <f>20+2000</f>
        <v>2020</v>
      </c>
      <c r="E384" s="2"/>
      <c r="F384" s="2" t="s">
        <v>63</v>
      </c>
      <c r="G384" s="1"/>
    </row>
    <row r="385" spans="1:7" ht="15.75">
      <c r="A385" s="246" t="s">
        <v>28</v>
      </c>
      <c r="B385" s="248">
        <v>43605</v>
      </c>
      <c r="C385" s="30" t="s">
        <v>218</v>
      </c>
      <c r="D385" s="2">
        <v>25</v>
      </c>
      <c r="E385" s="2"/>
      <c r="F385" s="2" t="s">
        <v>63</v>
      </c>
      <c r="G385" s="1"/>
    </row>
    <row r="386" spans="1:7" ht="15.75">
      <c r="A386" s="246" t="s">
        <v>28</v>
      </c>
      <c r="B386" s="248">
        <v>43605</v>
      </c>
      <c r="C386" s="30" t="s">
        <v>55</v>
      </c>
      <c r="D386" s="2">
        <v>125</v>
      </c>
      <c r="E386" s="2"/>
      <c r="F386" s="2" t="s">
        <v>63</v>
      </c>
      <c r="G386" s="1"/>
    </row>
    <row r="387" spans="1:7" ht="15.75">
      <c r="A387" s="246" t="s">
        <v>28</v>
      </c>
      <c r="B387" s="248">
        <v>43605</v>
      </c>
      <c r="C387" s="30" t="s">
        <v>90</v>
      </c>
      <c r="D387" s="2">
        <v>60</v>
      </c>
      <c r="E387" s="2"/>
      <c r="F387" s="2" t="s">
        <v>92</v>
      </c>
      <c r="G387" s="1"/>
    </row>
    <row r="388" spans="1:7" ht="15.75">
      <c r="A388" s="246" t="s">
        <v>28</v>
      </c>
      <c r="B388" s="248">
        <v>43606</v>
      </c>
      <c r="C388" s="1" t="s">
        <v>151</v>
      </c>
      <c r="D388" s="7">
        <f>40+120</f>
        <v>160</v>
      </c>
      <c r="E388" s="7"/>
      <c r="F388" s="7" t="s">
        <v>60</v>
      </c>
      <c r="G388" s="46"/>
    </row>
    <row r="389" spans="1:7" ht="15.75">
      <c r="A389" s="246" t="s">
        <v>28</v>
      </c>
      <c r="B389" s="248">
        <v>43606</v>
      </c>
      <c r="C389" s="1" t="s">
        <v>219</v>
      </c>
      <c r="D389" s="7">
        <v>200</v>
      </c>
      <c r="E389" s="7"/>
      <c r="F389" s="7" t="s">
        <v>60</v>
      </c>
      <c r="G389" s="46"/>
    </row>
    <row r="390" spans="1:7" ht="15.75">
      <c r="A390" s="246" t="s">
        <v>28</v>
      </c>
      <c r="B390" s="248">
        <v>43606</v>
      </c>
      <c r="C390" s="1" t="s">
        <v>190</v>
      </c>
      <c r="D390" s="7">
        <v>1000</v>
      </c>
      <c r="E390" s="7"/>
      <c r="F390" s="7" t="s">
        <v>50</v>
      </c>
      <c r="G390" s="46" t="s">
        <v>73</v>
      </c>
    </row>
    <row r="391" spans="1:7" ht="15.75">
      <c r="A391" s="246" t="s">
        <v>28</v>
      </c>
      <c r="B391" s="248">
        <v>43606</v>
      </c>
      <c r="C391" s="1" t="s">
        <v>69</v>
      </c>
      <c r="D391" s="7">
        <f>1000+100</f>
        <v>1100</v>
      </c>
      <c r="E391" s="7"/>
      <c r="F391" s="7" t="s">
        <v>50</v>
      </c>
      <c r="G391" s="46"/>
    </row>
    <row r="392" spans="1:7" ht="15.75">
      <c r="A392" s="246" t="s">
        <v>28</v>
      </c>
      <c r="B392" s="248">
        <v>43607</v>
      </c>
      <c r="C392" s="1" t="s">
        <v>48</v>
      </c>
      <c r="D392" s="2">
        <v>500</v>
      </c>
      <c r="E392" s="2"/>
      <c r="F392" s="2" t="s">
        <v>50</v>
      </c>
      <c r="G392" s="1"/>
    </row>
    <row r="393" spans="1:7" ht="15.75">
      <c r="A393" s="246" t="s">
        <v>28</v>
      </c>
      <c r="B393" s="248">
        <v>43607</v>
      </c>
      <c r="C393" s="1" t="s">
        <v>47</v>
      </c>
      <c r="D393" s="2">
        <v>400</v>
      </c>
      <c r="E393" s="2"/>
      <c r="F393" s="2" t="s">
        <v>50</v>
      </c>
      <c r="G393" s="1"/>
    </row>
    <row r="394" spans="1:7" ht="15.75">
      <c r="A394" s="246" t="s">
        <v>28</v>
      </c>
      <c r="B394" s="248">
        <v>43607</v>
      </c>
      <c r="C394" s="1" t="s">
        <v>82</v>
      </c>
      <c r="D394" s="2">
        <f>180+160</f>
        <v>340</v>
      </c>
      <c r="E394" s="2"/>
      <c r="F394" s="2" t="s">
        <v>44</v>
      </c>
      <c r="G394" s="1"/>
    </row>
    <row r="395" spans="1:7" ht="15.75">
      <c r="A395" s="246" t="s">
        <v>28</v>
      </c>
      <c r="B395" s="248">
        <v>43608</v>
      </c>
      <c r="C395" s="1" t="s">
        <v>147</v>
      </c>
      <c r="D395" s="2">
        <f>600+1000+1200+140</f>
        <v>2940</v>
      </c>
      <c r="E395" s="2"/>
      <c r="F395" s="2" t="s">
        <v>44</v>
      </c>
      <c r="G395" s="1"/>
    </row>
    <row r="396" spans="1:7" ht="15.75">
      <c r="A396" s="246" t="s">
        <v>28</v>
      </c>
      <c r="B396" s="248">
        <v>43608</v>
      </c>
      <c r="C396" s="1" t="s">
        <v>156</v>
      </c>
      <c r="D396" s="2">
        <v>35</v>
      </c>
      <c r="E396" s="2"/>
      <c r="F396" s="2" t="s">
        <v>50</v>
      </c>
      <c r="G396" s="1" t="s">
        <v>88</v>
      </c>
    </row>
    <row r="397" spans="1:7" ht="15.75">
      <c r="A397" s="246" t="s">
        <v>28</v>
      </c>
      <c r="B397" s="248">
        <v>43608</v>
      </c>
      <c r="C397" s="1" t="s">
        <v>75</v>
      </c>
      <c r="D397" s="2">
        <f>40+50</f>
        <v>90</v>
      </c>
      <c r="E397" s="2"/>
      <c r="F397" s="2" t="s">
        <v>139</v>
      </c>
      <c r="G397" s="1" t="s">
        <v>76</v>
      </c>
    </row>
    <row r="398" spans="1:7" ht="15.75">
      <c r="A398" s="246" t="s">
        <v>28</v>
      </c>
      <c r="B398" s="248">
        <v>43608</v>
      </c>
      <c r="C398" s="1" t="s">
        <v>48</v>
      </c>
      <c r="D398" s="2">
        <v>400</v>
      </c>
      <c r="E398" s="2"/>
      <c r="F398" s="2" t="s">
        <v>44</v>
      </c>
      <c r="G398" s="1"/>
    </row>
    <row r="399" spans="1:7" ht="15.75">
      <c r="A399" s="246" t="s">
        <v>28</v>
      </c>
      <c r="B399" s="248">
        <v>43608</v>
      </c>
      <c r="C399" s="1" t="s">
        <v>86</v>
      </c>
      <c r="D399" s="2">
        <v>1200</v>
      </c>
      <c r="E399" s="2"/>
      <c r="F399" s="2" t="s">
        <v>44</v>
      </c>
      <c r="G399" s="1"/>
    </row>
    <row r="400" spans="1:7" ht="15.75">
      <c r="A400" s="246" t="s">
        <v>28</v>
      </c>
      <c r="B400" s="248">
        <v>43609</v>
      </c>
      <c r="C400" s="1" t="s">
        <v>43</v>
      </c>
      <c r="D400" s="2">
        <v>3000</v>
      </c>
      <c r="E400" s="2"/>
      <c r="F400" s="2" t="s">
        <v>44</v>
      </c>
      <c r="G400" s="1"/>
    </row>
    <row r="401" spans="1:7" ht="15.75">
      <c r="A401" s="246" t="s">
        <v>28</v>
      </c>
      <c r="B401" s="248">
        <v>43609</v>
      </c>
      <c r="C401" s="1" t="s">
        <v>55</v>
      </c>
      <c r="D401" s="2">
        <v>50</v>
      </c>
      <c r="E401" s="2"/>
      <c r="F401" s="2" t="s">
        <v>44</v>
      </c>
      <c r="G401" s="1"/>
    </row>
    <row r="402" spans="1:7" ht="15.75">
      <c r="A402" s="246" t="s">
        <v>28</v>
      </c>
      <c r="B402" s="248">
        <v>43612</v>
      </c>
      <c r="C402" s="1" t="s">
        <v>62</v>
      </c>
      <c r="D402" s="7">
        <v>1500</v>
      </c>
      <c r="E402" s="7"/>
      <c r="F402" s="7" t="s">
        <v>50</v>
      </c>
      <c r="G402" s="1"/>
    </row>
    <row r="403" spans="1:7" ht="15.75">
      <c r="A403" s="246" t="s">
        <v>28</v>
      </c>
      <c r="B403" s="248">
        <v>43612</v>
      </c>
      <c r="C403" s="1" t="s">
        <v>47</v>
      </c>
      <c r="D403" s="7">
        <v>200</v>
      </c>
      <c r="E403" s="7"/>
      <c r="F403" s="7" t="s">
        <v>50</v>
      </c>
      <c r="G403" s="1"/>
    </row>
    <row r="404" spans="1:7" ht="15.75">
      <c r="A404" s="246" t="s">
        <v>28</v>
      </c>
      <c r="B404" s="248">
        <v>43612</v>
      </c>
      <c r="C404" s="30" t="s">
        <v>146</v>
      </c>
      <c r="D404" s="7">
        <v>11.35</v>
      </c>
      <c r="E404" s="7"/>
      <c r="F404" s="7" t="s">
        <v>50</v>
      </c>
      <c r="G404" s="1"/>
    </row>
    <row r="405" spans="1:7" ht="15.75">
      <c r="A405" s="246" t="s">
        <v>28</v>
      </c>
      <c r="B405" s="248">
        <v>43612</v>
      </c>
      <c r="C405" s="1" t="s">
        <v>152</v>
      </c>
      <c r="D405" s="7">
        <v>200</v>
      </c>
      <c r="E405" s="7"/>
      <c r="F405" s="7" t="s">
        <v>44</v>
      </c>
      <c r="G405" s="1"/>
    </row>
    <row r="406" spans="1:7" ht="15.75">
      <c r="A406" s="246" t="s">
        <v>28</v>
      </c>
      <c r="B406" s="248">
        <v>43612</v>
      </c>
      <c r="C406" s="1" t="s">
        <v>46</v>
      </c>
      <c r="D406" s="7">
        <v>20</v>
      </c>
      <c r="E406" s="7"/>
      <c r="F406" s="7" t="s">
        <v>50</v>
      </c>
      <c r="G406" s="1"/>
    </row>
    <row r="407" spans="1:7" ht="15.75">
      <c r="A407" s="246" t="s">
        <v>28</v>
      </c>
      <c r="B407" s="248">
        <v>43613</v>
      </c>
      <c r="C407" s="1" t="s">
        <v>183</v>
      </c>
      <c r="D407" s="7">
        <f>40+50</f>
        <v>90</v>
      </c>
      <c r="E407" s="7"/>
      <c r="F407" s="7" t="s">
        <v>44</v>
      </c>
      <c r="G407" s="1"/>
    </row>
    <row r="408" spans="1:7" ht="15.75">
      <c r="A408" s="246" t="s">
        <v>28</v>
      </c>
      <c r="B408" s="248">
        <v>43614</v>
      </c>
      <c r="C408" s="1" t="s">
        <v>80</v>
      </c>
      <c r="D408" s="2">
        <v>500</v>
      </c>
      <c r="E408" s="113"/>
      <c r="F408" s="2" t="s">
        <v>92</v>
      </c>
      <c r="G408" s="1"/>
    </row>
    <row r="409" spans="1:7" ht="15.75">
      <c r="A409" s="246" t="s">
        <v>28</v>
      </c>
      <c r="B409" s="248">
        <v>43615</v>
      </c>
      <c r="C409" s="30" t="s">
        <v>118</v>
      </c>
      <c r="D409" s="2">
        <v>100</v>
      </c>
      <c r="E409" s="2"/>
      <c r="F409" s="2" t="s">
        <v>58</v>
      </c>
      <c r="G409" s="1"/>
    </row>
    <row r="410" spans="1:7" ht="15.75">
      <c r="A410" s="246" t="s">
        <v>28</v>
      </c>
      <c r="B410" s="248">
        <v>43615</v>
      </c>
      <c r="C410" s="30" t="s">
        <v>220</v>
      </c>
      <c r="D410" s="2">
        <v>1000</v>
      </c>
      <c r="E410" s="2"/>
      <c r="F410" s="2" t="s">
        <v>44</v>
      </c>
      <c r="G410" s="1" t="s">
        <v>187</v>
      </c>
    </row>
    <row r="411" spans="1:7" ht="15.75">
      <c r="A411" s="246" t="s">
        <v>28</v>
      </c>
      <c r="B411" s="248">
        <v>43616</v>
      </c>
      <c r="C411" s="30" t="s">
        <v>72</v>
      </c>
      <c r="D411" s="2">
        <v>300</v>
      </c>
      <c r="E411" s="2"/>
      <c r="F411" s="46" t="s">
        <v>58</v>
      </c>
      <c r="G411" s="1"/>
    </row>
    <row r="412" spans="1:7" ht="15.75">
      <c r="A412" s="246" t="s">
        <v>28</v>
      </c>
      <c r="B412" s="248">
        <v>43616</v>
      </c>
      <c r="C412" s="30" t="s">
        <v>54</v>
      </c>
      <c r="D412" s="2">
        <f>4500+60</f>
        <v>4560</v>
      </c>
      <c r="E412" s="2"/>
      <c r="F412" s="46" t="s">
        <v>63</v>
      </c>
      <c r="G412" s="1"/>
    </row>
    <row r="413" spans="1:7" ht="15.75">
      <c r="A413" s="246" t="s">
        <v>28</v>
      </c>
      <c r="B413" s="248">
        <v>43616</v>
      </c>
      <c r="C413" s="30" t="s">
        <v>45</v>
      </c>
      <c r="D413" s="2">
        <v>900</v>
      </c>
      <c r="E413" s="2"/>
      <c r="F413" s="46" t="s">
        <v>63</v>
      </c>
      <c r="G413" s="1"/>
    </row>
    <row r="414" spans="1:7" ht="15.75">
      <c r="A414" s="246" t="s">
        <v>28</v>
      </c>
      <c r="B414" s="248">
        <v>43616</v>
      </c>
      <c r="C414" s="30" t="s">
        <v>87</v>
      </c>
      <c r="D414" s="2">
        <f>2000+11.35</f>
        <v>2011.35</v>
      </c>
      <c r="E414" s="2"/>
      <c r="F414" s="46" t="s">
        <v>92</v>
      </c>
      <c r="G414" s="1" t="s">
        <v>201</v>
      </c>
    </row>
    <row r="415" spans="1:7" ht="16.5" thickBot="1">
      <c r="A415" s="246" t="s">
        <v>28</v>
      </c>
      <c r="B415" s="249">
        <v>43616</v>
      </c>
      <c r="C415" s="30" t="s">
        <v>166</v>
      </c>
      <c r="D415" s="2">
        <f>100+25</f>
        <v>125</v>
      </c>
      <c r="E415" s="2"/>
      <c r="F415" s="46" t="s">
        <v>63</v>
      </c>
      <c r="G415" s="1"/>
    </row>
    <row r="416" spans="1:7" ht="15.75">
      <c r="A416" s="246" t="s">
        <v>29</v>
      </c>
      <c r="B416" s="247">
        <v>43619</v>
      </c>
      <c r="C416" s="158" t="s">
        <v>91</v>
      </c>
      <c r="D416" s="27">
        <v>75</v>
      </c>
      <c r="E416" s="33"/>
      <c r="F416" s="45" t="s">
        <v>58</v>
      </c>
      <c r="G416" s="13"/>
    </row>
    <row r="417" spans="1:7" ht="15.75">
      <c r="A417" s="246" t="s">
        <v>29</v>
      </c>
      <c r="B417" s="247">
        <v>43619</v>
      </c>
      <c r="C417" s="159" t="s">
        <v>124</v>
      </c>
      <c r="D417" s="6">
        <v>150</v>
      </c>
      <c r="E417" s="6"/>
      <c r="F417" s="46" t="s">
        <v>58</v>
      </c>
      <c r="G417" s="3"/>
    </row>
    <row r="418" spans="1:7" ht="15.75">
      <c r="A418" s="246" t="s">
        <v>29</v>
      </c>
      <c r="B418" s="247">
        <v>43619</v>
      </c>
      <c r="C418" s="159" t="s">
        <v>93</v>
      </c>
      <c r="D418" s="6">
        <v>2000</v>
      </c>
      <c r="E418" s="6"/>
      <c r="F418" s="46" t="s">
        <v>44</v>
      </c>
      <c r="G418" s="3"/>
    </row>
    <row r="419" spans="1:7" ht="15.75">
      <c r="A419" s="246" t="s">
        <v>29</v>
      </c>
      <c r="B419" s="247">
        <v>43619</v>
      </c>
      <c r="C419" s="160" t="s">
        <v>56</v>
      </c>
      <c r="D419" s="2">
        <f>2000+20</f>
        <v>2020</v>
      </c>
      <c r="E419" s="2"/>
      <c r="F419" s="2" t="s">
        <v>50</v>
      </c>
      <c r="G419" s="3"/>
    </row>
    <row r="420" spans="1:7" ht="16.5" thickBot="1">
      <c r="A420" s="246" t="s">
        <v>29</v>
      </c>
      <c r="B420" s="247">
        <v>43619</v>
      </c>
      <c r="C420" s="161" t="s">
        <v>121</v>
      </c>
      <c r="D420" s="12">
        <v>200</v>
      </c>
      <c r="E420" s="12"/>
      <c r="F420" s="38" t="s">
        <v>63</v>
      </c>
      <c r="G420" s="18"/>
    </row>
    <row r="421" spans="1:7" ht="15.75">
      <c r="A421" s="246" t="s">
        <v>29</v>
      </c>
      <c r="B421" s="248">
        <v>43620</v>
      </c>
      <c r="C421" s="162" t="s">
        <v>125</v>
      </c>
      <c r="D421" s="116">
        <f>50+100+100</f>
        <v>250</v>
      </c>
      <c r="E421" s="116"/>
      <c r="F421" s="112" t="s">
        <v>92</v>
      </c>
      <c r="G421" s="103" t="s">
        <v>84</v>
      </c>
    </row>
    <row r="422" spans="1:7" ht="15.75">
      <c r="A422" s="246" t="s">
        <v>29</v>
      </c>
      <c r="B422" s="248">
        <v>43620</v>
      </c>
      <c r="C422" s="163" t="s">
        <v>47</v>
      </c>
      <c r="D422" s="11">
        <v>250</v>
      </c>
      <c r="E422" s="11"/>
      <c r="F422" s="40" t="s">
        <v>63</v>
      </c>
      <c r="G422" s="14"/>
    </row>
    <row r="423" spans="1:7" ht="15.75">
      <c r="A423" s="246" t="s">
        <v>29</v>
      </c>
      <c r="B423" s="248">
        <v>43620</v>
      </c>
      <c r="C423" s="160" t="s">
        <v>152</v>
      </c>
      <c r="D423" s="6">
        <v>200</v>
      </c>
      <c r="E423" s="6"/>
      <c r="F423" s="46" t="s">
        <v>60</v>
      </c>
      <c r="G423" s="3"/>
    </row>
    <row r="424" spans="1:7" ht="15.75">
      <c r="A424" s="246" t="s">
        <v>29</v>
      </c>
      <c r="B424" s="248">
        <v>43620</v>
      </c>
      <c r="C424" s="164" t="s">
        <v>51</v>
      </c>
      <c r="D424" s="110"/>
      <c r="E424" s="110">
        <v>5</v>
      </c>
      <c r="F424" s="83" t="s">
        <v>11</v>
      </c>
      <c r="G424" s="64" t="s">
        <v>52</v>
      </c>
    </row>
    <row r="425" spans="1:7" ht="16.5" thickBot="1">
      <c r="A425" s="246" t="s">
        <v>29</v>
      </c>
      <c r="B425" s="248">
        <v>43620</v>
      </c>
      <c r="C425" s="114" t="s">
        <v>192</v>
      </c>
      <c r="D425" s="87">
        <f>3600+2010+2000+2000</f>
        <v>9610</v>
      </c>
      <c r="E425" s="88"/>
      <c r="F425" s="89" t="s">
        <v>63</v>
      </c>
      <c r="G425" s="20"/>
    </row>
    <row r="426" spans="1:7" ht="15.75">
      <c r="A426" s="246" t="s">
        <v>29</v>
      </c>
      <c r="B426" s="248">
        <v>43621</v>
      </c>
      <c r="C426" s="160" t="s">
        <v>69</v>
      </c>
      <c r="D426" s="6">
        <v>500</v>
      </c>
      <c r="E426" s="6"/>
      <c r="F426" s="46" t="s">
        <v>44</v>
      </c>
      <c r="G426" s="63"/>
    </row>
    <row r="427" spans="1:7" ht="16.5" thickBot="1">
      <c r="A427" s="246" t="s">
        <v>29</v>
      </c>
      <c r="B427" s="248">
        <v>43621</v>
      </c>
      <c r="C427" s="163" t="s">
        <v>64</v>
      </c>
      <c r="D427" s="11">
        <f>1000+400</f>
        <v>1400</v>
      </c>
      <c r="E427" s="35"/>
      <c r="F427" s="40" t="s">
        <v>58</v>
      </c>
      <c r="G427" s="56"/>
    </row>
    <row r="428" spans="1:7" ht="15.75">
      <c r="A428" s="246" t="s">
        <v>29</v>
      </c>
      <c r="B428" s="248">
        <v>43622</v>
      </c>
      <c r="C428" s="165" t="s">
        <v>141</v>
      </c>
      <c r="D428" s="9">
        <v>20</v>
      </c>
      <c r="E428" s="94"/>
      <c r="F428" s="50" t="s">
        <v>63</v>
      </c>
      <c r="G428" s="95"/>
    </row>
    <row r="429" spans="1:7" ht="15.75">
      <c r="A429" s="246" t="s">
        <v>29</v>
      </c>
      <c r="B429" s="248">
        <v>43622</v>
      </c>
      <c r="C429" s="165" t="s">
        <v>86</v>
      </c>
      <c r="D429" s="10">
        <v>750</v>
      </c>
      <c r="E429" s="28"/>
      <c r="F429" s="30" t="s">
        <v>63</v>
      </c>
      <c r="G429" s="55"/>
    </row>
    <row r="430" spans="1:7" ht="15.75">
      <c r="A430" s="246" t="s">
        <v>29</v>
      </c>
      <c r="B430" s="248">
        <v>43622</v>
      </c>
      <c r="C430" s="166" t="s">
        <v>101</v>
      </c>
      <c r="D430" s="37">
        <f>280+120+250</f>
        <v>650</v>
      </c>
      <c r="E430" s="28"/>
      <c r="F430" s="30" t="s">
        <v>63</v>
      </c>
      <c r="G430" s="144" t="s">
        <v>221</v>
      </c>
    </row>
    <row r="431" spans="1:7" ht="15.75">
      <c r="A431" s="246" t="s">
        <v>29</v>
      </c>
      <c r="B431" s="248">
        <v>43622</v>
      </c>
      <c r="C431" s="159" t="s">
        <v>47</v>
      </c>
      <c r="D431" s="2">
        <v>400</v>
      </c>
      <c r="E431" s="28"/>
      <c r="F431" s="30" t="s">
        <v>58</v>
      </c>
      <c r="G431" s="145"/>
    </row>
    <row r="432" spans="1:7" ht="16.5" thickBot="1">
      <c r="A432" s="246" t="s">
        <v>29</v>
      </c>
      <c r="B432" s="248">
        <v>43622</v>
      </c>
      <c r="C432" s="167" t="s">
        <v>48</v>
      </c>
      <c r="D432" s="49">
        <v>500</v>
      </c>
      <c r="E432" s="77"/>
      <c r="F432" s="30" t="s">
        <v>58</v>
      </c>
      <c r="G432" s="80"/>
    </row>
    <row r="433" spans="1:7" ht="15.75">
      <c r="A433" s="246" t="s">
        <v>29</v>
      </c>
      <c r="B433" s="248">
        <v>43623</v>
      </c>
      <c r="C433" s="168" t="s">
        <v>111</v>
      </c>
      <c r="D433" s="9">
        <f>2000+1000+1200+1000</f>
        <v>5200</v>
      </c>
      <c r="E433" s="9"/>
      <c r="F433" s="50" t="s">
        <v>63</v>
      </c>
      <c r="G433" s="15"/>
    </row>
    <row r="434" spans="1:7" ht="15.75">
      <c r="A434" s="246" t="s">
        <v>29</v>
      </c>
      <c r="B434" s="248">
        <v>43623</v>
      </c>
      <c r="C434" s="165" t="s">
        <v>183</v>
      </c>
      <c r="D434" s="10">
        <f>200+50</f>
        <v>250</v>
      </c>
      <c r="E434" s="10"/>
      <c r="F434" s="30" t="s">
        <v>63</v>
      </c>
      <c r="G434" s="14"/>
    </row>
    <row r="435" spans="1:7" ht="15.75">
      <c r="A435" s="246" t="s">
        <v>29</v>
      </c>
      <c r="B435" s="248">
        <v>43623</v>
      </c>
      <c r="C435" s="165" t="s">
        <v>62</v>
      </c>
      <c r="D435" s="10">
        <v>1500</v>
      </c>
      <c r="E435" s="10"/>
      <c r="F435" s="30" t="s">
        <v>63</v>
      </c>
      <c r="G435" s="14"/>
    </row>
    <row r="436" spans="1:7" ht="16.5" thickBot="1">
      <c r="A436" s="246" t="s">
        <v>29</v>
      </c>
      <c r="B436" s="248">
        <v>43623</v>
      </c>
      <c r="C436" s="169" t="s">
        <v>222</v>
      </c>
      <c r="D436" s="119">
        <v>500</v>
      </c>
      <c r="E436" s="75"/>
      <c r="F436" s="111" t="s">
        <v>44</v>
      </c>
      <c r="G436" s="124" t="s">
        <v>223</v>
      </c>
    </row>
    <row r="437" spans="1:7" ht="15.75">
      <c r="A437" s="246" t="s">
        <v>29</v>
      </c>
      <c r="B437" s="248">
        <v>43626</v>
      </c>
      <c r="C437" s="168" t="s">
        <v>103</v>
      </c>
      <c r="D437" s="17">
        <v>125</v>
      </c>
      <c r="E437" s="72"/>
      <c r="F437" s="72" t="s">
        <v>58</v>
      </c>
      <c r="G437" s="15" t="s">
        <v>88</v>
      </c>
    </row>
    <row r="438" spans="1:7" ht="15.75">
      <c r="A438" s="246" t="s">
        <v>29</v>
      </c>
      <c r="B438" s="248">
        <v>43626</v>
      </c>
      <c r="C438" s="170" t="s">
        <v>162</v>
      </c>
      <c r="D438" s="65">
        <v>50</v>
      </c>
      <c r="E438" s="51"/>
      <c r="F438" s="51" t="s">
        <v>58</v>
      </c>
      <c r="G438" s="20" t="s">
        <v>88</v>
      </c>
    </row>
    <row r="439" spans="1:7" ht="15.75">
      <c r="A439" s="246" t="s">
        <v>29</v>
      </c>
      <c r="B439" s="248">
        <v>43626</v>
      </c>
      <c r="C439" s="159" t="s">
        <v>219</v>
      </c>
      <c r="D439" s="7">
        <v>200</v>
      </c>
      <c r="E439" s="7"/>
      <c r="F439" s="7" t="s">
        <v>58</v>
      </c>
      <c r="G439" s="3"/>
    </row>
    <row r="440" spans="1:7" ht="15.75">
      <c r="A440" s="246" t="s">
        <v>29</v>
      </c>
      <c r="B440" s="248">
        <v>43626</v>
      </c>
      <c r="C440" s="170" t="s">
        <v>47</v>
      </c>
      <c r="D440" s="65">
        <v>300</v>
      </c>
      <c r="E440" s="51"/>
      <c r="F440" s="51" t="s">
        <v>60</v>
      </c>
      <c r="G440" s="20"/>
    </row>
    <row r="441" spans="1:7" ht="15.75">
      <c r="A441" s="246" t="s">
        <v>29</v>
      </c>
      <c r="B441" s="248">
        <v>43626</v>
      </c>
      <c r="C441" s="159" t="s">
        <v>224</v>
      </c>
      <c r="D441" s="7">
        <v>15</v>
      </c>
      <c r="E441" s="7"/>
      <c r="F441" s="7" t="s">
        <v>60</v>
      </c>
      <c r="G441" s="3"/>
    </row>
    <row r="442" spans="1:7" ht="16.5" thickBot="1">
      <c r="A442" s="246" t="s">
        <v>29</v>
      </c>
      <c r="B442" s="248">
        <v>43626</v>
      </c>
      <c r="C442" s="1" t="s">
        <v>82</v>
      </c>
      <c r="D442" s="65">
        <f>200+120+100</f>
        <v>420</v>
      </c>
      <c r="E442" s="51"/>
      <c r="F442" s="51" t="s">
        <v>225</v>
      </c>
      <c r="G442" s="20"/>
    </row>
    <row r="443" spans="1:7" ht="15.75">
      <c r="A443" s="246" t="s">
        <v>29</v>
      </c>
      <c r="B443" s="248">
        <v>43627</v>
      </c>
      <c r="C443" s="171" t="s">
        <v>226</v>
      </c>
      <c r="D443" s="17">
        <f>60+40+20+20</f>
        <v>140</v>
      </c>
      <c r="E443" s="17"/>
      <c r="F443" s="17" t="s">
        <v>63</v>
      </c>
      <c r="G443" s="13"/>
    </row>
    <row r="444" spans="1:7" ht="16.5" thickBot="1">
      <c r="A444" s="246" t="s">
        <v>29</v>
      </c>
      <c r="B444" s="248">
        <v>43627</v>
      </c>
      <c r="C444" s="163" t="s">
        <v>104</v>
      </c>
      <c r="D444" s="16">
        <v>2000</v>
      </c>
      <c r="E444" s="51"/>
      <c r="F444" s="51" t="s">
        <v>44</v>
      </c>
      <c r="G444" s="3" t="s">
        <v>105</v>
      </c>
    </row>
    <row r="445" spans="1:7" ht="15.75">
      <c r="A445" s="246" t="s">
        <v>29</v>
      </c>
      <c r="B445" s="248">
        <v>43628</v>
      </c>
      <c r="C445" s="171" t="s">
        <v>123</v>
      </c>
      <c r="D445" s="17">
        <f>20+2000</f>
        <v>2020</v>
      </c>
      <c r="E445" s="17"/>
      <c r="F445" s="17" t="s">
        <v>63</v>
      </c>
      <c r="G445" s="13"/>
    </row>
    <row r="446" spans="1:7" ht="15.75">
      <c r="A446" s="246" t="s">
        <v>29</v>
      </c>
      <c r="B446" s="248">
        <v>43628</v>
      </c>
      <c r="C446" s="163" t="s">
        <v>69</v>
      </c>
      <c r="D446" s="16">
        <v>25</v>
      </c>
      <c r="E446" s="51"/>
      <c r="F446" s="51" t="s">
        <v>44</v>
      </c>
      <c r="G446" s="3"/>
    </row>
    <row r="447" spans="1:7" ht="15.75">
      <c r="A447" s="246" t="s">
        <v>29</v>
      </c>
      <c r="B447" s="248">
        <v>43628</v>
      </c>
      <c r="C447" s="163" t="s">
        <v>126</v>
      </c>
      <c r="D447" s="16">
        <v>20</v>
      </c>
      <c r="E447" s="7"/>
      <c r="F447" s="7" t="s">
        <v>44</v>
      </c>
      <c r="G447" s="3"/>
    </row>
    <row r="448" spans="1:7" ht="15.75">
      <c r="A448" s="246" t="s">
        <v>29</v>
      </c>
      <c r="B448" s="248">
        <v>43628</v>
      </c>
      <c r="C448" s="163" t="s">
        <v>227</v>
      </c>
      <c r="D448" s="16">
        <v>20</v>
      </c>
      <c r="E448" s="70"/>
      <c r="F448" s="7" t="s">
        <v>50</v>
      </c>
      <c r="G448" s="3"/>
    </row>
    <row r="449" spans="1:7" ht="16.5" thickBot="1">
      <c r="A449" s="246" t="s">
        <v>29</v>
      </c>
      <c r="B449" s="248">
        <v>43628</v>
      </c>
      <c r="C449" s="163" t="s">
        <v>191</v>
      </c>
      <c r="D449" s="16">
        <v>520</v>
      </c>
      <c r="E449" s="70"/>
      <c r="F449" s="7" t="s">
        <v>50</v>
      </c>
      <c r="G449" s="3"/>
    </row>
    <row r="450" spans="1:7" ht="15.75">
      <c r="A450" s="246" t="s">
        <v>29</v>
      </c>
      <c r="B450" s="248">
        <v>43629</v>
      </c>
      <c r="C450" s="171" t="s">
        <v>46</v>
      </c>
      <c r="D450" s="9">
        <f>20+2000</f>
        <v>2020</v>
      </c>
      <c r="E450" s="9"/>
      <c r="F450" s="78" t="s">
        <v>63</v>
      </c>
      <c r="G450" s="13"/>
    </row>
    <row r="451" spans="1:7" ht="15.75">
      <c r="A451" s="246" t="s">
        <v>29</v>
      </c>
      <c r="B451" s="248">
        <v>43629</v>
      </c>
      <c r="C451" s="114" t="s">
        <v>228</v>
      </c>
      <c r="D451" s="57">
        <v>25</v>
      </c>
      <c r="E451" s="57"/>
      <c r="F451" s="46" t="s">
        <v>63</v>
      </c>
      <c r="G451" s="3"/>
    </row>
    <row r="452" spans="1:7" ht="15.75">
      <c r="A452" s="246" t="s">
        <v>29</v>
      </c>
      <c r="B452" s="248">
        <v>43629</v>
      </c>
      <c r="C452" s="160" t="s">
        <v>177</v>
      </c>
      <c r="D452" s="2">
        <v>1000</v>
      </c>
      <c r="E452" s="2"/>
      <c r="F452" s="46" t="s">
        <v>44</v>
      </c>
      <c r="G452" s="3"/>
    </row>
    <row r="453" spans="1:7" ht="15.75">
      <c r="A453" s="246" t="s">
        <v>29</v>
      </c>
      <c r="B453" s="248">
        <v>43629</v>
      </c>
      <c r="C453" s="161" t="s">
        <v>140</v>
      </c>
      <c r="D453" s="12">
        <v>75</v>
      </c>
      <c r="E453" s="12"/>
      <c r="F453" s="126" t="s">
        <v>63</v>
      </c>
      <c r="G453" s="18"/>
    </row>
    <row r="454" spans="1:7" ht="15.75">
      <c r="A454" s="246" t="s">
        <v>29</v>
      </c>
      <c r="B454" s="248">
        <v>43629</v>
      </c>
      <c r="C454" s="161" t="s">
        <v>47</v>
      </c>
      <c r="D454" s="12">
        <v>300</v>
      </c>
      <c r="E454" s="12"/>
      <c r="F454" s="126" t="s">
        <v>63</v>
      </c>
      <c r="G454" s="18"/>
    </row>
    <row r="455" spans="1:7" ht="15.75">
      <c r="A455" s="246" t="s">
        <v>29</v>
      </c>
      <c r="B455" s="248">
        <v>43629</v>
      </c>
      <c r="C455" s="161" t="s">
        <v>229</v>
      </c>
      <c r="D455" s="12">
        <v>11.35</v>
      </c>
      <c r="E455" s="12"/>
      <c r="F455" s="126" t="s">
        <v>50</v>
      </c>
      <c r="G455" s="18" t="s">
        <v>88</v>
      </c>
    </row>
    <row r="456" spans="1:7" ht="16.5" thickBot="1">
      <c r="A456" s="246" t="s">
        <v>29</v>
      </c>
      <c r="B456" s="248">
        <v>43629</v>
      </c>
      <c r="C456" s="161" t="s">
        <v>230</v>
      </c>
      <c r="D456" s="12">
        <f>1000+2000</f>
        <v>3000</v>
      </c>
      <c r="E456" s="12"/>
      <c r="F456" s="126" t="s">
        <v>44</v>
      </c>
      <c r="G456" s="18"/>
    </row>
    <row r="457" spans="1:7" ht="15.75">
      <c r="A457" s="246" t="s">
        <v>29</v>
      </c>
      <c r="B457" s="248">
        <v>43630</v>
      </c>
      <c r="C457" s="172" t="s">
        <v>86</v>
      </c>
      <c r="D457" s="26">
        <f>1000+640+750</f>
        <v>2390</v>
      </c>
      <c r="E457" s="26"/>
      <c r="F457" s="84" t="s">
        <v>50</v>
      </c>
      <c r="G457" s="15"/>
    </row>
    <row r="458" spans="1:7" ht="16.5" thickBot="1">
      <c r="A458" s="246" t="s">
        <v>29</v>
      </c>
      <c r="B458" s="248">
        <v>43630</v>
      </c>
      <c r="C458" s="160" t="s">
        <v>81</v>
      </c>
      <c r="D458" s="2">
        <f>2925+1200+800+2025</f>
        <v>6950</v>
      </c>
      <c r="E458" s="2"/>
      <c r="F458" s="46" t="s">
        <v>50</v>
      </c>
      <c r="G458" s="14"/>
    </row>
    <row r="459" spans="1:7" ht="15.75">
      <c r="A459" s="246" t="s">
        <v>29</v>
      </c>
      <c r="B459" s="248">
        <v>43633</v>
      </c>
      <c r="C459" s="171" t="s">
        <v>35</v>
      </c>
      <c r="D459" s="9">
        <v>100</v>
      </c>
      <c r="E459" s="68"/>
      <c r="F459" s="69" t="s">
        <v>58</v>
      </c>
      <c r="G459" s="15"/>
    </row>
    <row r="460" spans="1:7" ht="15.75">
      <c r="A460" s="246" t="s">
        <v>29</v>
      </c>
      <c r="B460" s="248">
        <v>43633</v>
      </c>
      <c r="C460" s="114" t="s">
        <v>70</v>
      </c>
      <c r="D460" s="57">
        <v>200</v>
      </c>
      <c r="E460" s="120"/>
      <c r="F460" s="62" t="s">
        <v>58</v>
      </c>
      <c r="G460" s="20"/>
    </row>
    <row r="461" spans="1:7" ht="15.75">
      <c r="A461" s="246" t="s">
        <v>29</v>
      </c>
      <c r="B461" s="248">
        <v>43633</v>
      </c>
      <c r="C461" s="160" t="s">
        <v>157</v>
      </c>
      <c r="D461" s="2">
        <v>150</v>
      </c>
      <c r="E461" s="2"/>
      <c r="F461" s="46" t="s">
        <v>58</v>
      </c>
      <c r="G461" s="3"/>
    </row>
    <row r="462" spans="1:7" ht="16.5" thickBot="1">
      <c r="A462" s="246" t="s">
        <v>29</v>
      </c>
      <c r="B462" s="248">
        <v>43633</v>
      </c>
      <c r="C462" s="173" t="s">
        <v>107</v>
      </c>
      <c r="D462" s="128"/>
      <c r="E462" s="128">
        <v>400</v>
      </c>
      <c r="F462" s="146" t="s">
        <v>11</v>
      </c>
      <c r="G462" s="129" t="s">
        <v>108</v>
      </c>
    </row>
    <row r="463" spans="1:7" ht="15.75">
      <c r="A463" s="246" t="s">
        <v>29</v>
      </c>
      <c r="B463" s="248">
        <v>43634</v>
      </c>
      <c r="C463" s="174" t="s">
        <v>43</v>
      </c>
      <c r="D463" s="26">
        <v>2500</v>
      </c>
      <c r="E463" s="39"/>
      <c r="F463" s="39" t="s">
        <v>50</v>
      </c>
      <c r="G463" s="13"/>
    </row>
    <row r="464" spans="1:7" ht="15.75">
      <c r="A464" s="246" t="s">
        <v>29</v>
      </c>
      <c r="B464" s="248">
        <v>43634</v>
      </c>
      <c r="C464" s="159" t="s">
        <v>47</v>
      </c>
      <c r="D464" s="2">
        <v>200</v>
      </c>
      <c r="E464" s="2"/>
      <c r="F464" s="2" t="s">
        <v>50</v>
      </c>
      <c r="G464" s="3"/>
    </row>
    <row r="465" spans="1:7" ht="15.75">
      <c r="A465" s="246" t="s">
        <v>29</v>
      </c>
      <c r="B465" s="248">
        <v>43634</v>
      </c>
      <c r="C465" s="166" t="s">
        <v>231</v>
      </c>
      <c r="D465" s="57">
        <v>120</v>
      </c>
      <c r="E465" s="36"/>
      <c r="F465" s="36" t="s">
        <v>44</v>
      </c>
      <c r="G465" s="20"/>
    </row>
    <row r="466" spans="1:7" ht="16.5" thickBot="1">
      <c r="A466" s="246" t="s">
        <v>29</v>
      </c>
      <c r="B466" s="248">
        <v>43634</v>
      </c>
      <c r="C466" s="159" t="s">
        <v>64</v>
      </c>
      <c r="D466" s="2">
        <v>1000</v>
      </c>
      <c r="E466" s="2"/>
      <c r="F466" s="2" t="s">
        <v>63</v>
      </c>
      <c r="G466" s="3"/>
    </row>
    <row r="467" spans="1:7" ht="15.75">
      <c r="A467" s="246" t="s">
        <v>29</v>
      </c>
      <c r="B467" s="248">
        <v>43635</v>
      </c>
      <c r="C467" s="174" t="s">
        <v>69</v>
      </c>
      <c r="D467" s="26">
        <f>50+500</f>
        <v>550</v>
      </c>
      <c r="E467" s="39"/>
      <c r="F467" s="39" t="s">
        <v>50</v>
      </c>
      <c r="G467" s="13"/>
    </row>
    <row r="468" spans="1:7" ht="15.75">
      <c r="A468" s="246" t="s">
        <v>29</v>
      </c>
      <c r="B468" s="248">
        <v>43635</v>
      </c>
      <c r="C468" s="159" t="s">
        <v>183</v>
      </c>
      <c r="D468" s="2">
        <v>50</v>
      </c>
      <c r="E468" s="2"/>
      <c r="F468" s="2" t="s">
        <v>50</v>
      </c>
      <c r="G468" s="3"/>
    </row>
    <row r="469" spans="1:7" ht="16.5" thickBot="1">
      <c r="A469" s="246" t="s">
        <v>29</v>
      </c>
      <c r="B469" s="248">
        <v>43635</v>
      </c>
      <c r="C469" s="175" t="s">
        <v>51</v>
      </c>
      <c r="D469" s="82"/>
      <c r="E469" s="82">
        <f>20+20</f>
        <v>40</v>
      </c>
      <c r="F469" s="82" t="s">
        <v>11</v>
      </c>
      <c r="G469" s="64" t="s">
        <v>52</v>
      </c>
    </row>
    <row r="470" spans="1:7" ht="15.75">
      <c r="A470" s="246" t="s">
        <v>29</v>
      </c>
      <c r="B470" s="248">
        <v>43636</v>
      </c>
      <c r="C470" s="172" t="s">
        <v>148</v>
      </c>
      <c r="D470" s="58">
        <v>100</v>
      </c>
      <c r="E470" s="58"/>
      <c r="F470" s="76" t="s">
        <v>63</v>
      </c>
      <c r="G470" s="63" t="s">
        <v>88</v>
      </c>
    </row>
    <row r="471" spans="1:7" ht="26.25">
      <c r="A471" s="246" t="s">
        <v>29</v>
      </c>
      <c r="B471" s="248">
        <v>43636</v>
      </c>
      <c r="C471" s="176" t="s">
        <v>232</v>
      </c>
      <c r="D471" s="7">
        <v>1000</v>
      </c>
      <c r="E471" s="7"/>
      <c r="F471" s="7" t="s">
        <v>63</v>
      </c>
      <c r="G471" s="56" t="s">
        <v>187</v>
      </c>
    </row>
    <row r="472" spans="1:7" ht="15.75">
      <c r="A472" s="246" t="s">
        <v>29</v>
      </c>
      <c r="B472" s="248">
        <v>43636</v>
      </c>
      <c r="C472" s="114" t="s">
        <v>233</v>
      </c>
      <c r="D472" s="65">
        <v>30</v>
      </c>
      <c r="E472" s="65"/>
      <c r="F472" s="51" t="s">
        <v>63</v>
      </c>
      <c r="G472" s="141" t="s">
        <v>88</v>
      </c>
    </row>
    <row r="473" spans="1:7" ht="15.75">
      <c r="A473" s="246" t="s">
        <v>29</v>
      </c>
      <c r="B473" s="248">
        <v>43636</v>
      </c>
      <c r="C473" s="160" t="s">
        <v>75</v>
      </c>
      <c r="D473" s="7">
        <v>40</v>
      </c>
      <c r="E473" s="7"/>
      <c r="F473" s="70" t="s">
        <v>60</v>
      </c>
      <c r="G473" s="56" t="s">
        <v>76</v>
      </c>
    </row>
    <row r="474" spans="1:7" ht="15.75">
      <c r="A474" s="246" t="s">
        <v>29</v>
      </c>
      <c r="B474" s="248">
        <v>43636</v>
      </c>
      <c r="C474" s="114" t="s">
        <v>78</v>
      </c>
      <c r="D474" s="65">
        <v>80</v>
      </c>
      <c r="E474" s="51"/>
      <c r="F474" s="86" t="s">
        <v>50</v>
      </c>
      <c r="G474" s="85"/>
    </row>
    <row r="475" spans="1:7" ht="15.75">
      <c r="A475" s="246" t="s">
        <v>29</v>
      </c>
      <c r="B475" s="248">
        <v>43636</v>
      </c>
      <c r="C475" s="160" t="s">
        <v>142</v>
      </c>
      <c r="D475" s="7">
        <v>40</v>
      </c>
      <c r="E475" s="7"/>
      <c r="F475" s="86" t="s">
        <v>50</v>
      </c>
      <c r="G475" s="85"/>
    </row>
    <row r="476" spans="1:7" ht="16.5" thickBot="1">
      <c r="A476" s="246" t="s">
        <v>29</v>
      </c>
      <c r="B476" s="248">
        <v>43636</v>
      </c>
      <c r="C476" s="114" t="s">
        <v>48</v>
      </c>
      <c r="D476" s="65">
        <v>500</v>
      </c>
      <c r="E476" s="51"/>
      <c r="F476" s="86" t="s">
        <v>50</v>
      </c>
      <c r="G476" s="85"/>
    </row>
    <row r="477" spans="1:7" ht="15.75">
      <c r="A477" s="246" t="s">
        <v>29</v>
      </c>
      <c r="B477" s="248">
        <v>43637</v>
      </c>
      <c r="C477" s="161" t="s">
        <v>185</v>
      </c>
      <c r="D477" s="26">
        <v>25</v>
      </c>
      <c r="E477" s="26"/>
      <c r="F477" s="39" t="s">
        <v>63</v>
      </c>
      <c r="G477" s="13"/>
    </row>
    <row r="478" spans="1:7" ht="15.75">
      <c r="A478" s="246" t="s">
        <v>29</v>
      </c>
      <c r="B478" s="248">
        <v>43637</v>
      </c>
      <c r="C478" s="163" t="s">
        <v>218</v>
      </c>
      <c r="D478" s="2">
        <v>25</v>
      </c>
      <c r="E478" s="2"/>
      <c r="F478" s="2" t="s">
        <v>63</v>
      </c>
      <c r="G478" s="3"/>
    </row>
    <row r="479" spans="1:7" ht="16.5" thickBot="1">
      <c r="A479" s="246" t="s">
        <v>29</v>
      </c>
      <c r="B479" s="248">
        <v>43637</v>
      </c>
      <c r="C479" s="163" t="s">
        <v>164</v>
      </c>
      <c r="D479" s="57">
        <f>3000+225</f>
        <v>3225</v>
      </c>
      <c r="E479" s="57"/>
      <c r="F479" s="36" t="s">
        <v>44</v>
      </c>
      <c r="G479" s="20"/>
    </row>
    <row r="480" spans="1:7" ht="15.75">
      <c r="A480" s="246" t="s">
        <v>29</v>
      </c>
      <c r="B480" s="248">
        <v>43640</v>
      </c>
      <c r="C480" s="171" t="s">
        <v>234</v>
      </c>
      <c r="D480" s="9">
        <v>20</v>
      </c>
      <c r="E480" s="39"/>
      <c r="F480" s="39" t="s">
        <v>58</v>
      </c>
      <c r="G480" s="13"/>
    </row>
    <row r="481" spans="1:7" ht="16.5" thickBot="1">
      <c r="A481" s="246" t="s">
        <v>29</v>
      </c>
      <c r="B481" s="248">
        <v>43640</v>
      </c>
      <c r="C481" s="163" t="s">
        <v>47</v>
      </c>
      <c r="D481" s="10">
        <v>225</v>
      </c>
      <c r="E481" s="2"/>
      <c r="F481" s="2" t="s">
        <v>63</v>
      </c>
      <c r="G481" s="3"/>
    </row>
    <row r="482" spans="1:7" ht="15.75">
      <c r="A482" s="246" t="s">
        <v>29</v>
      </c>
      <c r="B482" s="248">
        <v>43641</v>
      </c>
      <c r="C482" s="172" t="s">
        <v>90</v>
      </c>
      <c r="D482" s="26">
        <f>40+20</f>
        <v>60</v>
      </c>
      <c r="E482" s="39"/>
      <c r="F482" s="39" t="s">
        <v>63</v>
      </c>
      <c r="G482" s="13"/>
    </row>
    <row r="483" spans="1:7" ht="15.75">
      <c r="A483" s="246" t="s">
        <v>29</v>
      </c>
      <c r="B483" s="248">
        <v>43641</v>
      </c>
      <c r="C483" s="160" t="s">
        <v>79</v>
      </c>
      <c r="D483" s="2">
        <v>600</v>
      </c>
      <c r="E483" s="2"/>
      <c r="F483" s="2" t="s">
        <v>50</v>
      </c>
      <c r="G483" s="3"/>
    </row>
    <row r="484" spans="1:7" ht="15.75">
      <c r="A484" s="246" t="s">
        <v>29</v>
      </c>
      <c r="B484" s="248">
        <v>43641</v>
      </c>
      <c r="C484" s="160" t="s">
        <v>113</v>
      </c>
      <c r="D484" s="2">
        <v>200</v>
      </c>
      <c r="E484" s="12"/>
      <c r="F484" s="38" t="s">
        <v>60</v>
      </c>
      <c r="G484" s="18"/>
    </row>
    <row r="485" spans="1:7" ht="15.75">
      <c r="A485" s="246" t="s">
        <v>29</v>
      </c>
      <c r="B485" s="248">
        <v>43641</v>
      </c>
      <c r="C485" s="161" t="s">
        <v>235</v>
      </c>
      <c r="D485" s="12">
        <v>50</v>
      </c>
      <c r="E485" s="12"/>
      <c r="F485" s="38" t="s">
        <v>236</v>
      </c>
      <c r="G485" s="18" t="s">
        <v>237</v>
      </c>
    </row>
    <row r="486" spans="1:7" ht="15.75">
      <c r="A486" s="246" t="s">
        <v>29</v>
      </c>
      <c r="B486" s="248">
        <v>43641</v>
      </c>
      <c r="C486" s="161" t="s">
        <v>56</v>
      </c>
      <c r="D486" s="12">
        <f>2000+20</f>
        <v>2020</v>
      </c>
      <c r="E486" s="12"/>
      <c r="F486" s="38" t="s">
        <v>50</v>
      </c>
      <c r="G486" s="18"/>
    </row>
    <row r="487" spans="1:7" ht="15.75">
      <c r="A487" s="246" t="s">
        <v>29</v>
      </c>
      <c r="B487" s="248">
        <v>43641</v>
      </c>
      <c r="C487" s="30" t="s">
        <v>146</v>
      </c>
      <c r="D487" s="12">
        <v>11.35</v>
      </c>
      <c r="E487" s="12"/>
      <c r="F487" s="38" t="s">
        <v>50</v>
      </c>
      <c r="G487" s="18"/>
    </row>
    <row r="488" spans="1:7" ht="16.5" thickBot="1">
      <c r="A488" s="246" t="s">
        <v>29</v>
      </c>
      <c r="B488" s="248">
        <v>43641</v>
      </c>
      <c r="C488" s="161" t="s">
        <v>112</v>
      </c>
      <c r="D488" s="12">
        <v>80</v>
      </c>
      <c r="E488" s="12"/>
      <c r="F488" s="38" t="s">
        <v>238</v>
      </c>
      <c r="G488" s="18" t="s">
        <v>239</v>
      </c>
    </row>
    <row r="489" spans="1:7" ht="15.75">
      <c r="A489" s="246" t="s">
        <v>29</v>
      </c>
      <c r="B489" s="248">
        <v>43642</v>
      </c>
      <c r="C489" s="172" t="s">
        <v>91</v>
      </c>
      <c r="D489" s="58">
        <v>150</v>
      </c>
      <c r="E489" s="59"/>
      <c r="F489" s="58" t="s">
        <v>58</v>
      </c>
      <c r="G489" s="22"/>
    </row>
    <row r="490" spans="1:7" ht="15.75">
      <c r="A490" s="246" t="s">
        <v>29</v>
      </c>
      <c r="B490" s="248">
        <v>43642</v>
      </c>
      <c r="C490" s="160" t="s">
        <v>127</v>
      </c>
      <c r="D490" s="7">
        <v>25</v>
      </c>
      <c r="E490" s="7"/>
      <c r="F490" s="7" t="s">
        <v>58</v>
      </c>
      <c r="G490" s="3"/>
    </row>
    <row r="491" spans="1:7" ht="15.75">
      <c r="A491" s="246" t="s">
        <v>29</v>
      </c>
      <c r="B491" s="248">
        <v>43642</v>
      </c>
      <c r="C491" s="160" t="s">
        <v>118</v>
      </c>
      <c r="D491" s="7">
        <v>150</v>
      </c>
      <c r="E491" s="7"/>
      <c r="F491" s="7" t="s">
        <v>58</v>
      </c>
      <c r="G491" s="3"/>
    </row>
    <row r="492" spans="1:7" ht="15.75">
      <c r="A492" s="246" t="s">
        <v>29</v>
      </c>
      <c r="B492" s="248">
        <v>43642</v>
      </c>
      <c r="C492" s="161" t="s">
        <v>112</v>
      </c>
      <c r="D492" s="142">
        <v>120</v>
      </c>
      <c r="E492" s="143"/>
      <c r="F492" s="7" t="s">
        <v>225</v>
      </c>
      <c r="G492" s="47"/>
    </row>
    <row r="493" spans="1:7" ht="15.75">
      <c r="A493" s="246" t="s">
        <v>29</v>
      </c>
      <c r="B493" s="248">
        <v>43642</v>
      </c>
      <c r="C493" s="161" t="s">
        <v>69</v>
      </c>
      <c r="D493" s="142">
        <f>50+500</f>
        <v>550</v>
      </c>
      <c r="E493" s="143"/>
      <c r="F493" s="7" t="s">
        <v>44</v>
      </c>
      <c r="G493" s="47"/>
    </row>
    <row r="494" spans="1:7" ht="15.75">
      <c r="A494" s="246" t="s">
        <v>29</v>
      </c>
      <c r="B494" s="248">
        <v>43642</v>
      </c>
      <c r="C494" s="161" t="s">
        <v>97</v>
      </c>
      <c r="D494" s="142">
        <f>200+50</f>
        <v>250</v>
      </c>
      <c r="E494" s="143"/>
      <c r="F494" s="7" t="s">
        <v>58</v>
      </c>
      <c r="G494" s="47"/>
    </row>
    <row r="495" spans="1:7" ht="15.75">
      <c r="A495" s="246" t="s">
        <v>29</v>
      </c>
      <c r="B495" s="248">
        <v>43642</v>
      </c>
      <c r="C495" s="161" t="s">
        <v>138</v>
      </c>
      <c r="D495" s="142">
        <v>4000</v>
      </c>
      <c r="E495" s="143"/>
      <c r="F495" s="7" t="s">
        <v>63</v>
      </c>
      <c r="G495" s="47" t="s">
        <v>240</v>
      </c>
    </row>
    <row r="496" spans="1:7" ht="16.5" thickBot="1">
      <c r="A496" s="246" t="s">
        <v>29</v>
      </c>
      <c r="B496" s="248">
        <v>43642</v>
      </c>
      <c r="C496" s="161" t="s">
        <v>47</v>
      </c>
      <c r="D496" s="142">
        <v>200</v>
      </c>
      <c r="E496" s="143"/>
      <c r="F496" s="7" t="s">
        <v>44</v>
      </c>
      <c r="G496" s="47"/>
    </row>
    <row r="497" spans="1:7" ht="15.75">
      <c r="A497" s="246" t="s">
        <v>29</v>
      </c>
      <c r="B497" s="248">
        <v>43643</v>
      </c>
      <c r="C497" s="172" t="s">
        <v>207</v>
      </c>
      <c r="D497" s="58">
        <f>20+1500</f>
        <v>1520</v>
      </c>
      <c r="E497" s="59"/>
      <c r="F497" s="58" t="s">
        <v>50</v>
      </c>
      <c r="G497" s="13"/>
    </row>
    <row r="498" spans="1:7" ht="15.75">
      <c r="A498" s="246" t="s">
        <v>29</v>
      </c>
      <c r="B498" s="248">
        <v>43643</v>
      </c>
      <c r="C498" s="160" t="s">
        <v>147</v>
      </c>
      <c r="D498" s="7">
        <f>600+1000+1200</f>
        <v>2800</v>
      </c>
      <c r="E498" s="7"/>
      <c r="F498" s="7" t="s">
        <v>63</v>
      </c>
      <c r="G498" s="3"/>
    </row>
    <row r="499" spans="1:7" ht="15.75">
      <c r="A499" s="246" t="s">
        <v>29</v>
      </c>
      <c r="B499" s="248">
        <v>43643</v>
      </c>
      <c r="C499" s="114" t="s">
        <v>241</v>
      </c>
      <c r="D499" s="65">
        <f>120+75</f>
        <v>195</v>
      </c>
      <c r="E499" s="115"/>
      <c r="F499" s="65" t="s">
        <v>63</v>
      </c>
      <c r="G499" s="20"/>
    </row>
    <row r="500" spans="1:7" ht="16.5" thickBot="1">
      <c r="A500" s="246" t="s">
        <v>29</v>
      </c>
      <c r="B500" s="248">
        <v>43643</v>
      </c>
      <c r="C500" s="162" t="s">
        <v>194</v>
      </c>
      <c r="D500" s="101">
        <v>500</v>
      </c>
      <c r="E500" s="101"/>
      <c r="F500" s="101" t="s">
        <v>58</v>
      </c>
      <c r="G500" s="117" t="s">
        <v>195</v>
      </c>
    </row>
    <row r="501" spans="1:7" ht="15.75">
      <c r="A501" s="246" t="s">
        <v>29</v>
      </c>
      <c r="B501" s="248">
        <v>43644</v>
      </c>
      <c r="C501" s="171" t="s">
        <v>111</v>
      </c>
      <c r="D501" s="9">
        <f>1200+1000+1000</f>
        <v>3200</v>
      </c>
      <c r="E501" s="52"/>
      <c r="F501" s="9" t="s">
        <v>44</v>
      </c>
      <c r="G501" s="15"/>
    </row>
    <row r="502" spans="1:7" ht="15.75">
      <c r="A502" s="246" t="s">
        <v>29</v>
      </c>
      <c r="B502" s="248">
        <v>43644</v>
      </c>
      <c r="C502" s="163" t="s">
        <v>111</v>
      </c>
      <c r="D502" s="10">
        <v>1000</v>
      </c>
      <c r="E502" s="53"/>
      <c r="F502" s="10" t="s">
        <v>60</v>
      </c>
      <c r="G502" s="14"/>
    </row>
    <row r="503" spans="1:7" ht="15.75">
      <c r="A503" s="246" t="s">
        <v>29</v>
      </c>
      <c r="B503" s="248">
        <v>43644</v>
      </c>
      <c r="C503" s="163" t="s">
        <v>242</v>
      </c>
      <c r="D503" s="10">
        <v>40</v>
      </c>
      <c r="E503" s="53"/>
      <c r="F503" s="10" t="s">
        <v>44</v>
      </c>
      <c r="G503" s="14"/>
    </row>
    <row r="504" spans="1:7" ht="15.75">
      <c r="A504" s="246" t="s">
        <v>29</v>
      </c>
      <c r="B504" s="248">
        <v>43644</v>
      </c>
      <c r="C504" s="163" t="s">
        <v>100</v>
      </c>
      <c r="D504" s="10">
        <v>40</v>
      </c>
      <c r="E504" s="53"/>
      <c r="F504" s="10" t="s">
        <v>243</v>
      </c>
      <c r="G504" s="14"/>
    </row>
    <row r="505" spans="1:7" ht="15.75">
      <c r="A505" s="246" t="s">
        <v>29</v>
      </c>
      <c r="B505" s="248">
        <v>43644</v>
      </c>
      <c r="C505" s="163" t="s">
        <v>87</v>
      </c>
      <c r="D505" s="10">
        <v>2000</v>
      </c>
      <c r="E505" s="53"/>
      <c r="F505" s="10" t="s">
        <v>92</v>
      </c>
      <c r="G505" s="14" t="s">
        <v>88</v>
      </c>
    </row>
    <row r="506" spans="1:7" ht="15.75">
      <c r="A506" s="246" t="s">
        <v>29</v>
      </c>
      <c r="B506" s="248">
        <v>43644</v>
      </c>
      <c r="C506" s="114" t="s">
        <v>81</v>
      </c>
      <c r="D506" s="57">
        <v>2010</v>
      </c>
      <c r="E506" s="130"/>
      <c r="F506" s="57" t="s">
        <v>58</v>
      </c>
      <c r="G506" s="24"/>
    </row>
    <row r="507" spans="1:7" ht="16.5" thickBot="1">
      <c r="A507" s="246" t="s">
        <v>29</v>
      </c>
      <c r="B507" s="248">
        <v>43644</v>
      </c>
      <c r="C507" s="160" t="s">
        <v>244</v>
      </c>
      <c r="D507" s="2">
        <v>1000</v>
      </c>
      <c r="E507" s="113"/>
      <c r="F507" s="2" t="s">
        <v>58</v>
      </c>
      <c r="G507" s="3" t="s">
        <v>73</v>
      </c>
    </row>
    <row r="508" spans="1:7" ht="15.75">
      <c r="A508" s="246" t="s">
        <v>29</v>
      </c>
      <c r="B508" s="247">
        <v>43647</v>
      </c>
      <c r="C508" s="158" t="s">
        <v>103</v>
      </c>
      <c r="D508" s="27">
        <v>100</v>
      </c>
      <c r="E508" s="33"/>
      <c r="F508" s="45" t="s">
        <v>58</v>
      </c>
      <c r="G508" s="13"/>
    </row>
    <row r="509" spans="1:7" ht="15.75">
      <c r="A509" s="246" t="s">
        <v>29</v>
      </c>
      <c r="B509" s="247">
        <v>43647</v>
      </c>
      <c r="C509" s="159" t="s">
        <v>72</v>
      </c>
      <c r="D509" s="6">
        <v>250</v>
      </c>
      <c r="E509" s="6"/>
      <c r="F509" s="46" t="s">
        <v>60</v>
      </c>
      <c r="G509" s="3"/>
    </row>
    <row r="510" spans="1:7" ht="25.5">
      <c r="A510" s="246" t="s">
        <v>29</v>
      </c>
      <c r="B510" s="247">
        <v>43647</v>
      </c>
      <c r="C510" s="177" t="s">
        <v>123</v>
      </c>
      <c r="D510" s="6">
        <f>40+20+2000</f>
        <v>2060</v>
      </c>
      <c r="E510" s="6"/>
      <c r="F510" s="46" t="s">
        <v>44</v>
      </c>
      <c r="G510" s="3"/>
    </row>
    <row r="511" spans="1:7" ht="15.75">
      <c r="A511" s="246" t="s">
        <v>29</v>
      </c>
      <c r="B511" s="247">
        <v>43647</v>
      </c>
      <c r="C511" s="160" t="s">
        <v>54</v>
      </c>
      <c r="D511" s="2">
        <f>3000+50</f>
        <v>3050</v>
      </c>
      <c r="E511" s="2"/>
      <c r="F511" s="2" t="s">
        <v>50</v>
      </c>
      <c r="G511" s="3"/>
    </row>
    <row r="512" spans="1:7" ht="16.5" thickBot="1">
      <c r="A512" s="246" t="s">
        <v>29</v>
      </c>
      <c r="B512" s="247">
        <v>43647</v>
      </c>
      <c r="C512" s="161" t="s">
        <v>47</v>
      </c>
      <c r="D512" s="12">
        <v>250</v>
      </c>
      <c r="E512" s="12"/>
      <c r="F512" s="38" t="s">
        <v>50</v>
      </c>
      <c r="G512" s="18"/>
    </row>
    <row r="513" spans="1:7" ht="15.75">
      <c r="A513" s="246" t="s">
        <v>29</v>
      </c>
      <c r="B513" s="248">
        <v>43648</v>
      </c>
      <c r="C513" s="162" t="s">
        <v>125</v>
      </c>
      <c r="D513" s="116">
        <v>100</v>
      </c>
      <c r="E513" s="116"/>
      <c r="F513" s="112" t="s">
        <v>243</v>
      </c>
      <c r="G513" s="103" t="s">
        <v>84</v>
      </c>
    </row>
    <row r="514" spans="1:7" ht="15.75">
      <c r="A514" s="246" t="s">
        <v>29</v>
      </c>
      <c r="B514" s="248">
        <v>43648</v>
      </c>
      <c r="C514" s="163" t="s">
        <v>245</v>
      </c>
      <c r="D514" s="11">
        <v>80</v>
      </c>
      <c r="E514" s="11"/>
      <c r="F514" s="40" t="s">
        <v>50</v>
      </c>
      <c r="G514" s="14"/>
    </row>
    <row r="515" spans="1:7" ht="15.75">
      <c r="A515" s="246" t="s">
        <v>29</v>
      </c>
      <c r="B515" s="248">
        <v>43648</v>
      </c>
      <c r="C515" s="160" t="s">
        <v>86</v>
      </c>
      <c r="D515" s="6">
        <v>750</v>
      </c>
      <c r="E515" s="6"/>
      <c r="F515" s="46" t="s">
        <v>50</v>
      </c>
      <c r="G515" s="3"/>
    </row>
    <row r="516" spans="1:7" ht="15.75">
      <c r="A516" s="246" t="s">
        <v>29</v>
      </c>
      <c r="B516" s="248">
        <v>43648</v>
      </c>
      <c r="C516" s="160" t="s">
        <v>55</v>
      </c>
      <c r="D516" s="6">
        <f>200+50</f>
        <v>250</v>
      </c>
      <c r="E516" s="6"/>
      <c r="F516" s="46" t="s">
        <v>50</v>
      </c>
      <c r="G516" s="3"/>
    </row>
    <row r="517" spans="1:7" ht="15.75">
      <c r="A517" s="246" t="s">
        <v>29</v>
      </c>
      <c r="B517" s="248">
        <v>43648</v>
      </c>
      <c r="C517" s="114" t="s">
        <v>81</v>
      </c>
      <c r="D517" s="87">
        <v>2000</v>
      </c>
      <c r="E517" s="88"/>
      <c r="F517" s="89" t="s">
        <v>63</v>
      </c>
      <c r="G517" s="20"/>
    </row>
    <row r="518" spans="1:7" ht="15.75">
      <c r="A518" s="246" t="s">
        <v>29</v>
      </c>
      <c r="B518" s="248">
        <v>43648</v>
      </c>
      <c r="C518" s="160" t="s">
        <v>156</v>
      </c>
      <c r="D518" s="6">
        <v>2440</v>
      </c>
      <c r="E518" s="6"/>
      <c r="F518" s="46" t="s">
        <v>44</v>
      </c>
      <c r="G518" s="3" t="s">
        <v>88</v>
      </c>
    </row>
    <row r="519" spans="1:7" ht="16.5" thickBot="1">
      <c r="A519" s="246" t="s">
        <v>29</v>
      </c>
      <c r="B519" s="248">
        <v>43648</v>
      </c>
      <c r="C519" s="164" t="s">
        <v>246</v>
      </c>
      <c r="D519" s="82"/>
      <c r="E519" s="82">
        <f>900+900+450+250+250</f>
        <v>2750</v>
      </c>
      <c r="F519" s="82" t="s">
        <v>11</v>
      </c>
      <c r="G519" s="64" t="s">
        <v>66</v>
      </c>
    </row>
    <row r="520" spans="1:7" ht="15.75">
      <c r="A520" s="246" t="s">
        <v>29</v>
      </c>
      <c r="B520" s="248">
        <v>43649</v>
      </c>
      <c r="C520" s="160" t="s">
        <v>247</v>
      </c>
      <c r="D520" s="6">
        <v>40</v>
      </c>
      <c r="E520" s="6"/>
      <c r="F520" s="46" t="s">
        <v>92</v>
      </c>
      <c r="G520" s="63"/>
    </row>
    <row r="521" spans="1:7" ht="15.75">
      <c r="A521" s="246" t="s">
        <v>29</v>
      </c>
      <c r="B521" s="248">
        <v>43649</v>
      </c>
      <c r="C521" s="163" t="s">
        <v>124</v>
      </c>
      <c r="D521" s="11">
        <v>150</v>
      </c>
      <c r="E521" s="35"/>
      <c r="F521" s="40" t="s">
        <v>248</v>
      </c>
      <c r="G521" s="56"/>
    </row>
    <row r="522" spans="1:7" ht="15.75">
      <c r="A522" s="246" t="s">
        <v>29</v>
      </c>
      <c r="B522" s="248">
        <v>43649</v>
      </c>
      <c r="C522" s="163" t="s">
        <v>249</v>
      </c>
      <c r="D522" s="11">
        <v>20</v>
      </c>
      <c r="E522" s="35"/>
      <c r="F522" s="40" t="s">
        <v>63</v>
      </c>
      <c r="G522" s="56"/>
    </row>
    <row r="523" spans="1:7" ht="15.75">
      <c r="A523" s="246" t="s">
        <v>29</v>
      </c>
      <c r="B523" s="248">
        <v>43649</v>
      </c>
      <c r="C523" s="163" t="s">
        <v>69</v>
      </c>
      <c r="D523" s="11">
        <f>1000+50</f>
        <v>1050</v>
      </c>
      <c r="E523" s="35"/>
      <c r="F523" s="40" t="s">
        <v>63</v>
      </c>
      <c r="G523" s="141"/>
    </row>
    <row r="524" spans="1:7" ht="15.75">
      <c r="A524" s="246" t="s">
        <v>29</v>
      </c>
      <c r="B524" s="248">
        <v>43649</v>
      </c>
      <c r="C524" s="1" t="s">
        <v>82</v>
      </c>
      <c r="D524" s="11">
        <v>3000</v>
      </c>
      <c r="E524" s="35"/>
      <c r="F524" s="40" t="s">
        <v>63</v>
      </c>
      <c r="G524" s="56"/>
    </row>
    <row r="525" spans="1:7" ht="15.75">
      <c r="A525" s="246" t="s">
        <v>29</v>
      </c>
      <c r="B525" s="248">
        <v>43649</v>
      </c>
      <c r="C525" s="163" t="s">
        <v>81</v>
      </c>
      <c r="D525" s="11">
        <f>2000+2400</f>
        <v>4400</v>
      </c>
      <c r="E525" s="35"/>
      <c r="F525" s="40" t="s">
        <v>44</v>
      </c>
      <c r="G525" s="56"/>
    </row>
    <row r="526" spans="1:7" ht="16.5" thickBot="1">
      <c r="A526" s="246" t="s">
        <v>29</v>
      </c>
      <c r="B526" s="248">
        <v>43649</v>
      </c>
      <c r="C526" s="161" t="s">
        <v>111</v>
      </c>
      <c r="D526" s="49">
        <v>1000</v>
      </c>
      <c r="E526" s="2"/>
      <c r="F526" s="2" t="s">
        <v>63</v>
      </c>
      <c r="G526" s="47"/>
    </row>
    <row r="527" spans="1:7" ht="15.75">
      <c r="A527" s="246" t="s">
        <v>29</v>
      </c>
      <c r="B527" s="248">
        <v>43650</v>
      </c>
      <c r="C527" s="165" t="s">
        <v>144</v>
      </c>
      <c r="D527" s="9">
        <f>120+200</f>
        <v>320</v>
      </c>
      <c r="E527" s="94"/>
      <c r="F527" s="50" t="s">
        <v>50</v>
      </c>
      <c r="G527" s="95" t="s">
        <v>105</v>
      </c>
    </row>
    <row r="528" spans="1:7" ht="15.75">
      <c r="A528" s="246" t="s">
        <v>29</v>
      </c>
      <c r="B528" s="248">
        <v>43650</v>
      </c>
      <c r="C528" s="165" t="s">
        <v>104</v>
      </c>
      <c r="D528" s="10">
        <v>4000</v>
      </c>
      <c r="E528" s="28"/>
      <c r="F528" s="30" t="s">
        <v>50</v>
      </c>
      <c r="G528" s="55" t="s">
        <v>105</v>
      </c>
    </row>
    <row r="529" spans="1:7" ht="15.75">
      <c r="A529" s="246" t="s">
        <v>29</v>
      </c>
      <c r="B529" s="248">
        <v>43650</v>
      </c>
      <c r="C529" s="166" t="s">
        <v>48</v>
      </c>
      <c r="D529" s="37">
        <v>700</v>
      </c>
      <c r="E529" s="28"/>
      <c r="F529" s="30" t="s">
        <v>44</v>
      </c>
      <c r="G529" s="144"/>
    </row>
    <row r="530" spans="1:7" ht="15.75">
      <c r="A530" s="246" t="s">
        <v>29</v>
      </c>
      <c r="B530" s="248">
        <v>43650</v>
      </c>
      <c r="C530" s="159" t="s">
        <v>62</v>
      </c>
      <c r="D530" s="2">
        <v>1500</v>
      </c>
      <c r="E530" s="28"/>
      <c r="F530" s="30" t="s">
        <v>44</v>
      </c>
      <c r="G530" s="145"/>
    </row>
    <row r="531" spans="1:7" ht="16.5" thickBot="1">
      <c r="A531" s="246" t="s">
        <v>29</v>
      </c>
      <c r="B531" s="248">
        <v>43650</v>
      </c>
      <c r="C531" s="167" t="s">
        <v>162</v>
      </c>
      <c r="D531" s="49">
        <v>45.4</v>
      </c>
      <c r="E531" s="77"/>
      <c r="F531" s="30" t="s">
        <v>92</v>
      </c>
      <c r="G531" s="80" t="s">
        <v>88</v>
      </c>
    </row>
    <row r="532" spans="1:7" ht="15.75">
      <c r="A532" s="246" t="s">
        <v>29</v>
      </c>
      <c r="B532" s="248">
        <v>43654</v>
      </c>
      <c r="C532" s="168" t="s">
        <v>230</v>
      </c>
      <c r="D532" s="17">
        <v>2000</v>
      </c>
      <c r="E532" s="72"/>
      <c r="F532" s="72" t="s">
        <v>44</v>
      </c>
      <c r="G532" s="15"/>
    </row>
    <row r="533" spans="1:7" ht="15.75">
      <c r="A533" s="246" t="s">
        <v>29</v>
      </c>
      <c r="B533" s="248">
        <v>43654</v>
      </c>
      <c r="C533" s="170" t="s">
        <v>47</v>
      </c>
      <c r="D533" s="65">
        <v>200</v>
      </c>
      <c r="E533" s="51"/>
      <c r="F533" s="51" t="s">
        <v>44</v>
      </c>
      <c r="G533" s="20"/>
    </row>
    <row r="534" spans="1:7" ht="15.75">
      <c r="A534" s="246" t="s">
        <v>29</v>
      </c>
      <c r="B534" s="248">
        <v>43654</v>
      </c>
      <c r="C534" s="159" t="s">
        <v>250</v>
      </c>
      <c r="D534" s="7">
        <f>8+300</f>
        <v>308</v>
      </c>
      <c r="E534" s="7"/>
      <c r="F534" s="7" t="s">
        <v>248</v>
      </c>
      <c r="G534" s="3"/>
    </row>
    <row r="535" spans="1:7" ht="15.75">
      <c r="A535" s="246" t="s">
        <v>29</v>
      </c>
      <c r="B535" s="248">
        <v>43654</v>
      </c>
      <c r="C535" s="170" t="s">
        <v>142</v>
      </c>
      <c r="D535" s="65">
        <f>191+20</f>
        <v>211</v>
      </c>
      <c r="E535" s="51"/>
      <c r="F535" s="51" t="s">
        <v>248</v>
      </c>
      <c r="G535" s="20"/>
    </row>
    <row r="536" spans="1:7" ht="16.5" thickBot="1">
      <c r="A536" s="246" t="s">
        <v>29</v>
      </c>
      <c r="B536" s="248">
        <v>43654</v>
      </c>
      <c r="C536" s="159" t="s">
        <v>81</v>
      </c>
      <c r="D536" s="7">
        <f>4000+3150</f>
        <v>7150</v>
      </c>
      <c r="E536" s="7"/>
      <c r="F536" s="7" t="s">
        <v>63</v>
      </c>
      <c r="G536" s="3"/>
    </row>
    <row r="537" spans="1:7" ht="15.75">
      <c r="A537" s="246" t="s">
        <v>29</v>
      </c>
      <c r="B537" s="248">
        <v>43655</v>
      </c>
      <c r="C537" s="171" t="s">
        <v>90</v>
      </c>
      <c r="D537" s="17">
        <f>60+20</f>
        <v>80</v>
      </c>
      <c r="E537" s="58"/>
      <c r="F537" s="58" t="s">
        <v>63</v>
      </c>
      <c r="G537" s="13"/>
    </row>
    <row r="538" spans="1:7" ht="15.75">
      <c r="A538" s="246" t="s">
        <v>29</v>
      </c>
      <c r="B538" s="248">
        <v>43655</v>
      </c>
      <c r="C538" s="163" t="s">
        <v>152</v>
      </c>
      <c r="D538" s="16">
        <v>200</v>
      </c>
      <c r="E538" s="142"/>
      <c r="F538" s="142" t="s">
        <v>63</v>
      </c>
      <c r="G538" s="18"/>
    </row>
    <row r="539" spans="1:7" ht="15.75">
      <c r="A539" s="246" t="s">
        <v>29</v>
      </c>
      <c r="B539" s="248">
        <v>43655</v>
      </c>
      <c r="C539" s="163" t="s">
        <v>251</v>
      </c>
      <c r="D539" s="16">
        <v>1480</v>
      </c>
      <c r="E539" s="7"/>
      <c r="F539" s="7" t="s">
        <v>63</v>
      </c>
      <c r="G539" s="3"/>
    </row>
    <row r="540" spans="1:7" ht="16.5" thickBot="1">
      <c r="A540" s="246" t="s">
        <v>29</v>
      </c>
      <c r="B540" s="248">
        <v>43655</v>
      </c>
      <c r="C540" s="163" t="s">
        <v>69</v>
      </c>
      <c r="D540" s="16">
        <v>500</v>
      </c>
      <c r="E540" s="51"/>
      <c r="F540" s="51" t="s">
        <v>63</v>
      </c>
      <c r="G540" s="14"/>
    </row>
    <row r="541" spans="1:7" ht="15.75">
      <c r="A541" s="246" t="s">
        <v>29</v>
      </c>
      <c r="B541" s="248">
        <v>43656</v>
      </c>
      <c r="C541" s="178" t="s">
        <v>107</v>
      </c>
      <c r="D541" s="140"/>
      <c r="E541" s="140">
        <v>400</v>
      </c>
      <c r="F541" s="140" t="s">
        <v>11</v>
      </c>
      <c r="G541" s="108" t="s">
        <v>108</v>
      </c>
    </row>
    <row r="542" spans="1:7" ht="15.75">
      <c r="A542" s="246" t="s">
        <v>29</v>
      </c>
      <c r="B542" s="248">
        <v>43656</v>
      </c>
      <c r="C542" s="163" t="s">
        <v>199</v>
      </c>
      <c r="D542" s="16">
        <v>100</v>
      </c>
      <c r="E542" s="51"/>
      <c r="F542" s="51" t="s">
        <v>205</v>
      </c>
      <c r="G542" s="3"/>
    </row>
    <row r="543" spans="1:7" ht="15.75">
      <c r="A543" s="246" t="s">
        <v>29</v>
      </c>
      <c r="B543" s="248">
        <v>43656</v>
      </c>
      <c r="C543" s="163" t="s">
        <v>86</v>
      </c>
      <c r="D543" s="16">
        <v>1200</v>
      </c>
      <c r="E543" s="7"/>
      <c r="F543" s="7" t="s">
        <v>50</v>
      </c>
      <c r="G543" s="3"/>
    </row>
    <row r="544" spans="1:7" ht="15.75">
      <c r="A544" s="246" t="s">
        <v>29</v>
      </c>
      <c r="B544" s="248">
        <v>43656</v>
      </c>
      <c r="C544" s="163" t="s">
        <v>82</v>
      </c>
      <c r="D544" s="16">
        <v>200</v>
      </c>
      <c r="E544" s="70"/>
      <c r="F544" s="7" t="s">
        <v>252</v>
      </c>
      <c r="G544" s="3"/>
    </row>
    <row r="545" spans="1:7" ht="16.5" thickBot="1">
      <c r="A545" s="246" t="s">
        <v>29</v>
      </c>
      <c r="B545" s="248">
        <v>43656</v>
      </c>
      <c r="C545" s="179" t="s">
        <v>246</v>
      </c>
      <c r="D545" s="150"/>
      <c r="E545" s="127">
        <f>900+900+900+760</f>
        <v>3460</v>
      </c>
      <c r="F545" s="107" t="s">
        <v>11</v>
      </c>
      <c r="G545" s="64" t="s">
        <v>66</v>
      </c>
    </row>
    <row r="546" spans="1:7" ht="15.75">
      <c r="A546" s="246" t="s">
        <v>29</v>
      </c>
      <c r="B546" s="248">
        <v>43657</v>
      </c>
      <c r="C546" s="171" t="s">
        <v>186</v>
      </c>
      <c r="D546" s="9">
        <v>100</v>
      </c>
      <c r="E546" s="9"/>
      <c r="F546" s="78" t="s">
        <v>60</v>
      </c>
      <c r="G546" s="13" t="s">
        <v>88</v>
      </c>
    </row>
    <row r="547" spans="1:7" ht="15.75">
      <c r="A547" s="246" t="s">
        <v>29</v>
      </c>
      <c r="B547" s="248">
        <v>43657</v>
      </c>
      <c r="C547" s="114" t="s">
        <v>213</v>
      </c>
      <c r="D547" s="57">
        <v>25</v>
      </c>
      <c r="E547" s="57"/>
      <c r="F547" s="46" t="s">
        <v>92</v>
      </c>
      <c r="G547" s="3" t="s">
        <v>88</v>
      </c>
    </row>
    <row r="548" spans="1:7" ht="15.75">
      <c r="A548" s="246" t="s">
        <v>29</v>
      </c>
      <c r="B548" s="248">
        <v>43657</v>
      </c>
      <c r="C548" s="160" t="s">
        <v>190</v>
      </c>
      <c r="D548" s="2">
        <v>1000</v>
      </c>
      <c r="E548" s="2"/>
      <c r="F548" s="46" t="s">
        <v>63</v>
      </c>
      <c r="G548" s="3" t="s">
        <v>73</v>
      </c>
    </row>
    <row r="549" spans="1:7" ht="15.75">
      <c r="A549" s="246" t="s">
        <v>29</v>
      </c>
      <c r="B549" s="248">
        <v>43657</v>
      </c>
      <c r="C549" s="161" t="s">
        <v>104</v>
      </c>
      <c r="D549" s="12">
        <v>4000</v>
      </c>
      <c r="E549" s="12"/>
      <c r="F549" s="126" t="s">
        <v>63</v>
      </c>
      <c r="G549" s="18" t="s">
        <v>105</v>
      </c>
    </row>
    <row r="550" spans="1:7" ht="15.75">
      <c r="A550" s="246" t="s">
        <v>29</v>
      </c>
      <c r="B550" s="248">
        <v>43657</v>
      </c>
      <c r="C550" s="161" t="s">
        <v>185</v>
      </c>
      <c r="D550" s="12">
        <v>20</v>
      </c>
      <c r="E550" s="12"/>
      <c r="F550" s="126" t="s">
        <v>44</v>
      </c>
      <c r="G550" s="18"/>
    </row>
    <row r="551" spans="1:7" ht="15.75">
      <c r="A551" s="246" t="s">
        <v>29</v>
      </c>
      <c r="B551" s="248">
        <v>43657</v>
      </c>
      <c r="C551" s="161" t="s">
        <v>47</v>
      </c>
      <c r="D551" s="12">
        <v>250</v>
      </c>
      <c r="E551" s="12"/>
      <c r="F551" s="126" t="s">
        <v>44</v>
      </c>
      <c r="G551" s="18"/>
    </row>
    <row r="552" spans="1:7" ht="16.5" thickBot="1">
      <c r="A552" s="246" t="s">
        <v>29</v>
      </c>
      <c r="B552" s="248">
        <v>43657</v>
      </c>
      <c r="C552" s="161" t="s">
        <v>86</v>
      </c>
      <c r="D552" s="12">
        <v>1000</v>
      </c>
      <c r="E552" s="12"/>
      <c r="F552" s="126" t="s">
        <v>253</v>
      </c>
      <c r="G552" s="18"/>
    </row>
    <row r="553" spans="1:7" ht="15.75">
      <c r="A553" s="246" t="s">
        <v>29</v>
      </c>
      <c r="B553" s="248">
        <v>43658</v>
      </c>
      <c r="C553" s="172" t="s">
        <v>140</v>
      </c>
      <c r="D553" s="26">
        <v>75</v>
      </c>
      <c r="E553" s="26"/>
      <c r="F553" s="84" t="s">
        <v>58</v>
      </c>
      <c r="G553" s="15"/>
    </row>
    <row r="554" spans="1:7" ht="15.75">
      <c r="A554" s="246" t="s">
        <v>29</v>
      </c>
      <c r="B554" s="248">
        <v>43658</v>
      </c>
      <c r="C554" s="160" t="s">
        <v>56</v>
      </c>
      <c r="D554" s="2">
        <v>2000</v>
      </c>
      <c r="E554" s="2"/>
      <c r="F554" s="46" t="s">
        <v>63</v>
      </c>
      <c r="G554" s="14"/>
    </row>
    <row r="555" spans="1:7" ht="15.75">
      <c r="A555" s="246" t="s">
        <v>29</v>
      </c>
      <c r="B555" s="248">
        <v>43658</v>
      </c>
      <c r="C555" s="161" t="s">
        <v>43</v>
      </c>
      <c r="D555" s="12">
        <v>3000</v>
      </c>
      <c r="E555" s="12"/>
      <c r="F555" s="126" t="s">
        <v>63</v>
      </c>
      <c r="G555" s="14"/>
    </row>
    <row r="556" spans="1:7" ht="15.75">
      <c r="A556" s="246" t="s">
        <v>29</v>
      </c>
      <c r="B556" s="248">
        <v>43658</v>
      </c>
      <c r="C556" s="161" t="s">
        <v>78</v>
      </c>
      <c r="D556" s="12">
        <f>40+50</f>
        <v>90</v>
      </c>
      <c r="E556" s="12"/>
      <c r="F556" s="126" t="s">
        <v>63</v>
      </c>
      <c r="G556" s="14"/>
    </row>
    <row r="557" spans="1:7" ht="16.5" thickBot="1">
      <c r="A557" s="246" t="s">
        <v>29</v>
      </c>
      <c r="B557" s="248">
        <v>43658</v>
      </c>
      <c r="C557" s="161" t="s">
        <v>241</v>
      </c>
      <c r="D557" s="12">
        <v>100</v>
      </c>
      <c r="E557" s="12"/>
      <c r="F557" s="126" t="s">
        <v>44</v>
      </c>
      <c r="G557" s="14"/>
    </row>
    <row r="558" spans="1:7" ht="15.75">
      <c r="A558" s="246" t="s">
        <v>29</v>
      </c>
      <c r="B558" s="248">
        <v>43661</v>
      </c>
      <c r="C558" s="180" t="s">
        <v>125</v>
      </c>
      <c r="D558" s="102">
        <v>50</v>
      </c>
      <c r="E558" s="151"/>
      <c r="F558" s="152" t="s">
        <v>243</v>
      </c>
      <c r="G558" s="103" t="s">
        <v>84</v>
      </c>
    </row>
    <row r="559" spans="1:7" ht="15.75">
      <c r="A559" s="246" t="s">
        <v>29</v>
      </c>
      <c r="B559" s="248">
        <v>43661</v>
      </c>
      <c r="C559" s="114" t="s">
        <v>47</v>
      </c>
      <c r="D559" s="57">
        <v>250</v>
      </c>
      <c r="E559" s="120"/>
      <c r="F559" s="62" t="s">
        <v>44</v>
      </c>
      <c r="G559" s="20"/>
    </row>
    <row r="560" spans="1:7" ht="16.5" thickBot="1">
      <c r="A560" s="246" t="s">
        <v>29</v>
      </c>
      <c r="B560" s="248">
        <v>43661</v>
      </c>
      <c r="C560" s="160" t="s">
        <v>86</v>
      </c>
      <c r="D560" s="2">
        <v>2250</v>
      </c>
      <c r="E560" s="2"/>
      <c r="F560" s="46" t="s">
        <v>44</v>
      </c>
      <c r="G560" s="3"/>
    </row>
    <row r="561" spans="1:7" ht="15.75">
      <c r="A561" s="246" t="s">
        <v>29</v>
      </c>
      <c r="B561" s="248">
        <v>43662</v>
      </c>
      <c r="C561" s="174" t="s">
        <v>254</v>
      </c>
      <c r="D561" s="26">
        <f>100+40</f>
        <v>140</v>
      </c>
      <c r="E561" s="39"/>
      <c r="F561" s="39" t="s">
        <v>63</v>
      </c>
      <c r="G561" s="13"/>
    </row>
    <row r="562" spans="1:7" ht="15.75">
      <c r="A562" s="246" t="s">
        <v>29</v>
      </c>
      <c r="B562" s="248">
        <v>43662</v>
      </c>
      <c r="C562" s="159" t="s">
        <v>114</v>
      </c>
      <c r="D562" s="2">
        <v>350</v>
      </c>
      <c r="E562" s="2"/>
      <c r="F562" s="2" t="s">
        <v>58</v>
      </c>
      <c r="G562" s="3"/>
    </row>
    <row r="563" spans="1:7" ht="15.75">
      <c r="A563" s="246" t="s">
        <v>29</v>
      </c>
      <c r="B563" s="248">
        <v>43662</v>
      </c>
      <c r="C563" s="166" t="s">
        <v>57</v>
      </c>
      <c r="D563" s="57">
        <v>75</v>
      </c>
      <c r="E563" s="36"/>
      <c r="F563" s="36" t="s">
        <v>58</v>
      </c>
      <c r="G563" s="20"/>
    </row>
    <row r="564" spans="1:7" ht="16.5" thickBot="1">
      <c r="A564" s="246" t="s">
        <v>29</v>
      </c>
      <c r="B564" s="248">
        <v>43662</v>
      </c>
      <c r="C564" s="159" t="s">
        <v>69</v>
      </c>
      <c r="D564" s="2">
        <v>500</v>
      </c>
      <c r="E564" s="2"/>
      <c r="F564" s="2" t="s">
        <v>63</v>
      </c>
      <c r="G564" s="3"/>
    </row>
    <row r="565" spans="1:7" ht="15.75">
      <c r="A565" s="246" t="s">
        <v>29</v>
      </c>
      <c r="B565" s="248">
        <v>43663</v>
      </c>
      <c r="C565" s="174" t="s">
        <v>124</v>
      </c>
      <c r="D565" s="26">
        <v>75</v>
      </c>
      <c r="E565" s="39"/>
      <c r="F565" s="39" t="s">
        <v>60</v>
      </c>
      <c r="G565" s="13"/>
    </row>
    <row r="566" spans="1:7" ht="15.75">
      <c r="A566" s="246" t="s">
        <v>29</v>
      </c>
      <c r="B566" s="248">
        <v>43663</v>
      </c>
      <c r="C566" s="159" t="s">
        <v>46</v>
      </c>
      <c r="D566" s="2">
        <v>40</v>
      </c>
      <c r="E566" s="2"/>
      <c r="F566" s="2" t="s">
        <v>63</v>
      </c>
      <c r="G566" s="3"/>
    </row>
    <row r="567" spans="1:7" ht="15.75">
      <c r="A567" s="246" t="s">
        <v>29</v>
      </c>
      <c r="B567" s="248">
        <v>43663</v>
      </c>
      <c r="C567" s="167" t="s">
        <v>104</v>
      </c>
      <c r="D567" s="2">
        <v>4000</v>
      </c>
      <c r="E567" s="2"/>
      <c r="F567" s="2" t="s">
        <v>50</v>
      </c>
      <c r="G567" s="3" t="s">
        <v>105</v>
      </c>
    </row>
    <row r="568" spans="1:7" ht="16.5" thickBot="1">
      <c r="A568" s="246" t="s">
        <v>29</v>
      </c>
      <c r="B568" s="248">
        <v>43663</v>
      </c>
      <c r="C568" s="167" t="s">
        <v>81</v>
      </c>
      <c r="D568" s="2">
        <v>4000</v>
      </c>
      <c r="E568" s="2"/>
      <c r="F568" s="2" t="s">
        <v>50</v>
      </c>
      <c r="G568" s="3"/>
    </row>
    <row r="569" spans="1:7" ht="15.75">
      <c r="A569" s="246" t="s">
        <v>29</v>
      </c>
      <c r="B569" s="248">
        <v>43664</v>
      </c>
      <c r="C569" s="172" t="s">
        <v>53</v>
      </c>
      <c r="D569" s="58">
        <v>20</v>
      </c>
      <c r="E569" s="58"/>
      <c r="F569" s="76" t="s">
        <v>63</v>
      </c>
      <c r="G569" s="63"/>
    </row>
    <row r="570" spans="1:7" ht="15.75">
      <c r="A570" s="246" t="s">
        <v>29</v>
      </c>
      <c r="B570" s="248">
        <v>43664</v>
      </c>
      <c r="C570" s="176" t="s">
        <v>148</v>
      </c>
      <c r="D570" s="7">
        <v>100</v>
      </c>
      <c r="E570" s="7"/>
      <c r="F570" s="7" t="s">
        <v>252</v>
      </c>
      <c r="G570" s="56" t="s">
        <v>88</v>
      </c>
    </row>
    <row r="571" spans="1:7" ht="15.75">
      <c r="A571" s="246" t="s">
        <v>29</v>
      </c>
      <c r="B571" s="248">
        <v>43664</v>
      </c>
      <c r="C571" s="114" t="s">
        <v>55</v>
      </c>
      <c r="D571" s="65">
        <f>50+50</f>
        <v>100</v>
      </c>
      <c r="E571" s="65"/>
      <c r="F571" s="51" t="s">
        <v>63</v>
      </c>
      <c r="G571" s="141"/>
    </row>
    <row r="572" spans="1:7" ht="15.75">
      <c r="A572" s="246" t="s">
        <v>29</v>
      </c>
      <c r="B572" s="248">
        <v>43664</v>
      </c>
      <c r="C572" s="160" t="s">
        <v>193</v>
      </c>
      <c r="D572" s="7">
        <f>40+500</f>
        <v>540</v>
      </c>
      <c r="E572" s="7"/>
      <c r="F572" s="70" t="s">
        <v>63</v>
      </c>
      <c r="G572" s="56"/>
    </row>
    <row r="573" spans="1:7" ht="15.75">
      <c r="A573" s="246" t="s">
        <v>29</v>
      </c>
      <c r="B573" s="248">
        <v>43664</v>
      </c>
      <c r="C573" s="114" t="s">
        <v>255</v>
      </c>
      <c r="D573" s="65">
        <v>75</v>
      </c>
      <c r="E573" s="51"/>
      <c r="F573" s="86" t="s">
        <v>11</v>
      </c>
      <c r="G573" s="85" t="s">
        <v>256</v>
      </c>
    </row>
    <row r="574" spans="1:7" ht="16.5" thickBot="1">
      <c r="A574" s="246" t="s">
        <v>29</v>
      </c>
      <c r="B574" s="248">
        <v>43664</v>
      </c>
      <c r="C574" s="160" t="s">
        <v>82</v>
      </c>
      <c r="D574" s="7">
        <v>800</v>
      </c>
      <c r="E574" s="7"/>
      <c r="F574" s="86" t="s">
        <v>58</v>
      </c>
      <c r="G574" s="85"/>
    </row>
    <row r="575" spans="1:7" ht="16.5" thickBot="1">
      <c r="A575" s="246" t="s">
        <v>29</v>
      </c>
      <c r="B575" s="248">
        <v>43665</v>
      </c>
      <c r="C575" s="171" t="s">
        <v>81</v>
      </c>
      <c r="D575" s="26">
        <v>4025</v>
      </c>
      <c r="E575" s="26"/>
      <c r="F575" s="39" t="s">
        <v>44</v>
      </c>
      <c r="G575" s="13"/>
    </row>
    <row r="576" spans="1:7" ht="15.75">
      <c r="A576" s="246" t="s">
        <v>29</v>
      </c>
      <c r="B576" s="248">
        <v>43668</v>
      </c>
      <c r="C576" s="171" t="s">
        <v>257</v>
      </c>
      <c r="D576" s="9">
        <f>20+100</f>
        <v>120</v>
      </c>
      <c r="E576" s="39"/>
      <c r="F576" s="39" t="s">
        <v>50</v>
      </c>
      <c r="G576" s="13"/>
    </row>
    <row r="577" spans="1:7" ht="15.75">
      <c r="A577" s="246" t="s">
        <v>29</v>
      </c>
      <c r="B577" s="248">
        <v>43668</v>
      </c>
      <c r="C577" s="163" t="s">
        <v>47</v>
      </c>
      <c r="D577" s="10">
        <v>250</v>
      </c>
      <c r="E577" s="2"/>
      <c r="F577" s="2" t="s">
        <v>50</v>
      </c>
      <c r="G577" s="3"/>
    </row>
    <row r="578" spans="1:7" ht="15.75">
      <c r="A578" s="246" t="s">
        <v>29</v>
      </c>
      <c r="B578" s="248">
        <v>43668</v>
      </c>
      <c r="C578" s="160" t="s">
        <v>62</v>
      </c>
      <c r="D578" s="2">
        <v>1500</v>
      </c>
      <c r="E578" s="2"/>
      <c r="F578" s="38" t="s">
        <v>50</v>
      </c>
      <c r="G578" s="18"/>
    </row>
    <row r="579" spans="1:7" ht="15.75">
      <c r="A579" s="246" t="s">
        <v>29</v>
      </c>
      <c r="B579" s="248">
        <v>43668</v>
      </c>
      <c r="C579" s="181" t="s">
        <v>199</v>
      </c>
      <c r="D579" s="105">
        <f>400+1</f>
        <v>401</v>
      </c>
      <c r="E579" s="121"/>
      <c r="F579" s="122" t="s">
        <v>58</v>
      </c>
      <c r="G579" s="73" t="s">
        <v>258</v>
      </c>
    </row>
    <row r="580" spans="1:7" ht="15.75">
      <c r="A580" s="246" t="s">
        <v>29</v>
      </c>
      <c r="B580" s="248">
        <v>43668</v>
      </c>
      <c r="C580" s="160" t="s">
        <v>55</v>
      </c>
      <c r="D580" s="2">
        <v>50</v>
      </c>
      <c r="E580" s="12"/>
      <c r="F580" s="38" t="s">
        <v>50</v>
      </c>
      <c r="G580" s="18"/>
    </row>
    <row r="581" spans="1:7" ht="16.5" thickBot="1">
      <c r="A581" s="246" t="s">
        <v>29</v>
      </c>
      <c r="B581" s="248">
        <v>43668</v>
      </c>
      <c r="C581" s="160" t="s">
        <v>82</v>
      </c>
      <c r="D581" s="2">
        <v>2000</v>
      </c>
      <c r="E581" s="12"/>
      <c r="F581" s="38" t="s">
        <v>44</v>
      </c>
      <c r="G581" s="18"/>
    </row>
    <row r="582" spans="1:7" ht="15.75">
      <c r="A582" s="246" t="s">
        <v>29</v>
      </c>
      <c r="B582" s="248">
        <v>43669</v>
      </c>
      <c r="C582" s="172" t="s">
        <v>48</v>
      </c>
      <c r="D582" s="26">
        <f>400+175</f>
        <v>575</v>
      </c>
      <c r="E582" s="39"/>
      <c r="F582" s="39" t="s">
        <v>50</v>
      </c>
      <c r="G582" s="13"/>
    </row>
    <row r="583" spans="1:7" ht="15.75">
      <c r="A583" s="246" t="s">
        <v>29</v>
      </c>
      <c r="B583" s="248">
        <v>43669</v>
      </c>
      <c r="C583" s="160" t="s">
        <v>69</v>
      </c>
      <c r="D583" s="2">
        <v>500</v>
      </c>
      <c r="E583" s="2"/>
      <c r="F583" s="2" t="s">
        <v>50</v>
      </c>
      <c r="G583" s="3"/>
    </row>
    <row r="584" spans="1:7" ht="15.75">
      <c r="A584" s="246" t="s">
        <v>29</v>
      </c>
      <c r="B584" s="248">
        <v>43669</v>
      </c>
      <c r="C584" s="162" t="s">
        <v>147</v>
      </c>
      <c r="D584" s="67">
        <f>180+800+1000+1200</f>
        <v>3180</v>
      </c>
      <c r="E584" s="121"/>
      <c r="F584" s="122" t="s">
        <v>44</v>
      </c>
      <c r="G584" s="73" t="s">
        <v>259</v>
      </c>
    </row>
    <row r="585" spans="1:7" ht="16.5" thickBot="1">
      <c r="A585" s="246" t="s">
        <v>29</v>
      </c>
      <c r="B585" s="248">
        <v>43669</v>
      </c>
      <c r="C585" s="182" t="s">
        <v>194</v>
      </c>
      <c r="D585" s="121">
        <f>500+100</f>
        <v>600</v>
      </c>
      <c r="E585" s="121"/>
      <c r="F585" s="122" t="s">
        <v>92</v>
      </c>
      <c r="G585" s="73" t="s">
        <v>195</v>
      </c>
    </row>
    <row r="586" spans="1:7" ht="15.75">
      <c r="A586" s="246" t="s">
        <v>29</v>
      </c>
      <c r="B586" s="248">
        <v>43670</v>
      </c>
      <c r="C586" s="172" t="s">
        <v>219</v>
      </c>
      <c r="D586" s="58">
        <v>200</v>
      </c>
      <c r="E586" s="59"/>
      <c r="F586" s="58" t="s">
        <v>92</v>
      </c>
      <c r="G586" s="22"/>
    </row>
    <row r="587" spans="1:7" ht="16.5" thickBot="1">
      <c r="A587" s="246" t="s">
        <v>29</v>
      </c>
      <c r="B587" s="248">
        <v>43670</v>
      </c>
      <c r="C587" s="160" t="s">
        <v>47</v>
      </c>
      <c r="D587" s="7">
        <v>250</v>
      </c>
      <c r="E587" s="7"/>
      <c r="F587" s="7" t="s">
        <v>63</v>
      </c>
      <c r="G587" s="3"/>
    </row>
    <row r="588" spans="1:7" ht="15.75">
      <c r="A588" s="246" t="s">
        <v>29</v>
      </c>
      <c r="B588" s="248">
        <v>43671</v>
      </c>
      <c r="C588" s="172" t="s">
        <v>56</v>
      </c>
      <c r="D588" s="58">
        <v>2000</v>
      </c>
      <c r="E588" s="59"/>
      <c r="F588" s="58" t="s">
        <v>63</v>
      </c>
      <c r="G588" s="13"/>
    </row>
    <row r="589" spans="1:7" ht="15.75">
      <c r="A589" s="246" t="s">
        <v>29</v>
      </c>
      <c r="B589" s="248">
        <v>43671</v>
      </c>
      <c r="C589" s="160" t="s">
        <v>123</v>
      </c>
      <c r="D589" s="7">
        <v>2000</v>
      </c>
      <c r="E589" s="7"/>
      <c r="F589" s="7" t="s">
        <v>44</v>
      </c>
      <c r="G589" s="3"/>
    </row>
    <row r="590" spans="1:7" ht="16.5" thickBot="1">
      <c r="A590" s="246" t="s">
        <v>29</v>
      </c>
      <c r="B590" s="248">
        <v>43671</v>
      </c>
      <c r="C590" s="114" t="s">
        <v>64</v>
      </c>
      <c r="D590" s="65">
        <v>1000</v>
      </c>
      <c r="E590" s="115"/>
      <c r="F590" s="65" t="s">
        <v>243</v>
      </c>
      <c r="G590" s="20" t="s">
        <v>73</v>
      </c>
    </row>
    <row r="591" spans="1:7" ht="15.75">
      <c r="A591" s="246" t="s">
        <v>29</v>
      </c>
      <c r="B591" s="248">
        <v>43672</v>
      </c>
      <c r="C591" s="171" t="s">
        <v>157</v>
      </c>
      <c r="D591" s="9">
        <v>150</v>
      </c>
      <c r="E591" s="52"/>
      <c r="F591" s="9" t="s">
        <v>44</v>
      </c>
      <c r="G591" s="15"/>
    </row>
    <row r="592" spans="1:7" ht="16.5" thickBot="1">
      <c r="A592" s="246" t="s">
        <v>29</v>
      </c>
      <c r="B592" s="248">
        <v>43672</v>
      </c>
      <c r="C592" s="163" t="s">
        <v>199</v>
      </c>
      <c r="D592" s="10">
        <f>50+1</f>
        <v>51</v>
      </c>
      <c r="E592" s="53"/>
      <c r="F592" s="10" t="s">
        <v>260</v>
      </c>
      <c r="G592" s="14" t="s">
        <v>261</v>
      </c>
    </row>
    <row r="593" spans="1:7" ht="15.75">
      <c r="A593" s="246" t="s">
        <v>29</v>
      </c>
      <c r="B593" s="248">
        <v>43675</v>
      </c>
      <c r="C593" s="168" t="s">
        <v>103</v>
      </c>
      <c r="D593" s="9">
        <v>125</v>
      </c>
      <c r="E593" s="32"/>
      <c r="F593" s="9" t="s">
        <v>44</v>
      </c>
      <c r="G593" s="22"/>
    </row>
    <row r="594" spans="1:7" ht="15.75">
      <c r="A594" s="246" t="s">
        <v>29</v>
      </c>
      <c r="B594" s="248">
        <v>43675</v>
      </c>
      <c r="C594" s="165" t="s">
        <v>91</v>
      </c>
      <c r="D594" s="10">
        <v>125</v>
      </c>
      <c r="E594" s="2"/>
      <c r="F594" s="10" t="s">
        <v>50</v>
      </c>
      <c r="G594" s="3"/>
    </row>
    <row r="595" spans="1:7" ht="15.75">
      <c r="A595" s="246" t="s">
        <v>29</v>
      </c>
      <c r="B595" s="248">
        <v>43675</v>
      </c>
      <c r="C595" s="165" t="s">
        <v>87</v>
      </c>
      <c r="D595" s="10">
        <v>2000</v>
      </c>
      <c r="E595" s="2"/>
      <c r="F595" s="10" t="s">
        <v>44</v>
      </c>
      <c r="G595" s="3" t="s">
        <v>88</v>
      </c>
    </row>
    <row r="596" spans="1:7" ht="15.75">
      <c r="A596" s="246" t="s">
        <v>29</v>
      </c>
      <c r="B596" s="248">
        <v>43675</v>
      </c>
      <c r="C596" s="165" t="s">
        <v>78</v>
      </c>
      <c r="D596" s="10">
        <v>50</v>
      </c>
      <c r="E596" s="2"/>
      <c r="F596" s="10" t="s">
        <v>50</v>
      </c>
      <c r="G596" s="3"/>
    </row>
    <row r="597" spans="1:7" ht="15.75">
      <c r="A597" s="246" t="s">
        <v>29</v>
      </c>
      <c r="B597" s="248">
        <v>43675</v>
      </c>
      <c r="C597" s="165" t="s">
        <v>47</v>
      </c>
      <c r="D597" s="10">
        <v>250</v>
      </c>
      <c r="E597" s="2"/>
      <c r="F597" s="10" t="s">
        <v>50</v>
      </c>
      <c r="G597" s="3"/>
    </row>
    <row r="598" spans="1:7" ht="16.5" thickBot="1">
      <c r="A598" s="246" t="s">
        <v>29</v>
      </c>
      <c r="B598" s="248">
        <v>43675</v>
      </c>
      <c r="C598" s="162" t="s">
        <v>215</v>
      </c>
      <c r="D598" s="67">
        <v>50</v>
      </c>
      <c r="E598" s="67"/>
      <c r="F598" s="67" t="s">
        <v>63</v>
      </c>
      <c r="G598" s="117" t="s">
        <v>84</v>
      </c>
    </row>
    <row r="599" spans="1:7" ht="15.75">
      <c r="A599" s="246" t="s">
        <v>29</v>
      </c>
      <c r="B599" s="248">
        <v>43676</v>
      </c>
      <c r="C599" s="168" t="s">
        <v>69</v>
      </c>
      <c r="D599" s="9">
        <f>500+50</f>
        <v>550</v>
      </c>
      <c r="E599" s="32"/>
      <c r="F599" s="78" t="s">
        <v>92</v>
      </c>
      <c r="G599" s="22"/>
    </row>
    <row r="600" spans="1:7" ht="15.75">
      <c r="A600" s="246" t="s">
        <v>29</v>
      </c>
      <c r="B600" s="248">
        <v>43676</v>
      </c>
      <c r="C600" s="165" t="s">
        <v>241</v>
      </c>
      <c r="D600" s="10">
        <v>200</v>
      </c>
      <c r="E600" s="2"/>
      <c r="F600" s="46" t="s">
        <v>92</v>
      </c>
      <c r="G600" s="3"/>
    </row>
    <row r="601" spans="1:7" ht="15.75">
      <c r="A601" s="246" t="s">
        <v>29</v>
      </c>
      <c r="B601" s="248">
        <v>43676</v>
      </c>
      <c r="C601" s="165" t="s">
        <v>61</v>
      </c>
      <c r="D601" s="10">
        <f>40+50+40</f>
        <v>130</v>
      </c>
      <c r="E601" s="37"/>
      <c r="F601" s="44" t="s">
        <v>92</v>
      </c>
      <c r="G601" s="24"/>
    </row>
    <row r="602" spans="1:7" ht="16.5" thickBot="1">
      <c r="A602" s="246" t="s">
        <v>29</v>
      </c>
      <c r="B602" s="248">
        <v>43676</v>
      </c>
      <c r="C602" s="165" t="s">
        <v>262</v>
      </c>
      <c r="D602" s="10">
        <v>60</v>
      </c>
      <c r="E602" s="2"/>
      <c r="F602" s="44" t="s">
        <v>11</v>
      </c>
      <c r="G602" s="3"/>
    </row>
    <row r="603" spans="1:7" ht="15.75">
      <c r="A603" s="246" t="s">
        <v>29</v>
      </c>
      <c r="B603" s="248">
        <v>43677</v>
      </c>
      <c r="C603" s="168" t="s">
        <v>263</v>
      </c>
      <c r="D603" s="9">
        <v>60</v>
      </c>
      <c r="E603" s="32"/>
      <c r="F603" s="43" t="s">
        <v>243</v>
      </c>
      <c r="G603" s="22"/>
    </row>
    <row r="604" spans="1:7" ht="15.75">
      <c r="A604" s="246" t="s">
        <v>29</v>
      </c>
      <c r="B604" s="248">
        <v>43677</v>
      </c>
      <c r="C604" s="165" t="s">
        <v>100</v>
      </c>
      <c r="D604" s="10">
        <v>20</v>
      </c>
      <c r="E604" s="2"/>
      <c r="F604" s="44" t="s">
        <v>243</v>
      </c>
      <c r="G604" s="3"/>
    </row>
    <row r="605" spans="1:7" ht="15.75">
      <c r="A605" s="246" t="s">
        <v>29</v>
      </c>
      <c r="B605" s="248">
        <v>43677</v>
      </c>
      <c r="C605" s="165" t="s">
        <v>121</v>
      </c>
      <c r="D605" s="10">
        <v>200</v>
      </c>
      <c r="E605" s="2"/>
      <c r="F605" s="44" t="s">
        <v>58</v>
      </c>
      <c r="G605" s="3"/>
    </row>
    <row r="606" spans="1:7" ht="15.75">
      <c r="A606" s="246" t="s">
        <v>29</v>
      </c>
      <c r="B606" s="248">
        <v>43677</v>
      </c>
      <c r="C606" s="30" t="s">
        <v>146</v>
      </c>
      <c r="D606" s="10">
        <f>11.35+22.7</f>
        <v>34.049999999999997</v>
      </c>
      <c r="E606" s="2"/>
      <c r="F606" s="44" t="s">
        <v>92</v>
      </c>
      <c r="G606" s="3"/>
    </row>
    <row r="607" spans="1:7" ht="16.5" thickBot="1">
      <c r="A607" s="246" t="s">
        <v>29</v>
      </c>
      <c r="B607" s="248">
        <v>43677</v>
      </c>
      <c r="C607" s="165" t="s">
        <v>82</v>
      </c>
      <c r="D607" s="10">
        <v>280</v>
      </c>
      <c r="E607" s="2"/>
      <c r="F607" s="44" t="s">
        <v>58</v>
      </c>
      <c r="G607" s="3"/>
    </row>
    <row r="608" spans="1:7" ht="15.75">
      <c r="A608" s="246" t="s">
        <v>30</v>
      </c>
      <c r="B608" s="247">
        <v>43678</v>
      </c>
      <c r="C608" s="158" t="s">
        <v>118</v>
      </c>
      <c r="D608" s="27">
        <v>125</v>
      </c>
      <c r="E608" s="33"/>
      <c r="F608" s="45" t="s">
        <v>44</v>
      </c>
      <c r="G608" s="13"/>
    </row>
    <row r="609" spans="1:7" ht="15.75">
      <c r="A609" s="246" t="s">
        <v>30</v>
      </c>
      <c r="B609" s="247">
        <v>43678</v>
      </c>
      <c r="C609" s="159" t="s">
        <v>45</v>
      </c>
      <c r="D609" s="6">
        <v>900</v>
      </c>
      <c r="E609" s="6"/>
      <c r="F609" s="46" t="s">
        <v>63</v>
      </c>
      <c r="G609" s="3"/>
    </row>
    <row r="610" spans="1:7" ht="15.75">
      <c r="A610" s="246" t="s">
        <v>30</v>
      </c>
      <c r="B610" s="247">
        <v>43678</v>
      </c>
      <c r="C610" s="177" t="s">
        <v>54</v>
      </c>
      <c r="D610" s="6">
        <f>3500+60</f>
        <v>3560</v>
      </c>
      <c r="E610" s="6"/>
      <c r="F610" s="46" t="s">
        <v>63</v>
      </c>
      <c r="G610" s="3"/>
    </row>
    <row r="611" spans="1:7" ht="15.75">
      <c r="A611" s="246" t="s">
        <v>30</v>
      </c>
      <c r="B611" s="247">
        <v>43678</v>
      </c>
      <c r="C611" s="160" t="s">
        <v>218</v>
      </c>
      <c r="D611" s="2">
        <f>25+25</f>
        <v>50</v>
      </c>
      <c r="E611" s="2"/>
      <c r="F611" s="2" t="s">
        <v>63</v>
      </c>
      <c r="G611" s="3"/>
    </row>
    <row r="612" spans="1:7" ht="15.75">
      <c r="A612" s="246" t="s">
        <v>30</v>
      </c>
      <c r="B612" s="247">
        <v>43678</v>
      </c>
      <c r="C612" s="161" t="s">
        <v>173</v>
      </c>
      <c r="D612" s="12">
        <v>40</v>
      </c>
      <c r="E612" s="12"/>
      <c r="F612" s="38" t="s">
        <v>63</v>
      </c>
      <c r="G612" s="18" t="s">
        <v>68</v>
      </c>
    </row>
    <row r="613" spans="1:7" ht="16.5" thickBot="1">
      <c r="A613" s="246" t="s">
        <v>30</v>
      </c>
      <c r="B613" s="247">
        <v>43678</v>
      </c>
      <c r="C613" s="161" t="s">
        <v>264</v>
      </c>
      <c r="D613" s="12">
        <v>450</v>
      </c>
      <c r="E613" s="12"/>
      <c r="F613" s="38" t="s">
        <v>92</v>
      </c>
      <c r="G613" s="18"/>
    </row>
    <row r="614" spans="1:7" ht="15.75">
      <c r="A614" s="246" t="s">
        <v>30</v>
      </c>
      <c r="B614" s="248">
        <v>43679</v>
      </c>
      <c r="C614" s="160" t="s">
        <v>124</v>
      </c>
      <c r="D614" s="6">
        <v>150</v>
      </c>
      <c r="E614" s="6"/>
      <c r="F614" s="46" t="s">
        <v>92</v>
      </c>
      <c r="G614" s="15"/>
    </row>
    <row r="615" spans="1:7" ht="15.75">
      <c r="A615" s="246" t="s">
        <v>30</v>
      </c>
      <c r="B615" s="248">
        <v>43679</v>
      </c>
      <c r="C615" s="183" t="s">
        <v>265</v>
      </c>
      <c r="D615" s="138">
        <f>200+50+1</f>
        <v>251</v>
      </c>
      <c r="E615" s="138"/>
      <c r="F615" s="139" t="s">
        <v>58</v>
      </c>
      <c r="G615" s="106" t="s">
        <v>266</v>
      </c>
    </row>
    <row r="616" spans="1:7" ht="16.5" thickBot="1">
      <c r="A616" s="246" t="s">
        <v>30</v>
      </c>
      <c r="B616" s="248">
        <v>43679</v>
      </c>
      <c r="C616" s="160" t="s">
        <v>245</v>
      </c>
      <c r="D616" s="6">
        <v>200</v>
      </c>
      <c r="E616" s="6"/>
      <c r="F616" s="46" t="s">
        <v>63</v>
      </c>
      <c r="G616" s="3"/>
    </row>
    <row r="617" spans="1:7" ht="15.75">
      <c r="A617" s="246" t="s">
        <v>30</v>
      </c>
      <c r="B617" s="248">
        <v>43682</v>
      </c>
      <c r="C617" s="160" t="s">
        <v>46</v>
      </c>
      <c r="D617" s="6">
        <v>2000</v>
      </c>
      <c r="E617" s="6"/>
      <c r="F617" s="46" t="s">
        <v>44</v>
      </c>
      <c r="G617" s="63"/>
    </row>
    <row r="618" spans="1:7" ht="15.75">
      <c r="A618" s="246" t="s">
        <v>30</v>
      </c>
      <c r="B618" s="248">
        <v>43682</v>
      </c>
      <c r="C618" s="163" t="s">
        <v>162</v>
      </c>
      <c r="D618" s="11">
        <v>50</v>
      </c>
      <c r="E618" s="35"/>
      <c r="F618" s="40" t="s">
        <v>58</v>
      </c>
      <c r="G618" s="56" t="s">
        <v>88</v>
      </c>
    </row>
    <row r="619" spans="1:7" ht="15.75">
      <c r="A619" s="246" t="s">
        <v>30</v>
      </c>
      <c r="B619" s="248">
        <v>43682</v>
      </c>
      <c r="C619" s="179" t="s">
        <v>51</v>
      </c>
      <c r="D619" s="96"/>
      <c r="E619" s="153">
        <v>50</v>
      </c>
      <c r="F619" s="97" t="s">
        <v>11</v>
      </c>
      <c r="G619" s="71" t="s">
        <v>52</v>
      </c>
    </row>
    <row r="620" spans="1:7" ht="15.75">
      <c r="A620" s="246" t="s">
        <v>30</v>
      </c>
      <c r="B620" s="248">
        <v>43682</v>
      </c>
      <c r="C620" s="179" t="s">
        <v>267</v>
      </c>
      <c r="D620" s="96"/>
      <c r="E620" s="153">
        <v>40</v>
      </c>
      <c r="F620" s="97" t="s">
        <v>11</v>
      </c>
      <c r="G620" s="154" t="s">
        <v>52</v>
      </c>
    </row>
    <row r="621" spans="1:7" ht="15.75">
      <c r="A621" s="246" t="s">
        <v>30</v>
      </c>
      <c r="B621" s="248">
        <v>43682</v>
      </c>
      <c r="C621" s="163" t="s">
        <v>183</v>
      </c>
      <c r="D621" s="11">
        <f>200+100</f>
        <v>300</v>
      </c>
      <c r="E621" s="35"/>
      <c r="F621" s="40" t="s">
        <v>63</v>
      </c>
      <c r="G621" s="56"/>
    </row>
    <row r="622" spans="1:7" ht="15.75">
      <c r="A622" s="246" t="s">
        <v>30</v>
      </c>
      <c r="B622" s="248">
        <v>43682</v>
      </c>
      <c r="C622" s="163" t="s">
        <v>56</v>
      </c>
      <c r="D622" s="11">
        <v>20</v>
      </c>
      <c r="E622" s="35"/>
      <c r="F622" s="40" t="s">
        <v>63</v>
      </c>
      <c r="G622" s="56"/>
    </row>
    <row r="623" spans="1:7" ht="15.75">
      <c r="A623" s="246" t="s">
        <v>30</v>
      </c>
      <c r="B623" s="248">
        <v>43682</v>
      </c>
      <c r="C623" s="114" t="s">
        <v>47</v>
      </c>
      <c r="D623" s="131">
        <v>200</v>
      </c>
      <c r="E623" s="35"/>
      <c r="F623" s="40" t="s">
        <v>63</v>
      </c>
      <c r="G623" s="132"/>
    </row>
    <row r="624" spans="1:7" ht="16.5" thickBot="1">
      <c r="A624" s="246" t="s">
        <v>30</v>
      </c>
      <c r="B624" s="248">
        <v>43682</v>
      </c>
      <c r="C624" s="160" t="s">
        <v>82</v>
      </c>
      <c r="D624" s="6">
        <f>120+90</f>
        <v>210</v>
      </c>
      <c r="E624" s="35"/>
      <c r="F624" s="40" t="s">
        <v>58</v>
      </c>
      <c r="G624" s="132"/>
    </row>
    <row r="625" spans="1:7" ht="15.75">
      <c r="A625" s="246" t="s">
        <v>30</v>
      </c>
      <c r="B625" s="248">
        <v>43683</v>
      </c>
      <c r="C625" s="165" t="s">
        <v>53</v>
      </c>
      <c r="D625" s="9">
        <v>20</v>
      </c>
      <c r="E625" s="94"/>
      <c r="F625" s="50" t="s">
        <v>50</v>
      </c>
      <c r="G625" s="95"/>
    </row>
    <row r="626" spans="1:7" ht="15.75">
      <c r="A626" s="246" t="s">
        <v>30</v>
      </c>
      <c r="B626" s="248">
        <v>43683</v>
      </c>
      <c r="C626" s="165" t="s">
        <v>268</v>
      </c>
      <c r="D626" s="10">
        <v>40</v>
      </c>
      <c r="E626" s="28"/>
      <c r="F626" s="30" t="s">
        <v>50</v>
      </c>
      <c r="G626" s="55"/>
    </row>
    <row r="627" spans="1:7" ht="15.75">
      <c r="A627" s="246" t="s">
        <v>30</v>
      </c>
      <c r="B627" s="248">
        <v>43683</v>
      </c>
      <c r="C627" s="166" t="s">
        <v>69</v>
      </c>
      <c r="D627" s="37">
        <v>500</v>
      </c>
      <c r="E627" s="28"/>
      <c r="F627" s="30" t="s">
        <v>50</v>
      </c>
      <c r="G627" s="144"/>
    </row>
    <row r="628" spans="1:7" ht="15.75">
      <c r="A628" s="246" t="s">
        <v>30</v>
      </c>
      <c r="B628" s="248">
        <v>43683</v>
      </c>
      <c r="C628" s="159" t="s">
        <v>230</v>
      </c>
      <c r="D628" s="2">
        <v>1000</v>
      </c>
      <c r="E628" s="28"/>
      <c r="F628" s="30" t="s">
        <v>58</v>
      </c>
      <c r="G628" s="145"/>
    </row>
    <row r="629" spans="1:7" ht="15.75">
      <c r="A629" s="246" t="s">
        <v>30</v>
      </c>
      <c r="B629" s="248">
        <v>43683</v>
      </c>
      <c r="C629" s="167" t="s">
        <v>269</v>
      </c>
      <c r="D629" s="49">
        <v>1000</v>
      </c>
      <c r="E629" s="77"/>
      <c r="F629" s="30" t="s">
        <v>58</v>
      </c>
      <c r="G629" s="80"/>
    </row>
    <row r="630" spans="1:7" ht="16.5" thickBot="1">
      <c r="A630" s="246" t="s">
        <v>30</v>
      </c>
      <c r="B630" s="248">
        <v>43683</v>
      </c>
      <c r="C630" s="167" t="s">
        <v>101</v>
      </c>
      <c r="D630" s="49">
        <f>500+175+120</f>
        <v>795</v>
      </c>
      <c r="E630" s="77"/>
      <c r="F630" s="30" t="s">
        <v>11</v>
      </c>
      <c r="G630" s="80"/>
    </row>
    <row r="631" spans="1:7" ht="15.75">
      <c r="A631" s="246" t="s">
        <v>30</v>
      </c>
      <c r="B631" s="248">
        <v>43684</v>
      </c>
      <c r="C631" s="168" t="s">
        <v>123</v>
      </c>
      <c r="D631" s="9">
        <f>2000+20</f>
        <v>2020</v>
      </c>
      <c r="E631" s="9"/>
      <c r="F631" s="50" t="s">
        <v>63</v>
      </c>
      <c r="G631" s="15"/>
    </row>
    <row r="632" spans="1:7" ht="15.75">
      <c r="A632" s="246" t="s">
        <v>30</v>
      </c>
      <c r="B632" s="248">
        <v>43684</v>
      </c>
      <c r="C632" s="165" t="s">
        <v>48</v>
      </c>
      <c r="D632" s="10">
        <v>350</v>
      </c>
      <c r="E632" s="123"/>
      <c r="F632" s="30" t="s">
        <v>58</v>
      </c>
      <c r="G632" s="20"/>
    </row>
    <row r="633" spans="1:7" ht="16.5" thickBot="1">
      <c r="A633" s="246" t="s">
        <v>30</v>
      </c>
      <c r="B633" s="248">
        <v>43684</v>
      </c>
      <c r="C633" s="165" t="s">
        <v>138</v>
      </c>
      <c r="D633" s="10">
        <v>4000</v>
      </c>
      <c r="E633" s="123"/>
      <c r="F633" s="30" t="s">
        <v>44</v>
      </c>
      <c r="G633" s="3" t="s">
        <v>105</v>
      </c>
    </row>
    <row r="634" spans="1:7" ht="15.75">
      <c r="A634" s="246" t="s">
        <v>30</v>
      </c>
      <c r="B634" s="248">
        <v>43685</v>
      </c>
      <c r="C634" s="168" t="s">
        <v>43</v>
      </c>
      <c r="D634" s="17">
        <v>3000</v>
      </c>
      <c r="E634" s="72"/>
      <c r="F634" s="72" t="s">
        <v>63</v>
      </c>
      <c r="G634" s="15"/>
    </row>
    <row r="635" spans="1:7" ht="16.5" thickBot="1">
      <c r="A635" s="246" t="s">
        <v>30</v>
      </c>
      <c r="B635" s="248">
        <v>43685</v>
      </c>
      <c r="C635" s="170" t="s">
        <v>270</v>
      </c>
      <c r="D635" s="65">
        <v>40</v>
      </c>
      <c r="E635" s="51"/>
      <c r="F635" s="51" t="s">
        <v>271</v>
      </c>
      <c r="G635" s="20"/>
    </row>
    <row r="636" spans="1:7" ht="15.75">
      <c r="A636" s="246" t="s">
        <v>30</v>
      </c>
      <c r="B636" s="248">
        <v>43686</v>
      </c>
      <c r="C636" s="171" t="s">
        <v>140</v>
      </c>
      <c r="D636" s="17">
        <v>75</v>
      </c>
      <c r="E636" s="58"/>
      <c r="F636" s="58" t="s">
        <v>50</v>
      </c>
      <c r="G636" s="13"/>
    </row>
    <row r="637" spans="1:7" ht="15.75">
      <c r="A637" s="246" t="s">
        <v>30</v>
      </c>
      <c r="B637" s="248">
        <v>43686</v>
      </c>
      <c r="C637" s="163" t="s">
        <v>75</v>
      </c>
      <c r="D637" s="16">
        <f>60+50</f>
        <v>110</v>
      </c>
      <c r="E637" s="142"/>
      <c r="F637" s="142" t="s">
        <v>92</v>
      </c>
      <c r="G637" s="18" t="s">
        <v>76</v>
      </c>
    </row>
    <row r="638" spans="1:7" ht="15.75">
      <c r="A638" s="246" t="s">
        <v>30</v>
      </c>
      <c r="B638" s="248">
        <v>43686</v>
      </c>
      <c r="C638" s="163" t="s">
        <v>272</v>
      </c>
      <c r="D638" s="16">
        <v>1000</v>
      </c>
      <c r="E638" s="7"/>
      <c r="F638" s="7" t="s">
        <v>92</v>
      </c>
      <c r="G638" s="3" t="s">
        <v>73</v>
      </c>
    </row>
    <row r="639" spans="1:7" ht="15.75">
      <c r="A639" s="246" t="s">
        <v>30</v>
      </c>
      <c r="B639" s="248">
        <v>43686</v>
      </c>
      <c r="C639" s="163" t="s">
        <v>46</v>
      </c>
      <c r="D639" s="16">
        <v>40</v>
      </c>
      <c r="E639" s="51"/>
      <c r="F639" s="51" t="s">
        <v>50</v>
      </c>
      <c r="G639" s="20"/>
    </row>
    <row r="640" spans="1:7" ht="15.75">
      <c r="A640" s="246" t="s">
        <v>30</v>
      </c>
      <c r="B640" s="248">
        <v>43686</v>
      </c>
      <c r="C640" s="163" t="s">
        <v>47</v>
      </c>
      <c r="D640" s="16">
        <v>250</v>
      </c>
      <c r="E640" s="7"/>
      <c r="F640" s="7" t="s">
        <v>50</v>
      </c>
      <c r="G640" s="3"/>
    </row>
    <row r="641" spans="1:7" ht="15.75">
      <c r="A641" s="246" t="s">
        <v>30</v>
      </c>
      <c r="B641" s="248">
        <v>43686</v>
      </c>
      <c r="C641" s="163" t="s">
        <v>78</v>
      </c>
      <c r="D641" s="16">
        <f>80+50</f>
        <v>130</v>
      </c>
      <c r="E641" s="7"/>
      <c r="F641" s="7" t="s">
        <v>50</v>
      </c>
      <c r="G641" s="3"/>
    </row>
    <row r="642" spans="1:7" ht="15.75">
      <c r="A642" s="246" t="s">
        <v>30</v>
      </c>
      <c r="B642" s="248">
        <v>43686</v>
      </c>
      <c r="C642" s="159" t="s">
        <v>250</v>
      </c>
      <c r="D642" s="16">
        <v>20</v>
      </c>
      <c r="E642" s="7"/>
      <c r="F642" s="7" t="s">
        <v>50</v>
      </c>
      <c r="G642" s="155" t="s">
        <v>110</v>
      </c>
    </row>
    <row r="643" spans="1:7" ht="15.75">
      <c r="A643" s="246" t="s">
        <v>30</v>
      </c>
      <c r="B643" s="248">
        <v>43686</v>
      </c>
      <c r="C643" s="163" t="s">
        <v>86</v>
      </c>
      <c r="D643" s="16">
        <v>1000</v>
      </c>
      <c r="E643" s="51"/>
      <c r="F643" s="51" t="s">
        <v>44</v>
      </c>
      <c r="G643" s="20"/>
    </row>
    <row r="644" spans="1:7" ht="16.5" thickBot="1">
      <c r="A644" s="246" t="s">
        <v>30</v>
      </c>
      <c r="B644" s="248">
        <v>43686</v>
      </c>
      <c r="C644" s="163" t="s">
        <v>82</v>
      </c>
      <c r="D644" s="16">
        <v>3000</v>
      </c>
      <c r="E644" s="7"/>
      <c r="F644" s="7" t="s">
        <v>44</v>
      </c>
      <c r="G644" s="3"/>
    </row>
    <row r="645" spans="1:7" ht="15.75">
      <c r="A645" s="246" t="s">
        <v>30</v>
      </c>
      <c r="B645" s="248">
        <v>43689</v>
      </c>
      <c r="C645" s="171" t="s">
        <v>114</v>
      </c>
      <c r="D645" s="17">
        <v>300</v>
      </c>
      <c r="E645" s="17"/>
      <c r="F645" s="17" t="s">
        <v>63</v>
      </c>
      <c r="G645" s="13"/>
    </row>
    <row r="646" spans="1:7" ht="15.75">
      <c r="A646" s="246" t="s">
        <v>30</v>
      </c>
      <c r="B646" s="248">
        <v>43689</v>
      </c>
      <c r="C646" s="163" t="s">
        <v>77</v>
      </c>
      <c r="D646" s="16">
        <v>50</v>
      </c>
      <c r="E646" s="51"/>
      <c r="F646" s="51" t="s">
        <v>63</v>
      </c>
      <c r="G646" s="3"/>
    </row>
    <row r="647" spans="1:7" ht="15.75">
      <c r="A647" s="246" t="s">
        <v>30</v>
      </c>
      <c r="B647" s="248">
        <v>43689</v>
      </c>
      <c r="C647" s="163" t="s">
        <v>62</v>
      </c>
      <c r="D647" s="16">
        <v>1500</v>
      </c>
      <c r="E647" s="7"/>
      <c r="F647" s="7" t="s">
        <v>63</v>
      </c>
      <c r="G647" s="3"/>
    </row>
    <row r="648" spans="1:7" ht="15.75">
      <c r="A648" s="246" t="s">
        <v>30</v>
      </c>
      <c r="B648" s="248">
        <v>43689</v>
      </c>
      <c r="C648" s="163" t="s">
        <v>230</v>
      </c>
      <c r="D648" s="16">
        <v>1200</v>
      </c>
      <c r="E648" s="70"/>
      <c r="F648" s="7" t="s">
        <v>58</v>
      </c>
      <c r="G648" s="3"/>
    </row>
    <row r="649" spans="1:7" ht="15.75">
      <c r="A649" s="246" t="s">
        <v>30</v>
      </c>
      <c r="B649" s="248">
        <v>43689</v>
      </c>
      <c r="C649" s="163" t="s">
        <v>273</v>
      </c>
      <c r="D649" s="16">
        <v>20</v>
      </c>
      <c r="E649" s="70"/>
      <c r="F649" s="7" t="s">
        <v>243</v>
      </c>
      <c r="G649" s="3"/>
    </row>
    <row r="650" spans="1:7" ht="15.75">
      <c r="A650" s="246" t="s">
        <v>30</v>
      </c>
      <c r="B650" s="248">
        <v>43689</v>
      </c>
      <c r="C650" s="163" t="s">
        <v>274</v>
      </c>
      <c r="D650" s="16">
        <v>5</v>
      </c>
      <c r="E650" s="70"/>
      <c r="F650" s="7" t="s">
        <v>243</v>
      </c>
      <c r="G650" s="3" t="s">
        <v>68</v>
      </c>
    </row>
    <row r="651" spans="1:7" ht="15.75">
      <c r="A651" s="246" t="s">
        <v>30</v>
      </c>
      <c r="B651" s="248">
        <v>43689</v>
      </c>
      <c r="C651" s="163" t="s">
        <v>81</v>
      </c>
      <c r="D651" s="16">
        <f>1000+2000+3000</f>
        <v>6000</v>
      </c>
      <c r="E651" s="70"/>
      <c r="F651" s="7" t="s">
        <v>275</v>
      </c>
      <c r="G651" s="3"/>
    </row>
    <row r="652" spans="1:7" ht="16.5" thickBot="1">
      <c r="A652" s="246" t="s">
        <v>30</v>
      </c>
      <c r="B652" s="248">
        <v>43689</v>
      </c>
      <c r="C652" s="160" t="s">
        <v>47</v>
      </c>
      <c r="D652" s="2">
        <v>350</v>
      </c>
      <c r="E652" s="34"/>
      <c r="F652" s="2" t="s">
        <v>243</v>
      </c>
      <c r="G652" s="48" t="s">
        <v>276</v>
      </c>
    </row>
    <row r="653" spans="1:7" ht="15.75">
      <c r="A653" s="246" t="s">
        <v>30</v>
      </c>
      <c r="B653" s="248">
        <v>43690</v>
      </c>
      <c r="C653" s="171" t="s">
        <v>226</v>
      </c>
      <c r="D653" s="9">
        <f>60+60+20</f>
        <v>140</v>
      </c>
      <c r="E653" s="9"/>
      <c r="F653" s="78" t="s">
        <v>50</v>
      </c>
      <c r="G653" s="13"/>
    </row>
    <row r="654" spans="1:7" ht="15.75">
      <c r="A654" s="246" t="s">
        <v>30</v>
      </c>
      <c r="B654" s="248">
        <v>43690</v>
      </c>
      <c r="C654" s="114" t="s">
        <v>79</v>
      </c>
      <c r="D654" s="57">
        <v>700</v>
      </c>
      <c r="E654" s="57"/>
      <c r="F654" s="46" t="s">
        <v>50</v>
      </c>
      <c r="G654" s="3" t="s">
        <v>277</v>
      </c>
    </row>
    <row r="655" spans="1:7" ht="15.75">
      <c r="A655" s="246" t="s">
        <v>30</v>
      </c>
      <c r="B655" s="248">
        <v>43690</v>
      </c>
      <c r="C655" s="160" t="s">
        <v>69</v>
      </c>
      <c r="D655" s="2">
        <v>1000</v>
      </c>
      <c r="E655" s="2"/>
      <c r="F655" s="46" t="s">
        <v>50</v>
      </c>
      <c r="G655" s="3" t="s">
        <v>278</v>
      </c>
    </row>
    <row r="656" spans="1:7" ht="16.5" thickBot="1">
      <c r="A656" s="246" t="s">
        <v>30</v>
      </c>
      <c r="B656" s="248">
        <v>43690</v>
      </c>
      <c r="C656" s="161" t="s">
        <v>81</v>
      </c>
      <c r="D656" s="12">
        <f>4800+5000</f>
        <v>9800</v>
      </c>
      <c r="E656" s="12"/>
      <c r="F656" s="126" t="s">
        <v>50</v>
      </c>
      <c r="G656" s="18"/>
    </row>
    <row r="657" spans="1:7" ht="15.75">
      <c r="A657" s="246" t="s">
        <v>30</v>
      </c>
      <c r="B657" s="248">
        <v>43691</v>
      </c>
      <c r="C657" s="172" t="s">
        <v>279</v>
      </c>
      <c r="D657" s="26">
        <f>210+520+800+1000</f>
        <v>2530</v>
      </c>
      <c r="E657" s="26"/>
      <c r="F657" s="84" t="s">
        <v>58</v>
      </c>
      <c r="G657" s="15"/>
    </row>
    <row r="658" spans="1:7" ht="15.75">
      <c r="A658" s="246" t="s">
        <v>30</v>
      </c>
      <c r="B658" s="248">
        <v>43691</v>
      </c>
      <c r="C658" s="160" t="s">
        <v>280</v>
      </c>
      <c r="D658" s="2">
        <f>2000+2400+3000+1000</f>
        <v>8400</v>
      </c>
      <c r="E658" s="2"/>
      <c r="F658" s="46" t="s">
        <v>63</v>
      </c>
      <c r="G658" s="14"/>
    </row>
    <row r="659" spans="1:7" ht="15.75">
      <c r="A659" s="246" t="s">
        <v>30</v>
      </c>
      <c r="B659" s="248">
        <v>43691</v>
      </c>
      <c r="C659" s="161" t="s">
        <v>184</v>
      </c>
      <c r="D659" s="12">
        <f>1000+1250+640+1200</f>
        <v>4090</v>
      </c>
      <c r="E659" s="12"/>
      <c r="F659" s="126" t="s">
        <v>275</v>
      </c>
      <c r="G659" s="14"/>
    </row>
    <row r="660" spans="1:7" ht="15.75">
      <c r="A660" s="246" t="s">
        <v>30</v>
      </c>
      <c r="B660" s="248">
        <v>43691</v>
      </c>
      <c r="C660" s="161" t="s">
        <v>56</v>
      </c>
      <c r="D660" s="12">
        <v>2000</v>
      </c>
      <c r="E660" s="12"/>
      <c r="F660" s="126" t="s">
        <v>275</v>
      </c>
      <c r="G660" s="14"/>
    </row>
    <row r="661" spans="1:7" ht="16.5" thickBot="1">
      <c r="A661" s="246" t="s">
        <v>30</v>
      </c>
      <c r="B661" s="248">
        <v>43691</v>
      </c>
      <c r="C661" s="161" t="s">
        <v>281</v>
      </c>
      <c r="D661" s="12">
        <v>20</v>
      </c>
      <c r="E661" s="12"/>
      <c r="F661" s="126" t="s">
        <v>63</v>
      </c>
      <c r="G661" s="14"/>
    </row>
    <row r="662" spans="1:7" ht="15.75">
      <c r="A662" s="246" t="s">
        <v>30</v>
      </c>
      <c r="B662" s="248">
        <v>43692</v>
      </c>
      <c r="C662" s="171" t="s">
        <v>97</v>
      </c>
      <c r="D662" s="9">
        <v>100</v>
      </c>
      <c r="E662" s="68"/>
      <c r="F662" s="69" t="s">
        <v>50</v>
      </c>
      <c r="G662" s="15"/>
    </row>
    <row r="663" spans="1:7" ht="16.5" thickBot="1">
      <c r="A663" s="246" t="s">
        <v>30</v>
      </c>
      <c r="B663" s="248">
        <v>43692</v>
      </c>
      <c r="C663" s="114" t="s">
        <v>241</v>
      </c>
      <c r="D663" s="57">
        <f>120+150+60+125+220+180</f>
        <v>855</v>
      </c>
      <c r="E663" s="120"/>
      <c r="F663" s="62" t="s">
        <v>92</v>
      </c>
      <c r="G663" s="20"/>
    </row>
    <row r="664" spans="1:7" ht="15.75">
      <c r="A664" s="246" t="s">
        <v>30</v>
      </c>
      <c r="B664" s="248">
        <v>43693</v>
      </c>
      <c r="C664" s="174" t="s">
        <v>57</v>
      </c>
      <c r="D664" s="26">
        <v>75</v>
      </c>
      <c r="E664" s="39"/>
      <c r="F664" s="39" t="s">
        <v>282</v>
      </c>
      <c r="G664" s="13"/>
    </row>
    <row r="665" spans="1:7" ht="16.5" thickBot="1">
      <c r="A665" s="246" t="s">
        <v>30</v>
      </c>
      <c r="B665" s="248">
        <v>43693</v>
      </c>
      <c r="C665" s="159" t="s">
        <v>48</v>
      </c>
      <c r="D665" s="2">
        <v>600</v>
      </c>
      <c r="E665" s="2"/>
      <c r="F665" s="2" t="s">
        <v>63</v>
      </c>
      <c r="G665" s="3"/>
    </row>
    <row r="666" spans="1:7" ht="15.75">
      <c r="A666" s="246" t="s">
        <v>30</v>
      </c>
      <c r="B666" s="248">
        <v>43696</v>
      </c>
      <c r="C666" s="174" t="s">
        <v>103</v>
      </c>
      <c r="D666" s="26">
        <v>200</v>
      </c>
      <c r="E666" s="39"/>
      <c r="F666" s="39" t="s">
        <v>58</v>
      </c>
      <c r="G666" s="13"/>
    </row>
    <row r="667" spans="1:7" ht="15.75">
      <c r="A667" s="246" t="s">
        <v>30</v>
      </c>
      <c r="B667" s="248">
        <v>43696</v>
      </c>
      <c r="C667" s="184" t="s">
        <v>147</v>
      </c>
      <c r="D667" s="67">
        <f>180+600</f>
        <v>780</v>
      </c>
      <c r="E667" s="67"/>
      <c r="F667" s="67" t="s">
        <v>92</v>
      </c>
      <c r="G667" s="117" t="s">
        <v>283</v>
      </c>
    </row>
    <row r="668" spans="1:7" ht="15.75">
      <c r="A668" s="246" t="s">
        <v>30</v>
      </c>
      <c r="B668" s="248">
        <v>43696</v>
      </c>
      <c r="C668" s="167" t="s">
        <v>55</v>
      </c>
      <c r="D668" s="2">
        <f>150+50</f>
        <v>200</v>
      </c>
      <c r="E668" s="2"/>
      <c r="F668" s="2" t="s">
        <v>63</v>
      </c>
      <c r="G668" s="3"/>
    </row>
    <row r="669" spans="1:7" ht="15.75">
      <c r="A669" s="246" t="s">
        <v>30</v>
      </c>
      <c r="B669" s="248">
        <v>43696</v>
      </c>
      <c r="C669" s="167" t="s">
        <v>255</v>
      </c>
      <c r="D669" s="2">
        <v>40</v>
      </c>
      <c r="E669" s="2"/>
      <c r="F669" s="2" t="s">
        <v>63</v>
      </c>
      <c r="G669" s="3"/>
    </row>
    <row r="670" spans="1:7" ht="15.75">
      <c r="A670" s="246" t="s">
        <v>30</v>
      </c>
      <c r="B670" s="248">
        <v>43696</v>
      </c>
      <c r="C670" s="167" t="s">
        <v>284</v>
      </c>
      <c r="D670" s="2">
        <v>100</v>
      </c>
      <c r="E670" s="2"/>
      <c r="F670" s="2" t="s">
        <v>63</v>
      </c>
      <c r="G670" s="3"/>
    </row>
    <row r="671" spans="1:7" ht="16.5" thickBot="1">
      <c r="A671" s="246" t="s">
        <v>30</v>
      </c>
      <c r="B671" s="248">
        <v>43696</v>
      </c>
      <c r="C671" s="30" t="s">
        <v>146</v>
      </c>
      <c r="D671" s="2">
        <f>22.7+11.35</f>
        <v>34.049999999999997</v>
      </c>
      <c r="E671" s="2"/>
      <c r="F671" s="2" t="s">
        <v>63</v>
      </c>
      <c r="G671" s="3"/>
    </row>
    <row r="672" spans="1:7" ht="15.75">
      <c r="A672" s="246" t="s">
        <v>30</v>
      </c>
      <c r="B672" s="248">
        <v>43697</v>
      </c>
      <c r="C672" s="172" t="s">
        <v>156</v>
      </c>
      <c r="D672" s="58">
        <v>1000</v>
      </c>
      <c r="E672" s="58"/>
      <c r="F672" s="76" t="s">
        <v>11</v>
      </c>
      <c r="G672" s="63"/>
    </row>
    <row r="673" spans="1:7" ht="15.75">
      <c r="A673" s="246" t="s">
        <v>30</v>
      </c>
      <c r="B673" s="248">
        <v>43697</v>
      </c>
      <c r="C673" s="176" t="s">
        <v>69</v>
      </c>
      <c r="D673" s="7">
        <f>500+25</f>
        <v>525</v>
      </c>
      <c r="E673" s="7"/>
      <c r="F673" s="7" t="s">
        <v>58</v>
      </c>
      <c r="G673" s="56"/>
    </row>
    <row r="674" spans="1:7" ht="15.75">
      <c r="A674" s="246" t="s">
        <v>30</v>
      </c>
      <c r="B674" s="248">
        <v>43697</v>
      </c>
      <c r="C674" s="114" t="s">
        <v>262</v>
      </c>
      <c r="D674" s="65">
        <v>22.7</v>
      </c>
      <c r="E674" s="65"/>
      <c r="F674" s="51" t="s">
        <v>58</v>
      </c>
      <c r="G674" s="141"/>
    </row>
    <row r="675" spans="1:7" ht="16.5" thickBot="1">
      <c r="A675" s="246" t="s">
        <v>30</v>
      </c>
      <c r="B675" s="248">
        <v>43697</v>
      </c>
      <c r="C675" s="160" t="s">
        <v>82</v>
      </c>
      <c r="D675" s="7">
        <f>4050+2000</f>
        <v>6050</v>
      </c>
      <c r="E675" s="7"/>
      <c r="F675" s="70" t="s">
        <v>50</v>
      </c>
      <c r="G675" s="56"/>
    </row>
    <row r="676" spans="1:7" ht="15.75">
      <c r="A676" s="246" t="s">
        <v>30</v>
      </c>
      <c r="B676" s="248">
        <v>43698</v>
      </c>
      <c r="C676" s="180" t="s">
        <v>125</v>
      </c>
      <c r="D676" s="125">
        <v>50</v>
      </c>
      <c r="E676" s="125"/>
      <c r="F676" s="156" t="s">
        <v>44</v>
      </c>
      <c r="G676" s="99" t="s">
        <v>84</v>
      </c>
    </row>
    <row r="677" spans="1:7" ht="15.75">
      <c r="A677" s="246" t="s">
        <v>30</v>
      </c>
      <c r="B677" s="248">
        <v>43698</v>
      </c>
      <c r="C677" s="163" t="s">
        <v>64</v>
      </c>
      <c r="D677" s="2">
        <v>1000</v>
      </c>
      <c r="E677" s="2"/>
      <c r="F677" s="2" t="s">
        <v>63</v>
      </c>
      <c r="G677" s="3" t="s">
        <v>73</v>
      </c>
    </row>
    <row r="678" spans="1:7" ht="15.75">
      <c r="A678" s="246" t="s">
        <v>30</v>
      </c>
      <c r="B678" s="248">
        <v>43698</v>
      </c>
      <c r="C678" s="163" t="s">
        <v>285</v>
      </c>
      <c r="D678" s="57">
        <v>550</v>
      </c>
      <c r="E678" s="57"/>
      <c r="F678" s="36" t="s">
        <v>50</v>
      </c>
      <c r="G678" s="20" t="s">
        <v>169</v>
      </c>
    </row>
    <row r="679" spans="1:7" ht="16.5" thickBot="1">
      <c r="A679" s="246" t="s">
        <v>30</v>
      </c>
      <c r="B679" s="248">
        <v>43698</v>
      </c>
      <c r="C679" s="163" t="s">
        <v>104</v>
      </c>
      <c r="D679" s="2">
        <v>8000</v>
      </c>
      <c r="E679" s="2"/>
      <c r="F679" s="2" t="s">
        <v>63</v>
      </c>
      <c r="G679" s="3" t="s">
        <v>105</v>
      </c>
    </row>
    <row r="680" spans="1:7" ht="15.75">
      <c r="A680" s="246" t="s">
        <v>30</v>
      </c>
      <c r="B680" s="248">
        <v>43699</v>
      </c>
      <c r="C680" s="180" t="s">
        <v>94</v>
      </c>
      <c r="D680" s="102">
        <v>2000</v>
      </c>
      <c r="E680" s="102"/>
      <c r="F680" s="157" t="s">
        <v>58</v>
      </c>
      <c r="G680" s="103" t="s">
        <v>95</v>
      </c>
    </row>
    <row r="681" spans="1:7" ht="16.5" thickBot="1">
      <c r="A681" s="246" t="s">
        <v>30</v>
      </c>
      <c r="B681" s="248">
        <v>43699</v>
      </c>
      <c r="C681" s="114" t="s">
        <v>192</v>
      </c>
      <c r="D681" s="57">
        <v>4050</v>
      </c>
      <c r="E681" s="12"/>
      <c r="F681" s="38" t="s">
        <v>50</v>
      </c>
      <c r="G681" s="18"/>
    </row>
    <row r="682" spans="1:7" ht="15.75">
      <c r="A682" s="246" t="s">
        <v>30</v>
      </c>
      <c r="B682" s="248">
        <v>43700</v>
      </c>
      <c r="C682" s="172" t="s">
        <v>286</v>
      </c>
      <c r="D682" s="26">
        <v>40</v>
      </c>
      <c r="E682" s="39"/>
      <c r="F682" s="39" t="s">
        <v>44</v>
      </c>
      <c r="G682" s="13"/>
    </row>
    <row r="683" spans="1:7" ht="15.75">
      <c r="A683" s="246" t="s">
        <v>30</v>
      </c>
      <c r="B683" s="248">
        <v>43700</v>
      </c>
      <c r="C683" s="164" t="s">
        <v>51</v>
      </c>
      <c r="D683" s="82"/>
      <c r="E683" s="82">
        <f>20+5</f>
        <v>25</v>
      </c>
      <c r="F683" s="82" t="s">
        <v>11</v>
      </c>
      <c r="G683" s="64" t="s">
        <v>52</v>
      </c>
    </row>
    <row r="684" spans="1:7" ht="15.75">
      <c r="A684" s="246" t="s">
        <v>30</v>
      </c>
      <c r="B684" s="248">
        <v>43700</v>
      </c>
      <c r="C684" s="160" t="s">
        <v>127</v>
      </c>
      <c r="D684" s="2">
        <v>25</v>
      </c>
      <c r="E684" s="12"/>
      <c r="F684" s="38" t="s">
        <v>58</v>
      </c>
      <c r="G684" s="18"/>
    </row>
    <row r="685" spans="1:7" ht="15.75">
      <c r="A685" s="246" t="s">
        <v>30</v>
      </c>
      <c r="B685" s="248">
        <v>43700</v>
      </c>
      <c r="C685" s="161" t="s">
        <v>228</v>
      </c>
      <c r="D685" s="12">
        <v>25</v>
      </c>
      <c r="E685" s="12"/>
      <c r="F685" s="38" t="s">
        <v>58</v>
      </c>
      <c r="G685" s="18"/>
    </row>
    <row r="686" spans="1:7" ht="15.75">
      <c r="A686" s="246" t="s">
        <v>30</v>
      </c>
      <c r="B686" s="248">
        <v>43700</v>
      </c>
      <c r="C686" s="161" t="s">
        <v>287</v>
      </c>
      <c r="D686" s="12">
        <f>20+20</f>
        <v>40</v>
      </c>
      <c r="E686" s="12"/>
      <c r="F686" s="38" t="s">
        <v>288</v>
      </c>
      <c r="G686" s="18" t="s">
        <v>289</v>
      </c>
    </row>
    <row r="687" spans="1:7" ht="15.75">
      <c r="A687" s="246" t="s">
        <v>30</v>
      </c>
      <c r="B687" s="248">
        <v>43700</v>
      </c>
      <c r="C687" s="161" t="s">
        <v>287</v>
      </c>
      <c r="D687" s="12">
        <f>40+40</f>
        <v>80</v>
      </c>
      <c r="E687" s="12"/>
      <c r="F687" s="38" t="s">
        <v>58</v>
      </c>
      <c r="G687" s="18" t="s">
        <v>290</v>
      </c>
    </row>
    <row r="688" spans="1:7" ht="15.75">
      <c r="A688" s="246" t="s">
        <v>30</v>
      </c>
      <c r="B688" s="248">
        <v>43700</v>
      </c>
      <c r="C688" s="161" t="s">
        <v>219</v>
      </c>
      <c r="D688" s="12">
        <v>200</v>
      </c>
      <c r="E688" s="12"/>
      <c r="F688" s="38" t="s">
        <v>58</v>
      </c>
      <c r="G688" s="18"/>
    </row>
    <row r="689" spans="1:7" ht="16.5" thickBot="1">
      <c r="A689" s="246" t="s">
        <v>30</v>
      </c>
      <c r="B689" s="248">
        <v>43700</v>
      </c>
      <c r="C689" s="161" t="s">
        <v>291</v>
      </c>
      <c r="D689" s="12">
        <v>200</v>
      </c>
      <c r="E689" s="12"/>
      <c r="F689" s="38" t="s">
        <v>58</v>
      </c>
      <c r="G689" s="18"/>
    </row>
    <row r="690" spans="1:7" ht="15.75">
      <c r="A690" s="246" t="s">
        <v>30</v>
      </c>
      <c r="B690" s="248">
        <v>43703</v>
      </c>
      <c r="C690" s="172" t="s">
        <v>72</v>
      </c>
      <c r="D690" s="58">
        <v>250</v>
      </c>
      <c r="E690" s="59"/>
      <c r="F690" s="58" t="s">
        <v>58</v>
      </c>
      <c r="G690" s="22"/>
    </row>
    <row r="691" spans="1:7" ht="15.75">
      <c r="A691" s="246" t="s">
        <v>30</v>
      </c>
      <c r="B691" s="248">
        <v>43703</v>
      </c>
      <c r="C691" s="160" t="s">
        <v>47</v>
      </c>
      <c r="D691" s="7">
        <v>300</v>
      </c>
      <c r="E691" s="7"/>
      <c r="F691" s="7" t="s">
        <v>44</v>
      </c>
      <c r="G691" s="3"/>
    </row>
    <row r="692" spans="1:7" ht="16.5" thickBot="1">
      <c r="A692" s="246" t="s">
        <v>30</v>
      </c>
      <c r="B692" s="248">
        <v>43703</v>
      </c>
      <c r="C692" s="160" t="s">
        <v>82</v>
      </c>
      <c r="D692" s="142">
        <f>200+3925</f>
        <v>4125</v>
      </c>
      <c r="E692" s="143"/>
      <c r="F692" s="7" t="s">
        <v>44</v>
      </c>
      <c r="G692" s="47"/>
    </row>
    <row r="693" spans="1:7" ht="15.75">
      <c r="A693" s="246" t="s">
        <v>30</v>
      </c>
      <c r="B693" s="248">
        <v>43704</v>
      </c>
      <c r="C693" s="172" t="s">
        <v>177</v>
      </c>
      <c r="D693" s="58">
        <v>1000</v>
      </c>
      <c r="E693" s="59"/>
      <c r="F693" s="58" t="s">
        <v>63</v>
      </c>
      <c r="G693" s="13"/>
    </row>
    <row r="694" spans="1:7" ht="15.75">
      <c r="A694" s="246" t="s">
        <v>30</v>
      </c>
      <c r="B694" s="248">
        <v>43704</v>
      </c>
      <c r="C694" s="160" t="s">
        <v>69</v>
      </c>
      <c r="D694" s="7">
        <f>500+50</f>
        <v>550</v>
      </c>
      <c r="E694" s="7"/>
      <c r="F694" s="7" t="s">
        <v>243</v>
      </c>
      <c r="G694" s="3"/>
    </row>
    <row r="695" spans="1:7" ht="15.75">
      <c r="A695" s="246" t="s">
        <v>30</v>
      </c>
      <c r="B695" s="248">
        <v>43704</v>
      </c>
      <c r="C695" s="114" t="s">
        <v>292</v>
      </c>
      <c r="D695" s="65">
        <v>25</v>
      </c>
      <c r="E695" s="115"/>
      <c r="F695" s="65" t="s">
        <v>243</v>
      </c>
      <c r="G695" s="20"/>
    </row>
    <row r="696" spans="1:7" ht="16.5" thickBot="1">
      <c r="A696" s="246" t="s">
        <v>30</v>
      </c>
      <c r="B696" s="248">
        <v>43704</v>
      </c>
      <c r="C696" s="160" t="s">
        <v>219</v>
      </c>
      <c r="D696" s="7">
        <v>120</v>
      </c>
      <c r="E696" s="7"/>
      <c r="F696" s="7" t="s">
        <v>243</v>
      </c>
      <c r="G696" s="3"/>
    </row>
    <row r="697" spans="1:7" ht="15.75">
      <c r="A697" s="246" t="s">
        <v>30</v>
      </c>
      <c r="B697" s="248">
        <v>43705</v>
      </c>
      <c r="C697" s="171" t="s">
        <v>207</v>
      </c>
      <c r="D697" s="9">
        <v>900</v>
      </c>
      <c r="E697" s="52"/>
      <c r="F697" s="9" t="s">
        <v>44</v>
      </c>
      <c r="G697" s="15"/>
    </row>
    <row r="698" spans="1:7" ht="15.75">
      <c r="A698" s="246" t="s">
        <v>30</v>
      </c>
      <c r="B698" s="248">
        <v>43705</v>
      </c>
      <c r="C698" s="163" t="s">
        <v>56</v>
      </c>
      <c r="D698" s="10">
        <v>2500</v>
      </c>
      <c r="E698" s="53"/>
      <c r="F698" s="10" t="s">
        <v>44</v>
      </c>
      <c r="G698" s="14"/>
    </row>
    <row r="699" spans="1:7" ht="16.5" thickBot="1">
      <c r="A699" s="246" t="s">
        <v>30</v>
      </c>
      <c r="B699" s="248">
        <v>43705</v>
      </c>
      <c r="C699" s="160" t="s">
        <v>293</v>
      </c>
      <c r="D699" s="2">
        <v>800</v>
      </c>
      <c r="E699" s="113"/>
      <c r="F699" s="2" t="s">
        <v>92</v>
      </c>
      <c r="G699" s="3"/>
    </row>
    <row r="700" spans="1:7" ht="15.75">
      <c r="A700" s="246" t="s">
        <v>30</v>
      </c>
      <c r="B700" s="248">
        <v>43706</v>
      </c>
      <c r="C700" s="168" t="s">
        <v>118</v>
      </c>
      <c r="D700" s="9">
        <v>125</v>
      </c>
      <c r="E700" s="32"/>
      <c r="F700" s="9" t="s">
        <v>92</v>
      </c>
      <c r="G700" s="22"/>
    </row>
    <row r="701" spans="1:7" ht="15.75">
      <c r="A701" s="246" t="s">
        <v>30</v>
      </c>
      <c r="B701" s="248">
        <v>43706</v>
      </c>
      <c r="C701" s="165" t="s">
        <v>48</v>
      </c>
      <c r="D701" s="10">
        <v>600</v>
      </c>
      <c r="E701" s="2"/>
      <c r="F701" s="10" t="s">
        <v>50</v>
      </c>
      <c r="G701" s="3"/>
    </row>
    <row r="702" spans="1:7" ht="15.75">
      <c r="A702" s="246" t="s">
        <v>30</v>
      </c>
      <c r="B702" s="248">
        <v>43706</v>
      </c>
      <c r="C702" s="165" t="s">
        <v>132</v>
      </c>
      <c r="D702" s="10">
        <v>1000</v>
      </c>
      <c r="E702" s="2"/>
      <c r="F702" s="10" t="s">
        <v>50</v>
      </c>
      <c r="G702" s="3"/>
    </row>
    <row r="703" spans="1:7" ht="15.75">
      <c r="A703" s="246" t="s">
        <v>30</v>
      </c>
      <c r="B703" s="248">
        <v>43706</v>
      </c>
      <c r="C703" s="165" t="s">
        <v>47</v>
      </c>
      <c r="D703" s="10">
        <v>300</v>
      </c>
      <c r="E703" s="2"/>
      <c r="F703" s="10" t="s">
        <v>50</v>
      </c>
      <c r="G703" s="3"/>
    </row>
    <row r="704" spans="1:7" ht="15.75">
      <c r="A704" s="246" t="s">
        <v>30</v>
      </c>
      <c r="B704" s="248">
        <v>43706</v>
      </c>
      <c r="C704" s="165" t="s">
        <v>294</v>
      </c>
      <c r="D704" s="10">
        <v>200</v>
      </c>
      <c r="E704" s="2"/>
      <c r="F704" s="10" t="s">
        <v>50</v>
      </c>
      <c r="G704" s="3"/>
    </row>
    <row r="705" spans="1:7" ht="15.75">
      <c r="A705" s="246" t="s">
        <v>30</v>
      </c>
      <c r="B705" s="248">
        <v>43706</v>
      </c>
      <c r="C705" s="160" t="s">
        <v>90</v>
      </c>
      <c r="D705" s="2">
        <v>100</v>
      </c>
      <c r="E705" s="2"/>
      <c r="F705" s="2" t="s">
        <v>50</v>
      </c>
      <c r="G705" s="3"/>
    </row>
    <row r="706" spans="1:7" ht="16.5" thickBot="1">
      <c r="A706" s="246" t="s">
        <v>30</v>
      </c>
      <c r="B706" s="248">
        <v>43706</v>
      </c>
      <c r="C706" s="114" t="s">
        <v>122</v>
      </c>
      <c r="D706" s="57">
        <v>4000</v>
      </c>
      <c r="E706" s="57"/>
      <c r="F706" s="36" t="s">
        <v>63</v>
      </c>
      <c r="G706" s="20"/>
    </row>
    <row r="707" spans="1:7" ht="15.75">
      <c r="A707" s="246" t="s">
        <v>30</v>
      </c>
      <c r="B707" s="248">
        <v>43707</v>
      </c>
      <c r="C707" s="168" t="s">
        <v>156</v>
      </c>
      <c r="D707" s="9">
        <f>390+520+500+1000</f>
        <v>2410</v>
      </c>
      <c r="E707" s="32"/>
      <c r="F707" s="78" t="s">
        <v>92</v>
      </c>
      <c r="G707" s="22"/>
    </row>
    <row r="708" spans="1:7" ht="15.75">
      <c r="A708" s="246" t="s">
        <v>30</v>
      </c>
      <c r="B708" s="248">
        <v>43707</v>
      </c>
      <c r="C708" s="165" t="s">
        <v>287</v>
      </c>
      <c r="D708" s="10">
        <v>50</v>
      </c>
      <c r="E708" s="2"/>
      <c r="F708" s="46" t="s">
        <v>243</v>
      </c>
      <c r="G708" s="3"/>
    </row>
    <row r="709" spans="1:7" ht="15.75">
      <c r="A709" s="246" t="s">
        <v>30</v>
      </c>
      <c r="B709" s="248">
        <v>43707</v>
      </c>
      <c r="C709" s="165" t="s">
        <v>295</v>
      </c>
      <c r="D709" s="10">
        <v>20</v>
      </c>
      <c r="E709" s="37"/>
      <c r="F709" s="44" t="s">
        <v>44</v>
      </c>
      <c r="G709" s="24"/>
    </row>
    <row r="710" spans="1:7" ht="15.75">
      <c r="A710" s="246" t="s">
        <v>30</v>
      </c>
      <c r="B710" s="248">
        <v>43707</v>
      </c>
      <c r="C710" s="165" t="s">
        <v>48</v>
      </c>
      <c r="D710" s="10">
        <v>400</v>
      </c>
      <c r="E710" s="2"/>
      <c r="F710" s="44" t="s">
        <v>44</v>
      </c>
      <c r="G710" s="3"/>
    </row>
    <row r="711" spans="1:7" ht="15.75">
      <c r="A711" s="246" t="s">
        <v>30</v>
      </c>
      <c r="B711" s="248">
        <v>43707</v>
      </c>
      <c r="C711" s="159" t="s">
        <v>145</v>
      </c>
      <c r="D711" s="2">
        <v>20</v>
      </c>
      <c r="E711" s="2"/>
      <c r="F711" s="46" t="s">
        <v>243</v>
      </c>
      <c r="G711" s="3"/>
    </row>
    <row r="712" spans="1:7" ht="16.5" thickBot="1">
      <c r="A712" s="246" t="s">
        <v>30</v>
      </c>
      <c r="B712" s="248">
        <v>43707</v>
      </c>
      <c r="C712" s="161" t="s">
        <v>296</v>
      </c>
      <c r="D712" s="12">
        <v>20</v>
      </c>
      <c r="E712" s="12"/>
      <c r="F712" s="38" t="s">
        <v>44</v>
      </c>
      <c r="G712" s="18"/>
    </row>
    <row r="713" spans="1:7" ht="16.5" thickBot="1">
      <c r="A713" s="246" t="s">
        <v>31</v>
      </c>
      <c r="B713" s="250">
        <v>43710</v>
      </c>
      <c r="C713" s="50" t="s">
        <v>91</v>
      </c>
      <c r="D713" s="27">
        <v>125</v>
      </c>
      <c r="E713" s="33"/>
      <c r="F713" s="45" t="s">
        <v>50</v>
      </c>
      <c r="G713" s="13"/>
    </row>
    <row r="714" spans="1:7" ht="16.5" thickBot="1">
      <c r="A714" s="246" t="s">
        <v>31</v>
      </c>
      <c r="B714" s="250">
        <v>43710</v>
      </c>
      <c r="C714" s="30" t="s">
        <v>157</v>
      </c>
      <c r="D714" s="6">
        <v>150</v>
      </c>
      <c r="E714" s="6"/>
      <c r="F714" s="46" t="s">
        <v>50</v>
      </c>
      <c r="G714" s="3"/>
    </row>
    <row r="715" spans="1:7" ht="16.5" thickBot="1">
      <c r="A715" s="246" t="s">
        <v>31</v>
      </c>
      <c r="B715" s="250">
        <v>43710</v>
      </c>
      <c r="C715" s="149" t="s">
        <v>124</v>
      </c>
      <c r="D715" s="6">
        <v>250</v>
      </c>
      <c r="E715" s="6"/>
      <c r="F715" s="46" t="s">
        <v>50</v>
      </c>
      <c r="G715" s="3"/>
    </row>
    <row r="716" spans="1:7" ht="16.5" thickBot="1">
      <c r="A716" s="246" t="s">
        <v>31</v>
      </c>
      <c r="B716" s="250">
        <v>43710</v>
      </c>
      <c r="C716" s="1" t="s">
        <v>54</v>
      </c>
      <c r="D716" s="2">
        <f>3500+60</f>
        <v>3560</v>
      </c>
      <c r="E716" s="2"/>
      <c r="F716" s="2" t="s">
        <v>63</v>
      </c>
      <c r="G716" s="3"/>
    </row>
    <row r="717" spans="1:7" ht="16.5" thickBot="1">
      <c r="A717" s="246" t="s">
        <v>31</v>
      </c>
      <c r="B717" s="250">
        <v>43710</v>
      </c>
      <c r="C717" s="5" t="s">
        <v>107</v>
      </c>
      <c r="D717" s="12"/>
      <c r="E717" s="12">
        <v>400</v>
      </c>
      <c r="F717" s="38" t="s">
        <v>11</v>
      </c>
      <c r="G717" s="18" t="s">
        <v>108</v>
      </c>
    </row>
    <row r="718" spans="1:7" ht="16.5" thickBot="1">
      <c r="A718" s="246" t="s">
        <v>31</v>
      </c>
      <c r="B718" s="250">
        <v>43710</v>
      </c>
      <c r="C718" s="5" t="s">
        <v>62</v>
      </c>
      <c r="D718" s="12">
        <v>1500</v>
      </c>
      <c r="E718" s="12"/>
      <c r="F718" s="38" t="s">
        <v>63</v>
      </c>
      <c r="G718" s="18"/>
    </row>
    <row r="719" spans="1:7" ht="16.5" thickBot="1">
      <c r="A719" s="246" t="s">
        <v>31</v>
      </c>
      <c r="B719" s="250">
        <v>43710</v>
      </c>
      <c r="C719" s="5" t="s">
        <v>270</v>
      </c>
      <c r="D719" s="12">
        <v>40</v>
      </c>
      <c r="E719" s="12"/>
      <c r="F719" s="38" t="s">
        <v>11</v>
      </c>
      <c r="G719" s="18"/>
    </row>
    <row r="720" spans="1:7" ht="16.5" thickBot="1">
      <c r="A720" s="246" t="s">
        <v>31</v>
      </c>
      <c r="B720" s="250">
        <v>43710</v>
      </c>
      <c r="C720" s="5" t="s">
        <v>292</v>
      </c>
      <c r="D720" s="12">
        <v>25</v>
      </c>
      <c r="E720" s="12"/>
      <c r="F720" s="38" t="s">
        <v>50</v>
      </c>
      <c r="G720" s="18" t="s">
        <v>297</v>
      </c>
    </row>
    <row r="721" spans="1:7" ht="16.5" thickBot="1">
      <c r="A721" s="246" t="s">
        <v>31</v>
      </c>
      <c r="B721" s="251">
        <v>43711</v>
      </c>
      <c r="C721" s="81" t="s">
        <v>51</v>
      </c>
      <c r="D721" s="110"/>
      <c r="E721" s="110">
        <f>20+20</f>
        <v>40</v>
      </c>
      <c r="F721" s="83" t="s">
        <v>11</v>
      </c>
      <c r="G721" s="185" t="s">
        <v>52</v>
      </c>
    </row>
    <row r="722" spans="1:7" ht="16.5" thickBot="1">
      <c r="A722" s="246" t="s">
        <v>31</v>
      </c>
      <c r="B722" s="251">
        <v>43711</v>
      </c>
      <c r="C722" s="8" t="s">
        <v>69</v>
      </c>
      <c r="D722" s="11">
        <v>500</v>
      </c>
      <c r="E722" s="11"/>
      <c r="F722" s="40" t="s">
        <v>58</v>
      </c>
      <c r="G722" s="14"/>
    </row>
    <row r="723" spans="1:7" ht="16.5" thickBot="1">
      <c r="A723" s="246" t="s">
        <v>31</v>
      </c>
      <c r="B723" s="251">
        <v>43711</v>
      </c>
      <c r="C723" s="1" t="s">
        <v>183</v>
      </c>
      <c r="D723" s="6">
        <v>50</v>
      </c>
      <c r="E723" s="6"/>
      <c r="F723" s="46" t="s">
        <v>58</v>
      </c>
      <c r="G723" s="3"/>
    </row>
    <row r="724" spans="1:7" ht="16.5" thickBot="1">
      <c r="A724" s="246" t="s">
        <v>31</v>
      </c>
      <c r="B724" s="251">
        <v>43711</v>
      </c>
      <c r="C724" s="1" t="s">
        <v>152</v>
      </c>
      <c r="D724" s="6">
        <v>100</v>
      </c>
      <c r="E724" s="6"/>
      <c r="F724" s="46" t="s">
        <v>58</v>
      </c>
      <c r="G724" s="3"/>
    </row>
    <row r="725" spans="1:7" ht="16.5" thickBot="1">
      <c r="A725" s="246" t="s">
        <v>31</v>
      </c>
      <c r="B725" s="251">
        <v>43712</v>
      </c>
      <c r="C725" s="1" t="s">
        <v>226</v>
      </c>
      <c r="D725" s="6">
        <f>80+60+20</f>
        <v>160</v>
      </c>
      <c r="E725" s="6"/>
      <c r="F725" s="46" t="s">
        <v>50</v>
      </c>
      <c r="G725" s="63"/>
    </row>
    <row r="726" spans="1:7" ht="16.5" thickBot="1">
      <c r="A726" s="246" t="s">
        <v>31</v>
      </c>
      <c r="B726" s="251">
        <v>43712</v>
      </c>
      <c r="C726" s="8" t="s">
        <v>104</v>
      </c>
      <c r="D726" s="11">
        <v>4000</v>
      </c>
      <c r="E726" s="35"/>
      <c r="F726" s="40" t="s">
        <v>44</v>
      </c>
      <c r="G726" s="56"/>
    </row>
    <row r="727" spans="1:7" ht="16.5" thickBot="1">
      <c r="A727" s="246" t="s">
        <v>31</v>
      </c>
      <c r="B727" s="251">
        <v>43713</v>
      </c>
      <c r="C727" s="29" t="s">
        <v>43</v>
      </c>
      <c r="D727" s="9">
        <v>2000</v>
      </c>
      <c r="E727" s="94"/>
      <c r="F727" s="50" t="s">
        <v>63</v>
      </c>
      <c r="G727" s="95"/>
    </row>
    <row r="728" spans="1:7" ht="16.5" thickBot="1">
      <c r="A728" s="246" t="s">
        <v>31</v>
      </c>
      <c r="B728" s="251">
        <v>43713</v>
      </c>
      <c r="C728" s="118" t="s">
        <v>199</v>
      </c>
      <c r="D728" s="119">
        <f>200+50</f>
        <v>250</v>
      </c>
      <c r="E728" s="186"/>
      <c r="F728" s="111" t="s">
        <v>58</v>
      </c>
      <c r="G728" s="187" t="s">
        <v>258</v>
      </c>
    </row>
    <row r="729" spans="1:7" ht="16.5" thickBot="1">
      <c r="A729" s="246" t="s">
        <v>31</v>
      </c>
      <c r="B729" s="251">
        <v>43713</v>
      </c>
      <c r="C729" s="92" t="s">
        <v>80</v>
      </c>
      <c r="D729" s="37">
        <v>1000</v>
      </c>
      <c r="E729" s="28"/>
      <c r="F729" s="30" t="s">
        <v>63</v>
      </c>
      <c r="G729" s="144"/>
    </row>
    <row r="730" spans="1:7" ht="16.5" thickBot="1">
      <c r="A730" s="246" t="s">
        <v>31</v>
      </c>
      <c r="B730" s="251">
        <v>43713</v>
      </c>
      <c r="C730" s="30" t="s">
        <v>104</v>
      </c>
      <c r="D730" s="2">
        <v>200</v>
      </c>
      <c r="E730" s="28"/>
      <c r="F730" s="30" t="s">
        <v>92</v>
      </c>
      <c r="G730" s="145" t="s">
        <v>298</v>
      </c>
    </row>
    <row r="731" spans="1:7" ht="16.5" thickBot="1">
      <c r="A731" s="246" t="s">
        <v>31</v>
      </c>
      <c r="B731" s="251">
        <v>43713</v>
      </c>
      <c r="C731" s="79" t="s">
        <v>81</v>
      </c>
      <c r="D731" s="49">
        <v>800</v>
      </c>
      <c r="E731" s="77"/>
      <c r="F731" s="30" t="s">
        <v>60</v>
      </c>
      <c r="G731" s="80"/>
    </row>
    <row r="732" spans="1:7" ht="16.5" thickBot="1">
      <c r="A732" s="246" t="s">
        <v>31</v>
      </c>
      <c r="B732" s="251">
        <v>43713</v>
      </c>
      <c r="C732" s="79" t="s">
        <v>299</v>
      </c>
      <c r="D732" s="49">
        <v>20</v>
      </c>
      <c r="E732" s="77"/>
      <c r="F732" s="30" t="s">
        <v>58</v>
      </c>
      <c r="G732" s="80" t="s">
        <v>300</v>
      </c>
    </row>
    <row r="733" spans="1:7" ht="16.5" thickBot="1">
      <c r="A733" s="246" t="s">
        <v>31</v>
      </c>
      <c r="B733" s="251">
        <v>43714</v>
      </c>
      <c r="C733" s="31" t="s">
        <v>140</v>
      </c>
      <c r="D733" s="9">
        <v>75</v>
      </c>
      <c r="E733" s="9"/>
      <c r="F733" s="50" t="s">
        <v>58</v>
      </c>
      <c r="G733" s="15"/>
    </row>
    <row r="734" spans="1:7" ht="16.5" thickBot="1">
      <c r="A734" s="246" t="s">
        <v>31</v>
      </c>
      <c r="B734" s="251">
        <v>43714</v>
      </c>
      <c r="C734" s="29" t="s">
        <v>75</v>
      </c>
      <c r="D734" s="10">
        <v>40</v>
      </c>
      <c r="E734" s="123"/>
      <c r="F734" s="30" t="s">
        <v>58</v>
      </c>
      <c r="G734" s="20" t="s">
        <v>76</v>
      </c>
    </row>
    <row r="735" spans="1:7" ht="16.5" thickBot="1">
      <c r="A735" s="246" t="s">
        <v>31</v>
      </c>
      <c r="B735" s="251">
        <v>43714</v>
      </c>
      <c r="C735" s="29" t="s">
        <v>93</v>
      </c>
      <c r="D735" s="10">
        <f>2000+40</f>
        <v>2040</v>
      </c>
      <c r="E735" s="123"/>
      <c r="F735" s="30" t="s">
        <v>44</v>
      </c>
      <c r="G735" s="3"/>
    </row>
    <row r="736" spans="1:7" ht="16.5" thickBot="1">
      <c r="A736" s="246" t="s">
        <v>31</v>
      </c>
      <c r="B736" s="251">
        <v>43714</v>
      </c>
      <c r="C736" s="29" t="s">
        <v>126</v>
      </c>
      <c r="D736" s="10">
        <v>20</v>
      </c>
      <c r="E736" s="123"/>
      <c r="F736" s="60" t="s">
        <v>63</v>
      </c>
      <c r="G736" s="20"/>
    </row>
    <row r="737" spans="1:7" ht="16.5" thickBot="1">
      <c r="A737" s="246" t="s">
        <v>31</v>
      </c>
      <c r="B737" s="251">
        <v>43717</v>
      </c>
      <c r="C737" s="31" t="s">
        <v>46</v>
      </c>
      <c r="D737" s="17">
        <v>60</v>
      </c>
      <c r="E737" s="72"/>
      <c r="F737" s="72" t="s">
        <v>50</v>
      </c>
      <c r="G737" s="15"/>
    </row>
    <row r="738" spans="1:7" ht="16.5" thickBot="1">
      <c r="A738" s="246" t="s">
        <v>31</v>
      </c>
      <c r="B738" s="251">
        <v>43717</v>
      </c>
      <c r="C738" s="60" t="s">
        <v>301</v>
      </c>
      <c r="D738" s="65">
        <v>240</v>
      </c>
      <c r="E738" s="51"/>
      <c r="F738" s="51" t="s">
        <v>50</v>
      </c>
      <c r="G738" s="20"/>
    </row>
    <row r="739" spans="1:7" ht="16.5" thickBot="1">
      <c r="A739" s="246" t="s">
        <v>31</v>
      </c>
      <c r="B739" s="251">
        <v>43717</v>
      </c>
      <c r="C739" s="30" t="s">
        <v>254</v>
      </c>
      <c r="D739" s="7">
        <f>100+50+200</f>
        <v>350</v>
      </c>
      <c r="E739" s="7"/>
      <c r="F739" s="7" t="s">
        <v>50</v>
      </c>
      <c r="G739" s="3"/>
    </row>
    <row r="740" spans="1:7" ht="16.5" thickBot="1">
      <c r="A740" s="246" t="s">
        <v>31</v>
      </c>
      <c r="B740" s="251">
        <v>43717</v>
      </c>
      <c r="C740" s="188" t="s">
        <v>47</v>
      </c>
      <c r="D740" s="142">
        <v>350</v>
      </c>
      <c r="E740" s="86"/>
      <c r="F740" s="142" t="s">
        <v>50</v>
      </c>
      <c r="G740" s="18"/>
    </row>
    <row r="741" spans="1:7" ht="16.5" thickBot="1">
      <c r="A741" s="246" t="s">
        <v>31</v>
      </c>
      <c r="B741" s="251">
        <v>43718</v>
      </c>
      <c r="C741" s="4" t="s">
        <v>35</v>
      </c>
      <c r="D741" s="17">
        <v>75</v>
      </c>
      <c r="E741" s="58"/>
      <c r="F741" s="58" t="s">
        <v>63</v>
      </c>
      <c r="G741" s="13"/>
    </row>
    <row r="742" spans="1:7" ht="16.5" thickBot="1">
      <c r="A742" s="246" t="s">
        <v>31</v>
      </c>
      <c r="B742" s="251">
        <v>43718</v>
      </c>
      <c r="C742" s="8" t="s">
        <v>114</v>
      </c>
      <c r="D742" s="16">
        <v>300</v>
      </c>
      <c r="E742" s="142"/>
      <c r="F742" s="142" t="s">
        <v>63</v>
      </c>
      <c r="G742" s="18"/>
    </row>
    <row r="743" spans="1:7" ht="16.5" thickBot="1">
      <c r="A743" s="246" t="s">
        <v>31</v>
      </c>
      <c r="B743" s="251">
        <v>43718</v>
      </c>
      <c r="C743" s="8" t="s">
        <v>48</v>
      </c>
      <c r="D743" s="16">
        <v>400</v>
      </c>
      <c r="E743" s="7"/>
      <c r="F743" s="7" t="s">
        <v>63</v>
      </c>
      <c r="G743" s="3"/>
    </row>
    <row r="744" spans="1:7" ht="16.5" thickBot="1">
      <c r="A744" s="246" t="s">
        <v>31</v>
      </c>
      <c r="B744" s="251">
        <v>43718</v>
      </c>
      <c r="C744" s="8" t="s">
        <v>302</v>
      </c>
      <c r="D744" s="16">
        <v>20</v>
      </c>
      <c r="E744" s="51"/>
      <c r="F744" s="51" t="s">
        <v>92</v>
      </c>
      <c r="G744" s="20"/>
    </row>
    <row r="745" spans="1:7" ht="16.5" thickBot="1">
      <c r="A745" s="246" t="s">
        <v>31</v>
      </c>
      <c r="B745" s="251">
        <v>43718</v>
      </c>
      <c r="C745" s="8" t="s">
        <v>242</v>
      </c>
      <c r="D745" s="16">
        <v>40</v>
      </c>
      <c r="E745" s="7"/>
      <c r="F745" s="7" t="s">
        <v>63</v>
      </c>
      <c r="G745" s="3"/>
    </row>
    <row r="746" spans="1:7" ht="16.5" thickBot="1">
      <c r="A746" s="246" t="s">
        <v>31</v>
      </c>
      <c r="B746" s="251">
        <v>43718</v>
      </c>
      <c r="C746" s="8" t="s">
        <v>69</v>
      </c>
      <c r="D746" s="16">
        <v>500</v>
      </c>
      <c r="E746" s="7"/>
      <c r="F746" s="7" t="s">
        <v>63</v>
      </c>
      <c r="G746" s="3"/>
    </row>
    <row r="747" spans="1:7" ht="16.5" thickBot="1">
      <c r="A747" s="246" t="s">
        <v>31</v>
      </c>
      <c r="B747" s="251">
        <v>43718</v>
      </c>
      <c r="C747" s="8" t="s">
        <v>142</v>
      </c>
      <c r="D747" s="16">
        <f>200+200+40</f>
        <v>440</v>
      </c>
      <c r="E747" s="7"/>
      <c r="F747" s="7" t="s">
        <v>63</v>
      </c>
      <c r="G747" s="155"/>
    </row>
    <row r="748" spans="1:7" ht="16.5" thickBot="1">
      <c r="A748" s="246" t="s">
        <v>31</v>
      </c>
      <c r="B748" s="251">
        <v>43719</v>
      </c>
      <c r="C748" s="98" t="s">
        <v>199</v>
      </c>
      <c r="D748" s="189">
        <f>50+200</f>
        <v>250</v>
      </c>
      <c r="E748" s="189"/>
      <c r="F748" s="189" t="s">
        <v>243</v>
      </c>
      <c r="G748" s="99" t="s">
        <v>303</v>
      </c>
    </row>
    <row r="749" spans="1:7" ht="16.5" thickBot="1">
      <c r="A749" s="246" t="s">
        <v>31</v>
      </c>
      <c r="B749" s="251">
        <v>43719</v>
      </c>
      <c r="C749" s="8" t="s">
        <v>304</v>
      </c>
      <c r="D749" s="16">
        <f>50+50</f>
        <v>100</v>
      </c>
      <c r="E749" s="51"/>
      <c r="F749" s="51" t="s">
        <v>58</v>
      </c>
      <c r="G749" s="3"/>
    </row>
    <row r="750" spans="1:7" ht="16.5" thickBot="1">
      <c r="A750" s="246" t="s">
        <v>31</v>
      </c>
      <c r="B750" s="251">
        <v>43719</v>
      </c>
      <c r="C750" s="8" t="s">
        <v>64</v>
      </c>
      <c r="D750" s="16">
        <v>1000</v>
      </c>
      <c r="E750" s="7"/>
      <c r="F750" s="7" t="s">
        <v>58</v>
      </c>
      <c r="G750" s="3" t="s">
        <v>73</v>
      </c>
    </row>
    <row r="751" spans="1:7" ht="16.5" thickBot="1">
      <c r="A751" s="246" t="s">
        <v>31</v>
      </c>
      <c r="B751" s="251">
        <v>43719</v>
      </c>
      <c r="C751" s="91" t="s">
        <v>305</v>
      </c>
      <c r="D751" s="150"/>
      <c r="E751" s="127">
        <v>100</v>
      </c>
      <c r="F751" s="107" t="s">
        <v>11</v>
      </c>
      <c r="G751" s="64" t="s">
        <v>179</v>
      </c>
    </row>
    <row r="752" spans="1:7" ht="16.5" thickBot="1">
      <c r="A752" s="246" t="s">
        <v>31</v>
      </c>
      <c r="B752" s="251">
        <v>43719</v>
      </c>
      <c r="C752" s="8" t="s">
        <v>149</v>
      </c>
      <c r="D752" s="16">
        <v>20</v>
      </c>
      <c r="E752" s="70"/>
      <c r="F752" s="7" t="s">
        <v>63</v>
      </c>
      <c r="G752" s="3"/>
    </row>
    <row r="753" spans="1:7" ht="16.5" thickBot="1">
      <c r="A753" s="246" t="s">
        <v>31</v>
      </c>
      <c r="B753" s="251">
        <v>43720</v>
      </c>
      <c r="C753" s="160" t="s">
        <v>82</v>
      </c>
      <c r="D753" s="9">
        <f>150+90</f>
        <v>240</v>
      </c>
      <c r="E753" s="9"/>
      <c r="F753" s="78" t="s">
        <v>243</v>
      </c>
      <c r="G753" s="13"/>
    </row>
    <row r="754" spans="1:7" ht="16.5" thickBot="1">
      <c r="A754" s="246" t="s">
        <v>31</v>
      </c>
      <c r="B754" s="251">
        <v>43720</v>
      </c>
      <c r="C754" s="61" t="s">
        <v>81</v>
      </c>
      <c r="D754" s="57">
        <f>4000+1200+2010+4000</f>
        <v>11210</v>
      </c>
      <c r="E754" s="57"/>
      <c r="F754" s="46" t="s">
        <v>63</v>
      </c>
      <c r="G754" s="3"/>
    </row>
    <row r="755" spans="1:7" ht="16.5" thickBot="1">
      <c r="A755" s="246" t="s">
        <v>31</v>
      </c>
      <c r="B755" s="251">
        <v>43721</v>
      </c>
      <c r="C755" s="25" t="s">
        <v>87</v>
      </c>
      <c r="D755" s="26">
        <v>2000</v>
      </c>
      <c r="E755" s="26"/>
      <c r="F755" s="84" t="s">
        <v>92</v>
      </c>
      <c r="G755" s="15" t="s">
        <v>187</v>
      </c>
    </row>
    <row r="756" spans="1:7" ht="16.5" thickBot="1">
      <c r="A756" s="246" t="s">
        <v>31</v>
      </c>
      <c r="B756" s="251">
        <v>43721</v>
      </c>
      <c r="C756" s="1" t="s">
        <v>72</v>
      </c>
      <c r="D756" s="2">
        <v>300</v>
      </c>
      <c r="E756" s="2"/>
      <c r="F756" s="46" t="s">
        <v>50</v>
      </c>
      <c r="G756" s="14"/>
    </row>
    <row r="757" spans="1:7" ht="16.5" thickBot="1">
      <c r="A757" s="246" t="s">
        <v>31</v>
      </c>
      <c r="B757" s="251">
        <v>43721</v>
      </c>
      <c r="C757" s="5" t="s">
        <v>47</v>
      </c>
      <c r="D757" s="12">
        <v>350</v>
      </c>
      <c r="E757" s="12"/>
      <c r="F757" s="126" t="s">
        <v>63</v>
      </c>
      <c r="G757" s="14"/>
    </row>
    <row r="758" spans="1:7" ht="16.5" thickBot="1">
      <c r="A758" s="246" t="s">
        <v>31</v>
      </c>
      <c r="B758" s="251">
        <v>43721</v>
      </c>
      <c r="C758" s="5" t="s">
        <v>306</v>
      </c>
      <c r="D758" s="12">
        <f>100+25+50</f>
        <v>175</v>
      </c>
      <c r="E758" s="12"/>
      <c r="F758" s="126" t="s">
        <v>63</v>
      </c>
      <c r="G758" s="14"/>
    </row>
    <row r="759" spans="1:7" ht="16.5" thickBot="1">
      <c r="A759" s="246" t="s">
        <v>31</v>
      </c>
      <c r="B759" s="252">
        <v>43722</v>
      </c>
      <c r="C759" s="4" t="s">
        <v>114</v>
      </c>
      <c r="D759" s="9">
        <v>175</v>
      </c>
      <c r="E759" s="68"/>
      <c r="F759" s="69" t="s">
        <v>50</v>
      </c>
      <c r="G759" s="15" t="s">
        <v>307</v>
      </c>
    </row>
    <row r="760" spans="1:7" ht="16.5" thickBot="1">
      <c r="A760" s="246" t="s">
        <v>31</v>
      </c>
      <c r="B760" s="252">
        <v>43725</v>
      </c>
      <c r="C760" s="4" t="s">
        <v>308</v>
      </c>
      <c r="D760" s="9">
        <f>320+20</f>
        <v>340</v>
      </c>
      <c r="E760" s="68"/>
      <c r="F760" s="69" t="s">
        <v>50</v>
      </c>
      <c r="G760" s="15"/>
    </row>
    <row r="761" spans="1:7" ht="16.5" thickBot="1">
      <c r="A761" s="246" t="s">
        <v>31</v>
      </c>
      <c r="B761" s="252">
        <v>43725</v>
      </c>
      <c r="C761" s="61" t="s">
        <v>144</v>
      </c>
      <c r="D761" s="57">
        <f>40+160+100</f>
        <v>300</v>
      </c>
      <c r="E761" s="120"/>
      <c r="F761" s="62" t="s">
        <v>63</v>
      </c>
      <c r="G761" s="20"/>
    </row>
    <row r="762" spans="1:7" ht="16.5" thickBot="1">
      <c r="A762" s="246" t="s">
        <v>31</v>
      </c>
      <c r="B762" s="252">
        <v>43725</v>
      </c>
      <c r="C762" s="1" t="s">
        <v>287</v>
      </c>
      <c r="D762" s="2">
        <f>20+20</f>
        <v>40</v>
      </c>
      <c r="E762" s="2"/>
      <c r="F762" s="46" t="s">
        <v>92</v>
      </c>
      <c r="G762" s="3"/>
    </row>
    <row r="763" spans="1:7" ht="16.5" thickBot="1">
      <c r="A763" s="246" t="s">
        <v>31</v>
      </c>
      <c r="B763" s="252">
        <v>43725</v>
      </c>
      <c r="C763" s="5" t="s">
        <v>100</v>
      </c>
      <c r="D763" s="12">
        <v>60</v>
      </c>
      <c r="E763" s="12"/>
      <c r="F763" s="191" t="s">
        <v>58</v>
      </c>
      <c r="G763" s="18"/>
    </row>
    <row r="764" spans="1:7" ht="16.5" thickBot="1">
      <c r="A764" s="246" t="s">
        <v>31</v>
      </c>
      <c r="B764" s="252">
        <v>43725</v>
      </c>
      <c r="C764" s="160" t="s">
        <v>82</v>
      </c>
      <c r="D764" s="12"/>
      <c r="E764" s="12"/>
      <c r="F764" s="191" t="s">
        <v>92</v>
      </c>
      <c r="G764" s="18" t="s">
        <v>309</v>
      </c>
    </row>
    <row r="765" spans="1:7" ht="16.5" thickBot="1">
      <c r="A765" s="246" t="s">
        <v>31</v>
      </c>
      <c r="B765" s="252">
        <v>43726</v>
      </c>
      <c r="C765" s="66" t="s">
        <v>101</v>
      </c>
      <c r="D765" s="26">
        <f>105+1</f>
        <v>106</v>
      </c>
      <c r="E765" s="39"/>
      <c r="F765" s="39" t="s">
        <v>50</v>
      </c>
      <c r="G765" s="13"/>
    </row>
    <row r="766" spans="1:7" ht="16.5" thickBot="1">
      <c r="A766" s="246" t="s">
        <v>31</v>
      </c>
      <c r="B766" s="252">
        <v>43726</v>
      </c>
      <c r="C766" s="30" t="s">
        <v>48</v>
      </c>
      <c r="D766" s="2">
        <v>600</v>
      </c>
      <c r="E766" s="2"/>
      <c r="F766" s="2" t="s">
        <v>50</v>
      </c>
      <c r="G766" s="3"/>
    </row>
    <row r="767" spans="1:7" ht="16.5" thickBot="1">
      <c r="A767" s="246" t="s">
        <v>31</v>
      </c>
      <c r="B767" s="252">
        <v>43726</v>
      </c>
      <c r="C767" s="79" t="s">
        <v>219</v>
      </c>
      <c r="D767" s="2">
        <f>200+40</f>
        <v>240</v>
      </c>
      <c r="E767" s="2"/>
      <c r="F767" s="2" t="s">
        <v>58</v>
      </c>
      <c r="G767" s="3"/>
    </row>
    <row r="768" spans="1:7" ht="16.5" thickBot="1">
      <c r="A768" s="246" t="s">
        <v>31</v>
      </c>
      <c r="B768" s="252">
        <v>43726</v>
      </c>
      <c r="C768" s="79" t="s">
        <v>310</v>
      </c>
      <c r="D768" s="2">
        <v>50</v>
      </c>
      <c r="E768" s="2"/>
      <c r="F768" s="2" t="s">
        <v>311</v>
      </c>
      <c r="G768" s="3" t="s">
        <v>312</v>
      </c>
    </row>
    <row r="769" spans="1:7" ht="16.5" thickBot="1">
      <c r="A769" s="246" t="s">
        <v>31</v>
      </c>
      <c r="B769" s="252">
        <v>43726</v>
      </c>
      <c r="C769" s="79" t="s">
        <v>69</v>
      </c>
      <c r="D769" s="2">
        <v>500</v>
      </c>
      <c r="E769" s="2"/>
      <c r="F769" s="2" t="s">
        <v>50</v>
      </c>
      <c r="G769" s="3"/>
    </row>
    <row r="770" spans="1:7" ht="16.5" thickBot="1">
      <c r="A770" s="246" t="s">
        <v>31</v>
      </c>
      <c r="B770" s="252">
        <v>43726</v>
      </c>
      <c r="C770" s="79" t="s">
        <v>292</v>
      </c>
      <c r="D770" s="2">
        <f>50+25</f>
        <v>75</v>
      </c>
      <c r="E770" s="2"/>
      <c r="F770" s="2" t="s">
        <v>50</v>
      </c>
      <c r="G770" s="3"/>
    </row>
    <row r="771" spans="1:7" ht="16.5" thickBot="1">
      <c r="A771" s="246" t="s">
        <v>31</v>
      </c>
      <c r="B771" s="252">
        <v>43726</v>
      </c>
      <c r="C771" s="160" t="s">
        <v>82</v>
      </c>
      <c r="D771" s="2">
        <f>6000+2000</f>
        <v>8000</v>
      </c>
      <c r="E771" s="2"/>
      <c r="F771" s="2" t="s">
        <v>63</v>
      </c>
      <c r="G771" s="3"/>
    </row>
    <row r="772" spans="1:7" ht="16.5" thickBot="1">
      <c r="A772" s="246" t="s">
        <v>31</v>
      </c>
      <c r="B772" s="252">
        <v>43727</v>
      </c>
      <c r="C772" s="25" t="s">
        <v>141</v>
      </c>
      <c r="D772" s="58">
        <v>500</v>
      </c>
      <c r="E772" s="58"/>
      <c r="F772" s="76" t="s">
        <v>63</v>
      </c>
      <c r="G772" s="63"/>
    </row>
    <row r="773" spans="1:7" ht="16.5" thickBot="1">
      <c r="A773" s="246" t="s">
        <v>31</v>
      </c>
      <c r="B773" s="252">
        <v>43727</v>
      </c>
      <c r="C773" s="147" t="s">
        <v>46</v>
      </c>
      <c r="D773" s="7">
        <v>2000</v>
      </c>
      <c r="E773" s="7"/>
      <c r="F773" s="7" t="s">
        <v>63</v>
      </c>
      <c r="G773" s="56"/>
    </row>
    <row r="774" spans="1:7" ht="16.5" thickBot="1">
      <c r="A774" s="246" t="s">
        <v>31</v>
      </c>
      <c r="B774" s="252">
        <v>43727</v>
      </c>
      <c r="C774" s="104" t="s">
        <v>313</v>
      </c>
      <c r="D774" s="192">
        <v>50</v>
      </c>
      <c r="E774" s="192"/>
      <c r="F774" s="193" t="s">
        <v>58</v>
      </c>
      <c r="G774" s="194" t="s">
        <v>84</v>
      </c>
    </row>
    <row r="775" spans="1:7" ht="16.5" thickBot="1">
      <c r="A775" s="246" t="s">
        <v>31</v>
      </c>
      <c r="B775" s="252">
        <v>43727</v>
      </c>
      <c r="C775" s="1" t="s">
        <v>183</v>
      </c>
      <c r="D775" s="7">
        <f>200+40</f>
        <v>240</v>
      </c>
      <c r="E775" s="7"/>
      <c r="F775" s="70" t="s">
        <v>63</v>
      </c>
      <c r="G775" s="56"/>
    </row>
    <row r="776" spans="1:7" ht="16.5" thickBot="1">
      <c r="A776" s="246" t="s">
        <v>31</v>
      </c>
      <c r="B776" s="252">
        <v>43727</v>
      </c>
      <c r="C776" s="104" t="s">
        <v>255</v>
      </c>
      <c r="D776" s="192">
        <v>480</v>
      </c>
      <c r="E776" s="193"/>
      <c r="F776" s="195" t="s">
        <v>243</v>
      </c>
      <c r="G776" s="196" t="s">
        <v>314</v>
      </c>
    </row>
    <row r="777" spans="1:7" ht="16.5" thickBot="1">
      <c r="A777" s="246" t="s">
        <v>31</v>
      </c>
      <c r="B777" s="252">
        <v>43727</v>
      </c>
      <c r="C777" s="30" t="s">
        <v>146</v>
      </c>
      <c r="D777" s="7">
        <f>11.35+22.7</f>
        <v>34.049999999999997</v>
      </c>
      <c r="E777" s="7"/>
      <c r="F777" s="86" t="s">
        <v>63</v>
      </c>
      <c r="G777" s="85"/>
    </row>
    <row r="778" spans="1:7" ht="16.5" thickBot="1">
      <c r="A778" s="246" t="s">
        <v>31</v>
      </c>
      <c r="B778" s="252">
        <v>43727</v>
      </c>
      <c r="C778" s="160" t="s">
        <v>82</v>
      </c>
      <c r="D778" s="65">
        <v>6000</v>
      </c>
      <c r="E778" s="51"/>
      <c r="F778" s="86" t="s">
        <v>63</v>
      </c>
      <c r="G778" s="85"/>
    </row>
    <row r="779" spans="1:7" ht="16.5" thickBot="1">
      <c r="A779" s="246" t="s">
        <v>31</v>
      </c>
      <c r="B779" s="252">
        <v>43728</v>
      </c>
      <c r="C779" s="4" t="s">
        <v>56</v>
      </c>
      <c r="D779" s="26">
        <v>2500</v>
      </c>
      <c r="E779" s="26"/>
      <c r="F779" s="39" t="s">
        <v>63</v>
      </c>
      <c r="G779" s="13"/>
    </row>
    <row r="780" spans="1:7" ht="16.5" thickBot="1">
      <c r="A780" s="246" t="s">
        <v>31</v>
      </c>
      <c r="B780" s="252">
        <v>43728</v>
      </c>
      <c r="C780" s="8" t="s">
        <v>113</v>
      </c>
      <c r="D780" s="2">
        <v>200</v>
      </c>
      <c r="E780" s="2"/>
      <c r="F780" s="2" t="s">
        <v>243</v>
      </c>
      <c r="G780" s="3"/>
    </row>
    <row r="781" spans="1:7" ht="16.5" thickBot="1">
      <c r="A781" s="246" t="s">
        <v>31</v>
      </c>
      <c r="B781" s="252">
        <v>43728</v>
      </c>
      <c r="C781" s="8" t="s">
        <v>47</v>
      </c>
      <c r="D781" s="57">
        <v>300</v>
      </c>
      <c r="E781" s="57"/>
      <c r="F781" s="36" t="s">
        <v>63</v>
      </c>
      <c r="G781" s="20"/>
    </row>
    <row r="782" spans="1:7" ht="16.5" thickBot="1">
      <c r="A782" s="246" t="s">
        <v>31</v>
      </c>
      <c r="B782" s="252">
        <v>43731</v>
      </c>
      <c r="C782" s="4" t="s">
        <v>103</v>
      </c>
      <c r="D782" s="9">
        <v>150</v>
      </c>
      <c r="E782" s="9"/>
      <c r="F782" s="198" t="s">
        <v>44</v>
      </c>
      <c r="G782" s="15" t="s">
        <v>201</v>
      </c>
    </row>
    <row r="783" spans="1:7" ht="16.5" thickBot="1">
      <c r="A783" s="246" t="s">
        <v>31</v>
      </c>
      <c r="B783" s="252">
        <v>43731</v>
      </c>
      <c r="C783" s="61" t="s">
        <v>156</v>
      </c>
      <c r="D783" s="57">
        <f>810+1000+2500+1600</f>
        <v>5910</v>
      </c>
      <c r="E783" s="12"/>
      <c r="F783" s="38" t="s">
        <v>44</v>
      </c>
      <c r="G783" s="18" t="s">
        <v>201</v>
      </c>
    </row>
    <row r="784" spans="1:7" ht="16.5" thickBot="1">
      <c r="A784" s="246" t="s">
        <v>31</v>
      </c>
      <c r="B784" s="252">
        <v>43731</v>
      </c>
      <c r="C784" s="1" t="s">
        <v>287</v>
      </c>
      <c r="D784" s="2">
        <f>20+20</f>
        <v>40</v>
      </c>
      <c r="E784" s="12"/>
      <c r="F784" s="38" t="s">
        <v>63</v>
      </c>
      <c r="G784" s="18"/>
    </row>
    <row r="785" spans="1:7" ht="16.5" thickBot="1">
      <c r="A785" s="246" t="s">
        <v>31</v>
      </c>
      <c r="B785" s="252">
        <v>43731</v>
      </c>
      <c r="C785" s="61" t="s">
        <v>78</v>
      </c>
      <c r="D785" s="57">
        <v>50</v>
      </c>
      <c r="E785" s="12"/>
      <c r="F785" s="38" t="s">
        <v>63</v>
      </c>
      <c r="G785" s="18"/>
    </row>
    <row r="786" spans="1:7" ht="16.5" thickBot="1">
      <c r="A786" s="246" t="s">
        <v>31</v>
      </c>
      <c r="B786" s="252">
        <v>43731</v>
      </c>
      <c r="C786" s="1" t="s">
        <v>48</v>
      </c>
      <c r="D786" s="2">
        <v>700</v>
      </c>
      <c r="E786" s="12"/>
      <c r="F786" s="38" t="s">
        <v>63</v>
      </c>
      <c r="G786" s="18"/>
    </row>
    <row r="787" spans="1:7" ht="16.5" thickBot="1">
      <c r="A787" s="246" t="s">
        <v>31</v>
      </c>
      <c r="B787" s="252">
        <v>43731</v>
      </c>
      <c r="C787" s="61" t="s">
        <v>111</v>
      </c>
      <c r="D787" s="57">
        <v>2000</v>
      </c>
      <c r="E787" s="12"/>
      <c r="F787" s="38" t="s">
        <v>63</v>
      </c>
      <c r="G787" s="18"/>
    </row>
    <row r="788" spans="1:7" ht="16.5" thickBot="1">
      <c r="A788" s="246" t="s">
        <v>31</v>
      </c>
      <c r="B788" s="252">
        <v>43731</v>
      </c>
      <c r="C788" s="1" t="s">
        <v>55</v>
      </c>
      <c r="D788" s="2">
        <v>75</v>
      </c>
      <c r="E788" s="12"/>
      <c r="F788" s="38" t="s">
        <v>271</v>
      </c>
      <c r="G788" s="18" t="s">
        <v>315</v>
      </c>
    </row>
    <row r="789" spans="1:7" ht="16.5" thickBot="1">
      <c r="A789" s="246" t="s">
        <v>31</v>
      </c>
      <c r="B789" s="252">
        <v>43732</v>
      </c>
      <c r="C789" s="199" t="s">
        <v>107</v>
      </c>
      <c r="D789" s="200"/>
      <c r="E789" s="201">
        <v>400</v>
      </c>
      <c r="F789" s="201"/>
      <c r="G789" s="108" t="s">
        <v>108</v>
      </c>
    </row>
    <row r="790" spans="1:7" ht="16.5" thickBot="1">
      <c r="A790" s="246" t="s">
        <v>31</v>
      </c>
      <c r="B790" s="252">
        <v>43732</v>
      </c>
      <c r="C790" s="1" t="s">
        <v>97</v>
      </c>
      <c r="D790" s="2">
        <v>200</v>
      </c>
      <c r="E790" s="2"/>
      <c r="F790" s="2" t="s">
        <v>243</v>
      </c>
      <c r="G790" s="3"/>
    </row>
    <row r="791" spans="1:7" ht="16.5" thickBot="1">
      <c r="A791" s="246" t="s">
        <v>31</v>
      </c>
      <c r="B791" s="252">
        <v>43732</v>
      </c>
      <c r="C791" s="1" t="s">
        <v>47</v>
      </c>
      <c r="D791" s="2">
        <v>150</v>
      </c>
      <c r="E791" s="12"/>
      <c r="F791" s="38" t="s">
        <v>92</v>
      </c>
      <c r="G791" s="18"/>
    </row>
    <row r="792" spans="1:7" ht="16.5" thickBot="1">
      <c r="A792" s="246" t="s">
        <v>31</v>
      </c>
      <c r="B792" s="252">
        <v>43732</v>
      </c>
      <c r="C792" s="5" t="s">
        <v>55</v>
      </c>
      <c r="D792" s="12">
        <f>75+75</f>
        <v>150</v>
      </c>
      <c r="E792" s="12"/>
      <c r="F792" s="38" t="s">
        <v>92</v>
      </c>
      <c r="G792" s="18"/>
    </row>
    <row r="793" spans="1:7" ht="16.5" thickBot="1">
      <c r="A793" s="246" t="s">
        <v>31</v>
      </c>
      <c r="B793" s="252">
        <v>43732</v>
      </c>
      <c r="C793" s="5" t="s">
        <v>69</v>
      </c>
      <c r="D793" s="12">
        <v>500</v>
      </c>
      <c r="E793" s="12"/>
      <c r="F793" s="38" t="s">
        <v>92</v>
      </c>
      <c r="G793" s="18"/>
    </row>
    <row r="794" spans="1:7" ht="16.5" thickBot="1">
      <c r="A794" s="246" t="s">
        <v>31</v>
      </c>
      <c r="B794" s="252">
        <v>43732</v>
      </c>
      <c r="C794" s="5" t="s">
        <v>81</v>
      </c>
      <c r="D794" s="12">
        <f>2500+225</f>
        <v>2725</v>
      </c>
      <c r="E794" s="12"/>
      <c r="F794" s="38" t="s">
        <v>63</v>
      </c>
      <c r="G794" s="18"/>
    </row>
    <row r="795" spans="1:7" ht="16.5" thickBot="1">
      <c r="A795" s="246" t="s">
        <v>31</v>
      </c>
      <c r="B795" s="252">
        <v>43732</v>
      </c>
      <c r="C795" s="160" t="s">
        <v>82</v>
      </c>
      <c r="D795" s="12">
        <v>900</v>
      </c>
      <c r="E795" s="12"/>
      <c r="F795" s="38" t="s">
        <v>243</v>
      </c>
      <c r="G795" s="18"/>
    </row>
    <row r="796" spans="1:7" ht="16.5" thickBot="1">
      <c r="A796" s="246" t="s">
        <v>31</v>
      </c>
      <c r="B796" s="252">
        <v>43733</v>
      </c>
      <c r="C796" s="25" t="s">
        <v>49</v>
      </c>
      <c r="D796" s="58">
        <v>2000</v>
      </c>
      <c r="E796" s="59"/>
      <c r="F796" s="58" t="s">
        <v>63</v>
      </c>
      <c r="G796" s="22" t="s">
        <v>316</v>
      </c>
    </row>
    <row r="797" spans="1:7" ht="16.5" thickBot="1">
      <c r="A797" s="246" t="s">
        <v>31</v>
      </c>
      <c r="B797" s="252">
        <v>43733</v>
      </c>
      <c r="C797" s="1" t="s">
        <v>148</v>
      </c>
      <c r="D797" s="7">
        <f>1000+25</f>
        <v>1025</v>
      </c>
      <c r="E797" s="7"/>
      <c r="F797" s="7" t="s">
        <v>317</v>
      </c>
      <c r="G797" s="3" t="s">
        <v>88</v>
      </c>
    </row>
    <row r="798" spans="1:7" ht="16.5" thickBot="1">
      <c r="A798" s="246" t="s">
        <v>31</v>
      </c>
      <c r="B798" s="252">
        <v>43733</v>
      </c>
      <c r="C798" s="93" t="s">
        <v>246</v>
      </c>
      <c r="D798" s="202"/>
      <c r="E798" s="203">
        <f>1125+750+900+640</f>
        <v>3415</v>
      </c>
      <c r="F798" s="107"/>
      <c r="G798" s="204" t="s">
        <v>66</v>
      </c>
    </row>
    <row r="799" spans="1:7" ht="16.5" thickBot="1">
      <c r="A799" s="246" t="s">
        <v>31</v>
      </c>
      <c r="B799" s="253">
        <v>43734</v>
      </c>
      <c r="C799" s="205" t="s">
        <v>194</v>
      </c>
      <c r="D799" s="206">
        <f>500+50</f>
        <v>550</v>
      </c>
      <c r="E799" s="207"/>
      <c r="F799" s="206" t="s">
        <v>243</v>
      </c>
      <c r="G799" s="99" t="s">
        <v>195</v>
      </c>
    </row>
    <row r="800" spans="1:7" ht="16.5" thickBot="1">
      <c r="A800" s="246" t="s">
        <v>31</v>
      </c>
      <c r="B800" s="253">
        <v>43734</v>
      </c>
      <c r="C800" s="148" t="s">
        <v>318</v>
      </c>
      <c r="D800" s="101">
        <v>1000</v>
      </c>
      <c r="E800" s="101"/>
      <c r="F800" s="101" t="s">
        <v>63</v>
      </c>
      <c r="G800" s="117" t="s">
        <v>223</v>
      </c>
    </row>
    <row r="801" spans="1:7" ht="16.5" thickBot="1">
      <c r="A801" s="246" t="s">
        <v>31</v>
      </c>
      <c r="B801" s="253">
        <v>43734</v>
      </c>
      <c r="C801" s="114" t="s">
        <v>164</v>
      </c>
      <c r="D801" s="65"/>
      <c r="E801" s="115"/>
      <c r="F801" s="65" t="s">
        <v>92</v>
      </c>
      <c r="G801" s="20"/>
    </row>
    <row r="802" spans="1:7" ht="16.5" thickBot="1">
      <c r="A802" s="246" t="s">
        <v>31</v>
      </c>
      <c r="B802" s="253">
        <v>43735</v>
      </c>
      <c r="C802" s="208" t="s">
        <v>147</v>
      </c>
      <c r="D802" s="102">
        <f>800+1000+1200+180</f>
        <v>3180</v>
      </c>
      <c r="E802" s="209"/>
      <c r="F802" s="102" t="s">
        <v>44</v>
      </c>
      <c r="G802" s="103" t="s">
        <v>259</v>
      </c>
    </row>
    <row r="803" spans="1:7" ht="16.5" thickBot="1">
      <c r="A803" s="246" t="s">
        <v>31</v>
      </c>
      <c r="B803" s="253">
        <v>43735</v>
      </c>
      <c r="C803" s="23" t="s">
        <v>64</v>
      </c>
      <c r="D803" s="10">
        <v>1000</v>
      </c>
      <c r="E803" s="53"/>
      <c r="F803" s="10" t="s">
        <v>50</v>
      </c>
      <c r="G803" s="14" t="s">
        <v>73</v>
      </c>
    </row>
    <row r="804" spans="1:7" ht="16.5" thickBot="1">
      <c r="A804" s="246" t="s">
        <v>31</v>
      </c>
      <c r="B804" s="253">
        <v>43735</v>
      </c>
      <c r="C804" s="79" t="s">
        <v>310</v>
      </c>
      <c r="D804" s="67">
        <f>400+50</f>
        <v>450</v>
      </c>
      <c r="E804" s="210"/>
      <c r="F804" s="67" t="s">
        <v>63</v>
      </c>
      <c r="G804" s="117" t="s">
        <v>303</v>
      </c>
    </row>
    <row r="805" spans="1:7" ht="16.5" thickBot="1">
      <c r="A805" s="246" t="s">
        <v>31</v>
      </c>
      <c r="B805" s="253">
        <v>43735</v>
      </c>
      <c r="C805" s="54"/>
      <c r="D805" s="12"/>
      <c r="E805" s="12"/>
      <c r="F805" s="12"/>
      <c r="G805" s="47"/>
    </row>
    <row r="806" spans="1:7" ht="16.5" thickBot="1">
      <c r="A806" s="246" t="s">
        <v>31</v>
      </c>
      <c r="B806" s="253">
        <v>43736</v>
      </c>
      <c r="C806" s="41" t="s">
        <v>91</v>
      </c>
      <c r="D806" s="9">
        <v>125</v>
      </c>
      <c r="E806" s="32"/>
      <c r="F806" s="9" t="s">
        <v>92</v>
      </c>
      <c r="G806" s="22" t="s">
        <v>319</v>
      </c>
    </row>
    <row r="807" spans="1:7" ht="16.5" thickBot="1">
      <c r="A807" s="246" t="s">
        <v>31</v>
      </c>
      <c r="B807" s="253">
        <v>43738</v>
      </c>
      <c r="C807" s="211" t="s">
        <v>215</v>
      </c>
      <c r="D807" s="102">
        <v>50</v>
      </c>
      <c r="E807" s="212"/>
      <c r="F807" s="213" t="s">
        <v>58</v>
      </c>
      <c r="G807" s="214" t="s">
        <v>84</v>
      </c>
    </row>
    <row r="808" spans="1:7" ht="16.5" thickBot="1">
      <c r="A808" s="246" t="s">
        <v>31</v>
      </c>
      <c r="B808" s="253">
        <v>43738</v>
      </c>
      <c r="C808" s="42" t="s">
        <v>54</v>
      </c>
      <c r="D808" s="10">
        <f>3000+60</f>
        <v>3060</v>
      </c>
      <c r="E808" s="2"/>
      <c r="F808" s="46" t="s">
        <v>50</v>
      </c>
      <c r="G808" s="3"/>
    </row>
    <row r="809" spans="1:7" ht="16.5" thickBot="1">
      <c r="A809" s="246" t="s">
        <v>31</v>
      </c>
      <c r="B809" s="253">
        <v>43738</v>
      </c>
      <c r="C809" s="42" t="s">
        <v>62</v>
      </c>
      <c r="D809" s="10">
        <v>1500</v>
      </c>
      <c r="E809" s="37"/>
      <c r="F809" s="44" t="s">
        <v>50</v>
      </c>
      <c r="G809" s="24"/>
    </row>
    <row r="810" spans="1:7" ht="16.5" thickBot="1">
      <c r="A810" s="246" t="s">
        <v>31</v>
      </c>
      <c r="B810" s="253">
        <v>43738</v>
      </c>
      <c r="C810" s="42" t="s">
        <v>104</v>
      </c>
      <c r="D810" s="10">
        <v>4000</v>
      </c>
      <c r="E810" s="2"/>
      <c r="F810" s="44" t="s">
        <v>63</v>
      </c>
      <c r="G810" s="3" t="s">
        <v>105</v>
      </c>
    </row>
    <row r="811" spans="1:7" ht="16.5" thickBot="1">
      <c r="A811" s="246" t="s">
        <v>32</v>
      </c>
      <c r="B811" s="250">
        <v>43739</v>
      </c>
      <c r="C811" s="50" t="s">
        <v>123</v>
      </c>
      <c r="D811" s="27">
        <f>40+2000</f>
        <v>2040</v>
      </c>
      <c r="E811" s="33"/>
      <c r="F811" s="45" t="s">
        <v>92</v>
      </c>
      <c r="G811" s="13"/>
    </row>
    <row r="812" spans="1:7" ht="16.5" thickBot="1">
      <c r="A812" s="246" t="s">
        <v>32</v>
      </c>
      <c r="B812" s="250">
        <v>43739</v>
      </c>
      <c r="C812" s="30" t="s">
        <v>121</v>
      </c>
      <c r="D812" s="6">
        <v>200</v>
      </c>
      <c r="E812" s="6"/>
      <c r="F812" s="46" t="s">
        <v>58</v>
      </c>
      <c r="G812" s="3"/>
    </row>
    <row r="813" spans="1:7" ht="16.5" thickBot="1">
      <c r="A813" s="246" t="s">
        <v>32</v>
      </c>
      <c r="B813" s="250">
        <v>43739</v>
      </c>
      <c r="C813" s="149" t="s">
        <v>47</v>
      </c>
      <c r="D813" s="6">
        <v>75</v>
      </c>
      <c r="E813" s="6"/>
      <c r="F813" s="46" t="s">
        <v>63</v>
      </c>
      <c r="G813" s="3"/>
    </row>
    <row r="814" spans="1:7" ht="16.5" thickBot="1">
      <c r="A814" s="246" t="s">
        <v>32</v>
      </c>
      <c r="B814" s="250">
        <v>43739</v>
      </c>
      <c r="C814" s="1" t="s">
        <v>69</v>
      </c>
      <c r="D814" s="2">
        <v>500</v>
      </c>
      <c r="E814" s="2"/>
      <c r="F814" s="2" t="s">
        <v>63</v>
      </c>
      <c r="G814" s="3"/>
    </row>
    <row r="815" spans="1:7" ht="16.5" thickBot="1">
      <c r="A815" s="246" t="s">
        <v>32</v>
      </c>
      <c r="B815" s="250">
        <v>43739</v>
      </c>
      <c r="C815" s="5" t="s">
        <v>78</v>
      </c>
      <c r="D815" s="12">
        <v>80</v>
      </c>
      <c r="E815" s="12"/>
      <c r="F815" s="38" t="s">
        <v>63</v>
      </c>
      <c r="G815" s="18"/>
    </row>
    <row r="816" spans="1:7" ht="16.5" thickBot="1">
      <c r="A816" s="246" t="s">
        <v>32</v>
      </c>
      <c r="B816" s="250">
        <v>43739</v>
      </c>
      <c r="C816" s="5" t="s">
        <v>219</v>
      </c>
      <c r="D816" s="12">
        <v>80</v>
      </c>
      <c r="E816" s="12"/>
      <c r="F816" s="38" t="s">
        <v>58</v>
      </c>
      <c r="G816" s="18"/>
    </row>
    <row r="817" spans="1:7" ht="16.5" thickBot="1">
      <c r="A817" s="246" t="s">
        <v>32</v>
      </c>
      <c r="B817" s="251">
        <v>43740</v>
      </c>
      <c r="C817" s="1" t="s">
        <v>124</v>
      </c>
      <c r="D817" s="6">
        <v>250</v>
      </c>
      <c r="E817" s="6"/>
      <c r="F817" s="46" t="s">
        <v>58</v>
      </c>
      <c r="G817" s="15"/>
    </row>
    <row r="818" spans="1:7" ht="16.5" thickBot="1">
      <c r="A818" s="246" t="s">
        <v>32</v>
      </c>
      <c r="B818" s="251">
        <v>43740</v>
      </c>
      <c r="C818" s="8" t="s">
        <v>101</v>
      </c>
      <c r="D818" s="11">
        <f>245+120+500+10</f>
        <v>875</v>
      </c>
      <c r="E818" s="11"/>
      <c r="F818" s="40" t="s">
        <v>50</v>
      </c>
      <c r="G818" s="14" t="s">
        <v>320</v>
      </c>
    </row>
    <row r="819" spans="1:7" ht="16.5" thickBot="1">
      <c r="A819" s="246" t="s">
        <v>32</v>
      </c>
      <c r="B819" s="251">
        <v>43740</v>
      </c>
      <c r="C819" s="1" t="s">
        <v>90</v>
      </c>
      <c r="D819" s="6">
        <v>40</v>
      </c>
      <c r="E819" s="6"/>
      <c r="F819" s="46" t="s">
        <v>92</v>
      </c>
      <c r="G819" s="3"/>
    </row>
    <row r="820" spans="1:7" ht="16.5" thickBot="1">
      <c r="A820" s="246" t="s">
        <v>32</v>
      </c>
      <c r="B820" s="251">
        <v>43740</v>
      </c>
      <c r="C820" s="1" t="s">
        <v>183</v>
      </c>
      <c r="D820" s="6">
        <v>100</v>
      </c>
      <c r="E820" s="6"/>
      <c r="F820" s="46" t="s">
        <v>50</v>
      </c>
      <c r="G820" s="3"/>
    </row>
    <row r="821" spans="1:7" ht="16.5" thickBot="1">
      <c r="A821" s="246" t="s">
        <v>32</v>
      </c>
      <c r="B821" s="251">
        <v>43741</v>
      </c>
      <c r="C821" s="1" t="s">
        <v>46</v>
      </c>
      <c r="D821" s="6">
        <v>3000</v>
      </c>
      <c r="E821" s="6"/>
      <c r="F821" s="46" t="s">
        <v>63</v>
      </c>
      <c r="G821" s="63"/>
    </row>
    <row r="822" spans="1:7" ht="16.5" thickBot="1">
      <c r="A822" s="246" t="s">
        <v>32</v>
      </c>
      <c r="B822" s="251">
        <v>43741</v>
      </c>
      <c r="C822" s="8" t="s">
        <v>45</v>
      </c>
      <c r="D822" s="11">
        <f>900+20</f>
        <v>920</v>
      </c>
      <c r="E822" s="35"/>
      <c r="F822" s="40" t="s">
        <v>63</v>
      </c>
      <c r="G822" s="56"/>
    </row>
    <row r="823" spans="1:7" ht="16.5" thickBot="1">
      <c r="A823" s="246" t="s">
        <v>32</v>
      </c>
      <c r="B823" s="251">
        <v>43741</v>
      </c>
      <c r="C823" s="74" t="s">
        <v>321</v>
      </c>
      <c r="D823" s="116">
        <v>200</v>
      </c>
      <c r="E823" s="215"/>
      <c r="F823" s="139" t="s">
        <v>50</v>
      </c>
      <c r="G823" s="216" t="s">
        <v>322</v>
      </c>
    </row>
    <row r="824" spans="1:7" ht="16.5" thickBot="1">
      <c r="A824" s="246" t="s">
        <v>32</v>
      </c>
      <c r="B824" s="251">
        <v>43742</v>
      </c>
      <c r="C824" s="79" t="s">
        <v>310</v>
      </c>
      <c r="D824" s="102">
        <v>100</v>
      </c>
      <c r="E824" s="217"/>
      <c r="F824" s="218" t="s">
        <v>50</v>
      </c>
      <c r="G824" s="219" t="s">
        <v>303</v>
      </c>
    </row>
    <row r="825" spans="1:7" ht="16.5" thickBot="1">
      <c r="A825" s="246" t="s">
        <v>32</v>
      </c>
      <c r="B825" s="251">
        <v>43742</v>
      </c>
      <c r="C825" s="29" t="s">
        <v>112</v>
      </c>
      <c r="D825" s="10">
        <v>120</v>
      </c>
      <c r="E825" s="28"/>
      <c r="F825" s="30" t="s">
        <v>58</v>
      </c>
      <c r="G825" s="55"/>
    </row>
    <row r="826" spans="1:7" ht="16.5" thickBot="1">
      <c r="A826" s="246" t="s">
        <v>32</v>
      </c>
      <c r="B826" s="251">
        <v>43742</v>
      </c>
      <c r="C826" s="92" t="s">
        <v>138</v>
      </c>
      <c r="D826" s="37">
        <v>3000</v>
      </c>
      <c r="E826" s="28"/>
      <c r="F826" s="30" t="s">
        <v>44</v>
      </c>
      <c r="G826" s="144" t="s">
        <v>105</v>
      </c>
    </row>
    <row r="827" spans="1:7" ht="16.5" thickBot="1">
      <c r="A827" s="246" t="s">
        <v>32</v>
      </c>
      <c r="B827" s="251">
        <v>43742</v>
      </c>
      <c r="C827" s="79" t="s">
        <v>218</v>
      </c>
      <c r="D827" s="49">
        <f>50+25</f>
        <v>75</v>
      </c>
      <c r="E827" s="77"/>
      <c r="F827" s="30" t="s">
        <v>243</v>
      </c>
      <c r="G827" s="80" t="s">
        <v>300</v>
      </c>
    </row>
    <row r="828" spans="1:7" ht="16.5" thickBot="1">
      <c r="A828" s="246" t="s">
        <v>32</v>
      </c>
      <c r="B828" s="251">
        <v>43745</v>
      </c>
      <c r="C828" s="220" t="s">
        <v>51</v>
      </c>
      <c r="D828" s="221"/>
      <c r="E828" s="221">
        <f>20+20</f>
        <v>40</v>
      </c>
      <c r="F828" s="222"/>
      <c r="G828" s="185" t="s">
        <v>52</v>
      </c>
    </row>
    <row r="829" spans="1:7" ht="16.5" thickBot="1">
      <c r="A829" s="246" t="s">
        <v>32</v>
      </c>
      <c r="B829" s="251">
        <v>43745</v>
      </c>
      <c r="C829" s="29" t="s">
        <v>323</v>
      </c>
      <c r="D829" s="10">
        <f>20+20</f>
        <v>40</v>
      </c>
      <c r="E829" s="123"/>
      <c r="F829" s="30" t="s">
        <v>58</v>
      </c>
      <c r="G829" s="20"/>
    </row>
    <row r="830" spans="1:7" ht="16.5" thickBot="1">
      <c r="A830" s="246" t="s">
        <v>32</v>
      </c>
      <c r="B830" s="251">
        <v>43745</v>
      </c>
      <c r="C830" s="29" t="s">
        <v>196</v>
      </c>
      <c r="D830" s="10">
        <v>60</v>
      </c>
      <c r="E830" s="123"/>
      <c r="F830" s="30" t="s">
        <v>58</v>
      </c>
      <c r="G830" s="3" t="s">
        <v>88</v>
      </c>
    </row>
    <row r="831" spans="1:7" ht="16.5" thickBot="1">
      <c r="A831" s="246" t="s">
        <v>32</v>
      </c>
      <c r="B831" s="251">
        <v>43745</v>
      </c>
      <c r="C831" s="29" t="s">
        <v>219</v>
      </c>
      <c r="D831" s="10">
        <v>200</v>
      </c>
      <c r="E831" s="123"/>
      <c r="F831" s="60" t="s">
        <v>58</v>
      </c>
      <c r="G831" s="20"/>
    </row>
    <row r="832" spans="1:7" ht="16.5" thickBot="1">
      <c r="A832" s="246" t="s">
        <v>32</v>
      </c>
      <c r="B832" s="251">
        <v>43746</v>
      </c>
      <c r="C832" s="31" t="s">
        <v>72</v>
      </c>
      <c r="D832" s="17">
        <v>250</v>
      </c>
      <c r="E832" s="72"/>
      <c r="F832" s="72" t="s">
        <v>58</v>
      </c>
      <c r="G832" s="15"/>
    </row>
    <row r="833" spans="1:7" ht="16.5" thickBot="1">
      <c r="A833" s="246" t="s">
        <v>32</v>
      </c>
      <c r="B833" s="251">
        <v>43746</v>
      </c>
      <c r="C833" s="60" t="s">
        <v>47</v>
      </c>
      <c r="D833" s="65">
        <v>100</v>
      </c>
      <c r="E833" s="51"/>
      <c r="F833" s="51" t="s">
        <v>44</v>
      </c>
      <c r="G833" s="20"/>
    </row>
    <row r="834" spans="1:7" ht="16.5" thickBot="1">
      <c r="A834" s="246" t="s">
        <v>32</v>
      </c>
      <c r="B834" s="251">
        <v>43746</v>
      </c>
      <c r="C834" s="30" t="s">
        <v>69</v>
      </c>
      <c r="D834" s="7">
        <v>500</v>
      </c>
      <c r="E834" s="7"/>
      <c r="F834" s="7" t="s">
        <v>44</v>
      </c>
      <c r="G834" s="3"/>
    </row>
    <row r="835" spans="1:7" ht="16.5" thickBot="1">
      <c r="A835" s="246" t="s">
        <v>32</v>
      </c>
      <c r="B835" s="251">
        <v>43746</v>
      </c>
      <c r="C835" s="188" t="s">
        <v>308</v>
      </c>
      <c r="D835" s="142">
        <f>300+20+20+1</f>
        <v>341</v>
      </c>
      <c r="E835" s="86"/>
      <c r="F835" s="142" t="s">
        <v>243</v>
      </c>
      <c r="G835" s="18" t="s">
        <v>324</v>
      </c>
    </row>
    <row r="836" spans="1:7" ht="16.5" thickBot="1">
      <c r="A836" s="246" t="s">
        <v>32</v>
      </c>
      <c r="B836" s="251">
        <v>43746</v>
      </c>
      <c r="C836" s="160" t="s">
        <v>82</v>
      </c>
      <c r="D836" s="12">
        <f>360+2000</f>
        <v>2360</v>
      </c>
      <c r="E836" s="38"/>
      <c r="F836" s="12" t="s">
        <v>44</v>
      </c>
      <c r="G836" s="18"/>
    </row>
    <row r="837" spans="1:7" ht="16.5" thickBot="1">
      <c r="A837" s="246" t="s">
        <v>32</v>
      </c>
      <c r="B837" s="251">
        <v>43748</v>
      </c>
      <c r="C837" s="4" t="s">
        <v>228</v>
      </c>
      <c r="D837" s="17">
        <v>25</v>
      </c>
      <c r="E837" s="17"/>
      <c r="F837" s="17" t="s">
        <v>58</v>
      </c>
      <c r="G837" s="99"/>
    </row>
    <row r="838" spans="1:7" ht="16.5" thickBot="1">
      <c r="A838" s="246" t="s">
        <v>32</v>
      </c>
      <c r="B838" s="251">
        <v>43748</v>
      </c>
      <c r="C838" s="8" t="s">
        <v>157</v>
      </c>
      <c r="D838" s="16">
        <v>150</v>
      </c>
      <c r="E838" s="51"/>
      <c r="F838" s="51" t="s">
        <v>58</v>
      </c>
      <c r="G838" s="3"/>
    </row>
    <row r="839" spans="1:7" ht="16.5" thickBot="1">
      <c r="A839" s="246" t="s">
        <v>32</v>
      </c>
      <c r="B839" s="251">
        <v>43748</v>
      </c>
      <c r="C839" s="8" t="s">
        <v>140</v>
      </c>
      <c r="D839" s="16">
        <v>125</v>
      </c>
      <c r="E839" s="7"/>
      <c r="F839" s="7" t="s">
        <v>58</v>
      </c>
      <c r="G839" s="3"/>
    </row>
    <row r="840" spans="1:7" ht="16.5" thickBot="1">
      <c r="A840" s="246" t="s">
        <v>32</v>
      </c>
      <c r="B840" s="251">
        <v>43748</v>
      </c>
      <c r="C840" s="8" t="s">
        <v>304</v>
      </c>
      <c r="D840" s="16">
        <f>50+50</f>
        <v>100</v>
      </c>
      <c r="E840" s="70"/>
      <c r="F840" s="7" t="s">
        <v>243</v>
      </c>
      <c r="G840" s="3"/>
    </row>
    <row r="841" spans="1:7" ht="16.5" thickBot="1">
      <c r="A841" s="246" t="s">
        <v>32</v>
      </c>
      <c r="B841" s="251">
        <v>43748</v>
      </c>
      <c r="C841" s="8" t="s">
        <v>104</v>
      </c>
      <c r="D841" s="16">
        <v>4000</v>
      </c>
      <c r="E841" s="70"/>
      <c r="F841" s="7" t="s">
        <v>50</v>
      </c>
      <c r="G841" s="3"/>
    </row>
    <row r="842" spans="1:7" ht="16.5" thickBot="1">
      <c r="A842" s="246" t="s">
        <v>32</v>
      </c>
      <c r="B842" s="251">
        <v>43748</v>
      </c>
      <c r="C842" s="8" t="s">
        <v>48</v>
      </c>
      <c r="D842" s="16">
        <f>700+600</f>
        <v>1300</v>
      </c>
      <c r="E842" s="70"/>
      <c r="F842" s="7" t="s">
        <v>44</v>
      </c>
      <c r="G842" s="3"/>
    </row>
    <row r="843" spans="1:7" ht="16.5" thickBot="1">
      <c r="A843" s="246" t="s">
        <v>32</v>
      </c>
      <c r="B843" s="251">
        <v>43748</v>
      </c>
      <c r="C843" s="8" t="s">
        <v>242</v>
      </c>
      <c r="D843" s="16">
        <v>80</v>
      </c>
      <c r="E843" s="70"/>
      <c r="F843" s="7" t="s">
        <v>44</v>
      </c>
      <c r="G843" s="3"/>
    </row>
    <row r="844" spans="1:7" ht="16.5" thickBot="1">
      <c r="A844" s="246" t="s">
        <v>32</v>
      </c>
      <c r="B844" s="251">
        <v>43749</v>
      </c>
      <c r="C844" s="4" t="s">
        <v>325</v>
      </c>
      <c r="D844" s="9">
        <f>2000+20</f>
        <v>2020</v>
      </c>
      <c r="E844" s="9"/>
      <c r="F844" s="78" t="s">
        <v>50</v>
      </c>
      <c r="G844" s="13"/>
    </row>
    <row r="845" spans="1:7" ht="16.5" thickBot="1">
      <c r="A845" s="246" t="s">
        <v>32</v>
      </c>
      <c r="B845" s="251">
        <v>43749</v>
      </c>
      <c r="C845" s="104" t="s">
        <v>194</v>
      </c>
      <c r="D845" s="105">
        <v>500</v>
      </c>
      <c r="E845" s="105"/>
      <c r="F845" s="112" t="s">
        <v>58</v>
      </c>
      <c r="G845" s="117" t="s">
        <v>195</v>
      </c>
    </row>
    <row r="846" spans="1:7" ht="16.5" thickBot="1">
      <c r="A846" s="246" t="s">
        <v>32</v>
      </c>
      <c r="B846" s="251">
        <v>43749</v>
      </c>
      <c r="C846" s="74" t="s">
        <v>74</v>
      </c>
      <c r="D846" s="67">
        <v>425</v>
      </c>
      <c r="E846" s="67"/>
      <c r="F846" s="112" t="s">
        <v>58</v>
      </c>
      <c r="G846" s="117" t="s">
        <v>326</v>
      </c>
    </row>
    <row r="847" spans="1:7" ht="16.5" thickBot="1">
      <c r="A847" s="246" t="s">
        <v>32</v>
      </c>
      <c r="B847" s="251">
        <v>43749</v>
      </c>
      <c r="C847" s="61" t="s">
        <v>254</v>
      </c>
      <c r="D847" s="57">
        <f>200+25</f>
        <v>225</v>
      </c>
      <c r="E847" s="57"/>
      <c r="F847" s="46" t="s">
        <v>50</v>
      </c>
      <c r="G847" s="3"/>
    </row>
    <row r="848" spans="1:7" ht="16.5" thickBot="1">
      <c r="A848" s="246" t="s">
        <v>32</v>
      </c>
      <c r="B848" s="251">
        <v>43749</v>
      </c>
      <c r="C848" s="1" t="s">
        <v>112</v>
      </c>
      <c r="D848" s="2">
        <v>80</v>
      </c>
      <c r="E848" s="2"/>
      <c r="F848" s="46" t="s">
        <v>92</v>
      </c>
      <c r="G848" s="3"/>
    </row>
    <row r="849" spans="1:7" ht="16.5" thickBot="1">
      <c r="A849" s="246" t="s">
        <v>32</v>
      </c>
      <c r="B849" s="251">
        <v>43749</v>
      </c>
      <c r="C849" s="5" t="s">
        <v>111</v>
      </c>
      <c r="D849" s="12">
        <v>3000</v>
      </c>
      <c r="E849" s="12"/>
      <c r="F849" s="49" t="s">
        <v>63</v>
      </c>
      <c r="G849" s="18"/>
    </row>
    <row r="850" spans="1:7" ht="16.5" thickBot="1">
      <c r="A850" s="246" t="s">
        <v>32</v>
      </c>
      <c r="B850" s="251">
        <v>43752</v>
      </c>
      <c r="C850" s="25" t="s">
        <v>43</v>
      </c>
      <c r="D850" s="26">
        <v>2000</v>
      </c>
      <c r="E850" s="26"/>
      <c r="F850" s="84" t="s">
        <v>63</v>
      </c>
      <c r="G850" s="15"/>
    </row>
    <row r="851" spans="1:7" ht="16.5" thickBot="1">
      <c r="A851" s="246" t="s">
        <v>32</v>
      </c>
      <c r="B851" s="251">
        <v>43752</v>
      </c>
      <c r="C851" s="1" t="s">
        <v>35</v>
      </c>
      <c r="D851" s="2">
        <v>100</v>
      </c>
      <c r="E851" s="2"/>
      <c r="F851" s="46" t="s">
        <v>50</v>
      </c>
      <c r="G851" s="14"/>
    </row>
    <row r="852" spans="1:7" ht="16.5" thickBot="1">
      <c r="A852" s="246" t="s">
        <v>32</v>
      </c>
      <c r="B852" s="251">
        <v>43752</v>
      </c>
      <c r="C852" s="5" t="s">
        <v>114</v>
      </c>
      <c r="D852" s="12">
        <v>475</v>
      </c>
      <c r="E852" s="12"/>
      <c r="F852" s="126" t="s">
        <v>50</v>
      </c>
      <c r="G852" s="14"/>
    </row>
    <row r="853" spans="1:7" ht="16.5" thickBot="1">
      <c r="A853" s="246" t="s">
        <v>32</v>
      </c>
      <c r="B853" s="251">
        <v>43752</v>
      </c>
      <c r="C853" s="5" t="s">
        <v>86</v>
      </c>
      <c r="D853" s="12">
        <f>1000+500+1200+1000</f>
        <v>3700</v>
      </c>
      <c r="E853" s="12"/>
      <c r="F853" s="126" t="s">
        <v>63</v>
      </c>
      <c r="G853" s="14"/>
    </row>
    <row r="854" spans="1:7" ht="16.5" thickBot="1">
      <c r="A854" s="246" t="s">
        <v>32</v>
      </c>
      <c r="B854" s="251">
        <v>43752</v>
      </c>
      <c r="C854" s="5" t="s">
        <v>327</v>
      </c>
      <c r="D854" s="12">
        <v>50</v>
      </c>
      <c r="E854" s="12"/>
      <c r="F854" s="126" t="s">
        <v>58</v>
      </c>
      <c r="G854" s="14" t="s">
        <v>88</v>
      </c>
    </row>
    <row r="855" spans="1:7" ht="16.5" thickBot="1">
      <c r="A855" s="246" t="s">
        <v>32</v>
      </c>
      <c r="B855" s="251">
        <v>43752</v>
      </c>
      <c r="C855" s="159" t="s">
        <v>250</v>
      </c>
      <c r="D855" s="12">
        <v>1</v>
      </c>
      <c r="E855" s="12"/>
      <c r="F855" s="126" t="s">
        <v>63</v>
      </c>
      <c r="G855" s="14" t="s">
        <v>110</v>
      </c>
    </row>
    <row r="856" spans="1:7" ht="16.5" thickBot="1">
      <c r="A856" s="246" t="s">
        <v>32</v>
      </c>
      <c r="B856" s="251">
        <v>43752</v>
      </c>
      <c r="C856" s="5" t="s">
        <v>304</v>
      </c>
      <c r="D856" s="12">
        <v>1</v>
      </c>
      <c r="E856" s="12"/>
      <c r="F856" s="126" t="s">
        <v>58</v>
      </c>
      <c r="G856" s="14" t="s">
        <v>110</v>
      </c>
    </row>
    <row r="857" spans="1:7" ht="16.5" thickBot="1">
      <c r="A857" s="246" t="s">
        <v>32</v>
      </c>
      <c r="B857" s="251">
        <v>43752</v>
      </c>
      <c r="C857" s="5" t="s">
        <v>328</v>
      </c>
      <c r="D857" s="12">
        <v>3000</v>
      </c>
      <c r="E857" s="12"/>
      <c r="F857" s="126" t="s">
        <v>50</v>
      </c>
      <c r="G857" s="14"/>
    </row>
    <row r="858" spans="1:7" ht="16.5" thickBot="1">
      <c r="A858" s="246" t="s">
        <v>32</v>
      </c>
      <c r="B858" s="252">
        <v>43753</v>
      </c>
      <c r="C858" s="4" t="s">
        <v>103</v>
      </c>
      <c r="D858" s="9">
        <v>200</v>
      </c>
      <c r="E858" s="68"/>
      <c r="F858" s="69" t="s">
        <v>243</v>
      </c>
      <c r="G858" s="15"/>
    </row>
    <row r="859" spans="1:7" ht="16.5" thickBot="1">
      <c r="A859" s="246" t="s">
        <v>32</v>
      </c>
      <c r="B859" s="252">
        <v>43753</v>
      </c>
      <c r="C859" s="61" t="s">
        <v>47</v>
      </c>
      <c r="D859" s="57">
        <v>150</v>
      </c>
      <c r="E859" s="120"/>
      <c r="F859" s="62" t="s">
        <v>44</v>
      </c>
      <c r="G859" s="20"/>
    </row>
    <row r="860" spans="1:7" ht="16.5" thickBot="1">
      <c r="A860" s="246" t="s">
        <v>32</v>
      </c>
      <c r="B860" s="252">
        <v>43753</v>
      </c>
      <c r="C860" s="1" t="s">
        <v>69</v>
      </c>
      <c r="D860" s="2">
        <v>500</v>
      </c>
      <c r="E860" s="2"/>
      <c r="F860" s="46" t="s">
        <v>44</v>
      </c>
      <c r="G860" s="3"/>
    </row>
    <row r="861" spans="1:7" ht="16.5" thickBot="1">
      <c r="A861" s="246" t="s">
        <v>32</v>
      </c>
      <c r="B861" s="252">
        <v>43753</v>
      </c>
      <c r="C861" s="1" t="s">
        <v>329</v>
      </c>
      <c r="D861" s="2">
        <v>1</v>
      </c>
      <c r="E861" s="2"/>
      <c r="F861" s="46" t="s">
        <v>58</v>
      </c>
      <c r="G861" s="3" t="s">
        <v>110</v>
      </c>
    </row>
    <row r="862" spans="1:7" ht="16.5" thickBot="1">
      <c r="A862" s="246" t="s">
        <v>32</v>
      </c>
      <c r="B862" s="252">
        <v>43753</v>
      </c>
      <c r="C862" s="160" t="s">
        <v>82</v>
      </c>
      <c r="D862" s="57">
        <f>1400+350+120</f>
        <v>1870</v>
      </c>
      <c r="E862" s="120"/>
      <c r="F862" s="62" t="s">
        <v>44</v>
      </c>
      <c r="G862" s="20"/>
    </row>
    <row r="863" spans="1:7" ht="16.5" thickBot="1">
      <c r="A863" s="246" t="s">
        <v>32</v>
      </c>
      <c r="B863" s="252">
        <v>43754</v>
      </c>
      <c r="C863" s="4" t="s">
        <v>287</v>
      </c>
      <c r="D863" s="9">
        <f>40+25</f>
        <v>65</v>
      </c>
      <c r="E863" s="68"/>
      <c r="F863" s="69" t="s">
        <v>50</v>
      </c>
      <c r="G863" s="15"/>
    </row>
    <row r="864" spans="1:7" ht="16.5" thickBot="1">
      <c r="A864" s="246" t="s">
        <v>32</v>
      </c>
      <c r="B864" s="252">
        <v>43754</v>
      </c>
      <c r="C864" s="61" t="s">
        <v>142</v>
      </c>
      <c r="D864" s="57">
        <v>100</v>
      </c>
      <c r="E864" s="120"/>
      <c r="F864" s="62" t="s">
        <v>50</v>
      </c>
      <c r="G864" s="20"/>
    </row>
    <row r="865" spans="1:7" ht="16.5" thickBot="1">
      <c r="A865" s="246" t="s">
        <v>32</v>
      </c>
      <c r="B865" s="252">
        <v>43754</v>
      </c>
      <c r="C865" s="1" t="s">
        <v>192</v>
      </c>
      <c r="D865" s="2">
        <v>800</v>
      </c>
      <c r="E865" s="2"/>
      <c r="F865" s="46" t="s">
        <v>44</v>
      </c>
      <c r="G865" s="3"/>
    </row>
    <row r="866" spans="1:7" ht="16.5" thickBot="1">
      <c r="A866" s="246" t="s">
        <v>32</v>
      </c>
      <c r="B866" s="252">
        <v>43755</v>
      </c>
      <c r="C866" s="66" t="s">
        <v>127</v>
      </c>
      <c r="D866" s="26">
        <v>25</v>
      </c>
      <c r="E866" s="39"/>
      <c r="F866" s="39" t="s">
        <v>58</v>
      </c>
      <c r="G866" s="13"/>
    </row>
    <row r="867" spans="1:7" ht="16.5" thickBot="1">
      <c r="A867" s="246" t="s">
        <v>32</v>
      </c>
      <c r="B867" s="252">
        <v>43755</v>
      </c>
      <c r="C867" s="30" t="s">
        <v>118</v>
      </c>
      <c r="D867" s="2">
        <v>50</v>
      </c>
      <c r="E867" s="2"/>
      <c r="F867" s="2" t="s">
        <v>58</v>
      </c>
      <c r="G867" s="3"/>
    </row>
    <row r="868" spans="1:7" ht="16.5" thickBot="1">
      <c r="A868" s="246" t="s">
        <v>32</v>
      </c>
      <c r="B868" s="252">
        <v>43755</v>
      </c>
      <c r="C868" s="79" t="s">
        <v>55</v>
      </c>
      <c r="D868" s="2">
        <f>100+50+100</f>
        <v>250</v>
      </c>
      <c r="E868" s="2"/>
      <c r="F868" s="2" t="s">
        <v>243</v>
      </c>
      <c r="G868" s="3"/>
    </row>
    <row r="869" spans="1:7" ht="16.5" thickBot="1">
      <c r="A869" s="246" t="s">
        <v>32</v>
      </c>
      <c r="B869" s="252">
        <v>43755</v>
      </c>
      <c r="C869" s="79" t="s">
        <v>218</v>
      </c>
      <c r="D869" s="2">
        <v>25</v>
      </c>
      <c r="E869" s="2"/>
      <c r="F869" s="2" t="s">
        <v>243</v>
      </c>
      <c r="G869" s="3"/>
    </row>
    <row r="870" spans="1:7" ht="16.5" thickBot="1">
      <c r="A870" s="246" t="s">
        <v>32</v>
      </c>
      <c r="B870" s="252">
        <v>43755</v>
      </c>
      <c r="C870" s="79" t="s">
        <v>101</v>
      </c>
      <c r="D870" s="2">
        <f>35+1</f>
        <v>36</v>
      </c>
      <c r="E870" s="2"/>
      <c r="F870" s="2" t="s">
        <v>243</v>
      </c>
      <c r="G870" s="3"/>
    </row>
    <row r="871" spans="1:7" ht="16.5" thickBot="1">
      <c r="A871" s="246" t="s">
        <v>32</v>
      </c>
      <c r="B871" s="252">
        <v>43755</v>
      </c>
      <c r="C871" s="79" t="s">
        <v>330</v>
      </c>
      <c r="D871" s="2">
        <v>20</v>
      </c>
      <c r="E871" s="2"/>
      <c r="F871" s="2" t="s">
        <v>243</v>
      </c>
      <c r="G871" s="3"/>
    </row>
    <row r="872" spans="1:7" ht="16.5" thickBot="1">
      <c r="A872" s="246" t="s">
        <v>32</v>
      </c>
      <c r="B872" s="252">
        <v>43756</v>
      </c>
      <c r="C872" s="25" t="s">
        <v>331</v>
      </c>
      <c r="D872" s="58">
        <v>40</v>
      </c>
      <c r="E872" s="58"/>
      <c r="F872" s="76" t="s">
        <v>243</v>
      </c>
      <c r="G872" s="63"/>
    </row>
    <row r="873" spans="1:7" ht="16.5" thickBot="1">
      <c r="A873" s="246" t="s">
        <v>32</v>
      </c>
      <c r="B873" s="252">
        <v>43756</v>
      </c>
      <c r="C873" s="147" t="s">
        <v>145</v>
      </c>
      <c r="D873" s="7">
        <f>80+60</f>
        <v>140</v>
      </c>
      <c r="E873" s="7"/>
      <c r="F873" s="7" t="s">
        <v>44</v>
      </c>
      <c r="G873" s="56"/>
    </row>
    <row r="874" spans="1:7" ht="16.5" thickBot="1">
      <c r="A874" s="246" t="s">
        <v>32</v>
      </c>
      <c r="B874" s="252">
        <v>43756</v>
      </c>
      <c r="C874" s="30" t="s">
        <v>146</v>
      </c>
      <c r="D874" s="65">
        <f>11.35+22.7</f>
        <v>34.049999999999997</v>
      </c>
      <c r="E874" s="65"/>
      <c r="F874" s="51" t="s">
        <v>44</v>
      </c>
      <c r="G874" s="141"/>
    </row>
    <row r="875" spans="1:7" ht="16.5" thickBot="1">
      <c r="A875" s="246" t="s">
        <v>32</v>
      </c>
      <c r="B875" s="252">
        <v>43756</v>
      </c>
      <c r="C875" s="1" t="s">
        <v>332</v>
      </c>
      <c r="D875" s="7">
        <f>20+20</f>
        <v>40</v>
      </c>
      <c r="E875" s="7"/>
      <c r="F875" s="70" t="s">
        <v>44</v>
      </c>
      <c r="G875" s="56"/>
    </row>
    <row r="876" spans="1:7" ht="16.5" thickBot="1">
      <c r="A876" s="246" t="s">
        <v>32</v>
      </c>
      <c r="B876" s="252">
        <v>43759</v>
      </c>
      <c r="C876" s="4" t="s">
        <v>62</v>
      </c>
      <c r="D876" s="26">
        <v>1500</v>
      </c>
      <c r="E876" s="26"/>
      <c r="F876" s="39" t="s">
        <v>44</v>
      </c>
      <c r="G876" s="13"/>
    </row>
    <row r="877" spans="1:7" ht="16.5" thickBot="1">
      <c r="A877" s="246" t="s">
        <v>32</v>
      </c>
      <c r="B877" s="252">
        <v>43759</v>
      </c>
      <c r="C877" s="8" t="s">
        <v>308</v>
      </c>
      <c r="D877" s="2">
        <v>20</v>
      </c>
      <c r="E877" s="2"/>
      <c r="F877" s="2" t="s">
        <v>58</v>
      </c>
      <c r="G877" s="3"/>
    </row>
    <row r="878" spans="1:7" ht="16.5" thickBot="1">
      <c r="A878" s="246" t="s">
        <v>32</v>
      </c>
      <c r="B878" s="252">
        <v>43759</v>
      </c>
      <c r="C878" s="100" t="s">
        <v>333</v>
      </c>
      <c r="D878" s="105">
        <v>1000</v>
      </c>
      <c r="E878" s="105"/>
      <c r="F878" s="223" t="s">
        <v>63</v>
      </c>
      <c r="G878" s="124" t="s">
        <v>334</v>
      </c>
    </row>
    <row r="879" spans="1:7" ht="16.5" thickBot="1">
      <c r="A879" s="246" t="s">
        <v>32</v>
      </c>
      <c r="B879" s="252">
        <v>43760</v>
      </c>
      <c r="C879" s="4" t="s">
        <v>47</v>
      </c>
      <c r="D879" s="9">
        <v>200</v>
      </c>
      <c r="E879" s="9"/>
      <c r="F879" s="198" t="s">
        <v>44</v>
      </c>
      <c r="G879" s="15"/>
    </row>
    <row r="880" spans="1:7" ht="16.5" thickBot="1">
      <c r="A880" s="246" t="s">
        <v>32</v>
      </c>
      <c r="B880" s="252">
        <v>43760</v>
      </c>
      <c r="C880" s="61" t="s">
        <v>126</v>
      </c>
      <c r="D880" s="57">
        <v>20</v>
      </c>
      <c r="E880" s="12"/>
      <c r="F880" s="38" t="s">
        <v>44</v>
      </c>
      <c r="G880" s="18"/>
    </row>
    <row r="881" spans="1:7" ht="16.5" thickBot="1">
      <c r="A881" s="246" t="s">
        <v>32</v>
      </c>
      <c r="B881" s="252">
        <v>43760</v>
      </c>
      <c r="C881" s="1" t="s">
        <v>69</v>
      </c>
      <c r="D881" s="2">
        <v>500</v>
      </c>
      <c r="E881" s="12"/>
      <c r="F881" s="38" t="s">
        <v>44</v>
      </c>
      <c r="G881" s="18"/>
    </row>
    <row r="882" spans="1:7" ht="16.5" thickBot="1">
      <c r="A882" s="246" t="s">
        <v>32</v>
      </c>
      <c r="B882" s="252">
        <v>43760</v>
      </c>
      <c r="C882" s="61" t="s">
        <v>335</v>
      </c>
      <c r="D882" s="57">
        <v>100</v>
      </c>
      <c r="E882" s="12"/>
      <c r="F882" s="38" t="s">
        <v>44</v>
      </c>
      <c r="G882" s="18"/>
    </row>
    <row r="883" spans="1:7" ht="16.5" thickBot="1">
      <c r="A883" s="246" t="s">
        <v>32</v>
      </c>
      <c r="B883" s="252">
        <v>43760</v>
      </c>
      <c r="C883" s="81" t="s">
        <v>174</v>
      </c>
      <c r="D883" s="82"/>
      <c r="E883" s="128">
        <v>1475</v>
      </c>
      <c r="F883" s="197"/>
      <c r="G883" s="129" t="s">
        <v>66</v>
      </c>
    </row>
    <row r="884" spans="1:7" ht="16.5" thickBot="1">
      <c r="A884" s="246" t="s">
        <v>32</v>
      </c>
      <c r="B884" s="252">
        <v>43761</v>
      </c>
      <c r="C884" s="25" t="s">
        <v>219</v>
      </c>
      <c r="D884" s="26">
        <v>200</v>
      </c>
      <c r="E884" s="39"/>
      <c r="F884" s="39" t="s">
        <v>336</v>
      </c>
      <c r="G884" s="13"/>
    </row>
    <row r="885" spans="1:7" ht="16.5" thickBot="1">
      <c r="A885" s="246" t="s">
        <v>32</v>
      </c>
      <c r="B885" s="252">
        <v>43761</v>
      </c>
      <c r="C885" s="1" t="s">
        <v>64</v>
      </c>
      <c r="D885" s="2">
        <v>1000</v>
      </c>
      <c r="E885" s="2"/>
      <c r="F885" s="2" t="s">
        <v>92</v>
      </c>
      <c r="G885" s="3" t="s">
        <v>73</v>
      </c>
    </row>
    <row r="886" spans="1:7" ht="16.5" thickBot="1">
      <c r="A886" s="246" t="s">
        <v>32</v>
      </c>
      <c r="B886" s="252">
        <v>43761</v>
      </c>
      <c r="C886" s="1" t="s">
        <v>337</v>
      </c>
      <c r="D886" s="2">
        <v>20</v>
      </c>
      <c r="E886" s="12"/>
      <c r="F886" s="38" t="s">
        <v>336</v>
      </c>
      <c r="G886" s="18"/>
    </row>
    <row r="887" spans="1:7" ht="16.5" thickBot="1">
      <c r="A887" s="246" t="s">
        <v>32</v>
      </c>
      <c r="B887" s="252">
        <v>43761</v>
      </c>
      <c r="C887" s="5" t="s">
        <v>104</v>
      </c>
      <c r="D887" s="12">
        <v>4000</v>
      </c>
      <c r="E887" s="12"/>
      <c r="F887" s="38" t="s">
        <v>44</v>
      </c>
      <c r="G887" s="18" t="s">
        <v>105</v>
      </c>
    </row>
    <row r="888" spans="1:7" ht="16.5" thickBot="1">
      <c r="A888" s="246" t="s">
        <v>32</v>
      </c>
      <c r="B888" s="252">
        <v>43761</v>
      </c>
      <c r="C888" s="5" t="s">
        <v>164</v>
      </c>
      <c r="D888" s="12">
        <f>200+40+40</f>
        <v>280</v>
      </c>
      <c r="E888" s="12"/>
      <c r="F888" s="38" t="s">
        <v>336</v>
      </c>
      <c r="G888" s="18"/>
    </row>
    <row r="889" spans="1:7" ht="16.5" thickBot="1">
      <c r="A889" s="246" t="s">
        <v>32</v>
      </c>
      <c r="B889" s="252">
        <v>43762</v>
      </c>
      <c r="C889" s="25" t="s">
        <v>118</v>
      </c>
      <c r="D889" s="58">
        <v>50</v>
      </c>
      <c r="E889" s="59"/>
      <c r="F889" s="58" t="s">
        <v>63</v>
      </c>
      <c r="G889" s="22"/>
    </row>
    <row r="890" spans="1:7" ht="16.5" thickBot="1">
      <c r="A890" s="246" t="s">
        <v>32</v>
      </c>
      <c r="B890" s="252">
        <v>43762</v>
      </c>
      <c r="C890" s="1" t="s">
        <v>107</v>
      </c>
      <c r="D890" s="7"/>
      <c r="E890" s="7">
        <v>400</v>
      </c>
      <c r="F890" s="7"/>
      <c r="G890" s="3" t="s">
        <v>108</v>
      </c>
    </row>
    <row r="891" spans="1:7" ht="16.5" thickBot="1">
      <c r="A891" s="246" t="s">
        <v>32</v>
      </c>
      <c r="B891" s="252">
        <v>43762</v>
      </c>
      <c r="C891" s="5" t="s">
        <v>112</v>
      </c>
      <c r="D891" s="142">
        <f>120+10</f>
        <v>130</v>
      </c>
      <c r="E891" s="143"/>
      <c r="F891" s="7" t="s">
        <v>243</v>
      </c>
      <c r="G891" s="47"/>
    </row>
    <row r="892" spans="1:7" ht="16.5" thickBot="1">
      <c r="A892" s="246" t="s">
        <v>32</v>
      </c>
      <c r="B892" s="252">
        <v>43762</v>
      </c>
      <c r="C892" s="5" t="s">
        <v>78</v>
      </c>
      <c r="D892" s="142">
        <v>40</v>
      </c>
      <c r="E892" s="143"/>
      <c r="F892" s="7" t="s">
        <v>63</v>
      </c>
      <c r="G892" s="47"/>
    </row>
    <row r="893" spans="1:7" ht="16.5" thickBot="1">
      <c r="A893" s="246" t="s">
        <v>32</v>
      </c>
      <c r="B893" s="252">
        <v>43762</v>
      </c>
      <c r="C893" s="30" t="s">
        <v>146</v>
      </c>
      <c r="D893" s="142">
        <v>10</v>
      </c>
      <c r="E893" s="143"/>
      <c r="F893" s="7" t="s">
        <v>63</v>
      </c>
      <c r="G893" s="47" t="s">
        <v>110</v>
      </c>
    </row>
    <row r="894" spans="1:7" ht="16.5" thickBot="1">
      <c r="A894" s="246" t="s">
        <v>32</v>
      </c>
      <c r="B894" s="252">
        <v>43762</v>
      </c>
      <c r="C894" s="5" t="s">
        <v>246</v>
      </c>
      <c r="D894" s="142">
        <v>3365</v>
      </c>
      <c r="E894" s="143"/>
      <c r="F894" s="86"/>
      <c r="G894" s="47"/>
    </row>
    <row r="895" spans="1:7" ht="16.5" thickBot="1">
      <c r="A895" s="246" t="s">
        <v>32</v>
      </c>
      <c r="B895" s="253">
        <v>43763</v>
      </c>
      <c r="C895" s="25" t="s">
        <v>87</v>
      </c>
      <c r="D895" s="58">
        <v>2000</v>
      </c>
      <c r="E895" s="59"/>
      <c r="F895" s="58" t="s">
        <v>243</v>
      </c>
      <c r="G895" s="13" t="s">
        <v>88</v>
      </c>
    </row>
    <row r="896" spans="1:7" ht="16.5" thickBot="1">
      <c r="A896" s="246" t="s">
        <v>32</v>
      </c>
      <c r="B896" s="253">
        <v>43763</v>
      </c>
      <c r="C896" s="19" t="s">
        <v>292</v>
      </c>
      <c r="D896" s="7">
        <v>25</v>
      </c>
      <c r="E896" s="7"/>
      <c r="F896" s="7" t="s">
        <v>92</v>
      </c>
      <c r="G896" s="3"/>
    </row>
    <row r="897" spans="1:7" ht="16.5" thickBot="1">
      <c r="A897" s="246" t="s">
        <v>32</v>
      </c>
      <c r="B897" s="253">
        <v>43766</v>
      </c>
      <c r="C897" s="21" t="s">
        <v>151</v>
      </c>
      <c r="D897" s="9">
        <v>40</v>
      </c>
      <c r="E897" s="52"/>
      <c r="F897" s="9" t="s">
        <v>92</v>
      </c>
      <c r="G897" s="15"/>
    </row>
    <row r="898" spans="1:7" ht="16.5" thickBot="1">
      <c r="A898" s="246" t="s">
        <v>32</v>
      </c>
      <c r="B898" s="253">
        <v>43766</v>
      </c>
      <c r="C898" s="224" t="s">
        <v>107</v>
      </c>
      <c r="D898" s="225"/>
      <c r="E898" s="226">
        <v>400</v>
      </c>
      <c r="F898" s="225"/>
      <c r="G898" s="227" t="s">
        <v>108</v>
      </c>
    </row>
    <row r="899" spans="1:7" ht="16.5" thickBot="1">
      <c r="A899" s="246" t="s">
        <v>32</v>
      </c>
      <c r="B899" s="253">
        <v>43767</v>
      </c>
      <c r="C899" s="41" t="s">
        <v>69</v>
      </c>
      <c r="D899" s="9">
        <v>500</v>
      </c>
      <c r="E899" s="32"/>
      <c r="F899" s="9" t="s">
        <v>92</v>
      </c>
      <c r="G899" s="22"/>
    </row>
    <row r="900" spans="1:7" ht="16.5" thickBot="1">
      <c r="A900" s="246" t="s">
        <v>32</v>
      </c>
      <c r="B900" s="253">
        <v>43768</v>
      </c>
      <c r="C900" s="41" t="s">
        <v>48</v>
      </c>
      <c r="D900" s="9">
        <f>600+250</f>
        <v>850</v>
      </c>
      <c r="E900" s="32"/>
      <c r="F900" s="78" t="s">
        <v>63</v>
      </c>
      <c r="G900" s="22"/>
    </row>
    <row r="901" spans="1:7" ht="16.5" thickBot="1">
      <c r="A901" s="246" t="s">
        <v>32</v>
      </c>
      <c r="B901" s="253">
        <v>43768</v>
      </c>
      <c r="C901" s="42" t="s">
        <v>338</v>
      </c>
      <c r="D901" s="10">
        <v>100</v>
      </c>
      <c r="E901" s="2"/>
      <c r="F901" s="46" t="s">
        <v>63</v>
      </c>
      <c r="G901" s="3"/>
    </row>
    <row r="902" spans="1:7" ht="16.5" thickBot="1">
      <c r="A902" s="246" t="s">
        <v>32</v>
      </c>
      <c r="B902" s="253">
        <v>43768</v>
      </c>
      <c r="C902" s="42" t="s">
        <v>287</v>
      </c>
      <c r="D902" s="10">
        <f>40+20</f>
        <v>60</v>
      </c>
      <c r="E902" s="37"/>
      <c r="F902" s="44" t="s">
        <v>63</v>
      </c>
      <c r="G902" s="24"/>
    </row>
    <row r="903" spans="1:7" ht="16.5" thickBot="1">
      <c r="A903" s="246" t="s">
        <v>32</v>
      </c>
      <c r="B903" s="253">
        <v>43768</v>
      </c>
      <c r="C903" s="42" t="s">
        <v>191</v>
      </c>
      <c r="D903" s="10">
        <v>520</v>
      </c>
      <c r="E903" s="2"/>
      <c r="F903" s="44" t="s">
        <v>58</v>
      </c>
      <c r="G903" s="3"/>
    </row>
    <row r="904" spans="1:7" ht="16.5" thickBot="1">
      <c r="A904" s="246" t="s">
        <v>32</v>
      </c>
      <c r="B904" s="253">
        <v>43768</v>
      </c>
      <c r="C904" s="109" t="s">
        <v>101</v>
      </c>
      <c r="D904" s="2">
        <f>2+50</f>
        <v>52</v>
      </c>
      <c r="E904" s="2"/>
      <c r="F904" s="46" t="s">
        <v>63</v>
      </c>
      <c r="G904" s="3"/>
    </row>
    <row r="905" spans="1:7" ht="16.5" thickBot="1">
      <c r="A905" s="246" t="s">
        <v>32</v>
      </c>
      <c r="B905" s="253">
        <v>43768</v>
      </c>
      <c r="C905" s="228" t="s">
        <v>152</v>
      </c>
      <c r="D905" s="12">
        <v>100</v>
      </c>
      <c r="E905" s="12"/>
      <c r="F905" s="191" t="s">
        <v>63</v>
      </c>
      <c r="G905" s="18"/>
    </row>
    <row r="906" spans="1:7" ht="16.5" thickBot="1">
      <c r="A906" s="246" t="s">
        <v>32</v>
      </c>
      <c r="B906" s="253">
        <v>43768</v>
      </c>
      <c r="C906" s="228" t="s">
        <v>104</v>
      </c>
      <c r="D906" s="12">
        <f>1000+3000</f>
        <v>4000</v>
      </c>
      <c r="E906" s="12"/>
      <c r="F906" s="191" t="s">
        <v>50</v>
      </c>
      <c r="G906" s="18" t="s">
        <v>105</v>
      </c>
    </row>
    <row r="907" spans="1:7" ht="16.5" thickBot="1">
      <c r="A907" s="246" t="s">
        <v>32</v>
      </c>
      <c r="B907" s="253">
        <v>43769</v>
      </c>
      <c r="C907" s="41" t="s">
        <v>207</v>
      </c>
      <c r="D907" s="9">
        <v>900</v>
      </c>
      <c r="E907" s="32"/>
      <c r="F907" s="43" t="s">
        <v>50</v>
      </c>
      <c r="G907" s="22"/>
    </row>
    <row r="908" spans="1:7" ht="16.5" thickBot="1">
      <c r="A908" s="246" t="s">
        <v>32</v>
      </c>
      <c r="B908" s="253">
        <v>43769</v>
      </c>
      <c r="C908" s="42" t="s">
        <v>91</v>
      </c>
      <c r="D908" s="10">
        <v>175</v>
      </c>
      <c r="E908" s="2"/>
      <c r="F908" s="44" t="s">
        <v>44</v>
      </c>
      <c r="G908" s="3"/>
    </row>
    <row r="909" spans="1:7" ht="16.5" thickBot="1">
      <c r="A909" s="246" t="s">
        <v>32</v>
      </c>
      <c r="B909" s="253">
        <v>43769</v>
      </c>
      <c r="C909" s="42" t="s">
        <v>118</v>
      </c>
      <c r="D909" s="10">
        <v>125</v>
      </c>
      <c r="E909" s="2"/>
      <c r="F909" s="44" t="s">
        <v>44</v>
      </c>
      <c r="G909" s="3"/>
    </row>
    <row r="910" spans="1:7" ht="16.5" thickBot="1">
      <c r="A910" s="246" t="s">
        <v>32</v>
      </c>
      <c r="B910" s="253">
        <v>43769</v>
      </c>
      <c r="C910" s="42" t="s">
        <v>127</v>
      </c>
      <c r="D910" s="10">
        <v>50</v>
      </c>
      <c r="E910" s="2"/>
      <c r="F910" s="44" t="s">
        <v>44</v>
      </c>
      <c r="G910" s="3"/>
    </row>
    <row r="911" spans="1:7" ht="16.5" thickBot="1">
      <c r="A911" s="246" t="s">
        <v>32</v>
      </c>
      <c r="B911" s="253">
        <v>43769</v>
      </c>
      <c r="C911" s="42" t="s">
        <v>183</v>
      </c>
      <c r="D911" s="10">
        <f>50+200</f>
        <v>250</v>
      </c>
      <c r="E911" s="2"/>
      <c r="F911" s="44" t="s">
        <v>50</v>
      </c>
      <c r="G911" s="3"/>
    </row>
    <row r="912" spans="1:7" ht="16.5" thickBot="1">
      <c r="A912" s="246" t="s">
        <v>32</v>
      </c>
      <c r="B912" s="253">
        <v>43769</v>
      </c>
      <c r="C912" s="42" t="s">
        <v>254</v>
      </c>
      <c r="D912" s="10">
        <v>150</v>
      </c>
      <c r="E912" s="2"/>
      <c r="F912" s="44" t="s">
        <v>50</v>
      </c>
      <c r="G912" s="3"/>
    </row>
    <row r="913" spans="1:7" ht="16.5" thickBot="1">
      <c r="A913" s="246" t="s">
        <v>32</v>
      </c>
      <c r="B913" s="253">
        <v>43769</v>
      </c>
      <c r="C913" s="42" t="s">
        <v>196</v>
      </c>
      <c r="D913" s="10">
        <v>100</v>
      </c>
      <c r="E913" s="2"/>
      <c r="F913" s="44" t="s">
        <v>243</v>
      </c>
      <c r="G913" s="3" t="s">
        <v>88</v>
      </c>
    </row>
    <row r="914" spans="1:7" ht="16.5" thickBot="1">
      <c r="A914" s="246" t="s">
        <v>32</v>
      </c>
      <c r="B914" s="253">
        <v>43769</v>
      </c>
      <c r="C914" s="42" t="s">
        <v>119</v>
      </c>
      <c r="D914" s="10">
        <f>50+12</f>
        <v>62</v>
      </c>
      <c r="E914" s="2"/>
      <c r="F914" s="44" t="s">
        <v>236</v>
      </c>
      <c r="G914" s="3" t="s">
        <v>339</v>
      </c>
    </row>
    <row r="915" spans="1:7" ht="16.5" thickBot="1">
      <c r="A915" s="246" t="s">
        <v>33</v>
      </c>
      <c r="B915" s="250">
        <v>43770</v>
      </c>
      <c r="C915" s="50" t="s">
        <v>48</v>
      </c>
      <c r="D915" s="27">
        <v>1000</v>
      </c>
      <c r="E915" s="33"/>
      <c r="F915" s="45" t="s">
        <v>63</v>
      </c>
      <c r="G915" s="13"/>
    </row>
    <row r="916" spans="1:7" ht="16.5" thickBot="1">
      <c r="A916" s="246" t="s">
        <v>33</v>
      </c>
      <c r="B916" s="250">
        <v>43770</v>
      </c>
      <c r="C916" s="30" t="s">
        <v>340</v>
      </c>
      <c r="D916" s="6">
        <v>40</v>
      </c>
      <c r="E916" s="6"/>
      <c r="F916" s="46" t="s">
        <v>243</v>
      </c>
      <c r="G916" s="3"/>
    </row>
    <row r="917" spans="1:7" ht="16.5" thickBot="1">
      <c r="A917" s="246" t="s">
        <v>33</v>
      </c>
      <c r="B917" s="251">
        <v>43773</v>
      </c>
      <c r="C917" s="1" t="s">
        <v>156</v>
      </c>
      <c r="D917" s="6">
        <f>390+240+725+750</f>
        <v>2105</v>
      </c>
      <c r="E917" s="6"/>
      <c r="F917" s="46" t="s">
        <v>92</v>
      </c>
      <c r="G917" s="15" t="s">
        <v>88</v>
      </c>
    </row>
    <row r="918" spans="1:7" ht="16.5" thickBot="1">
      <c r="A918" s="246" t="s">
        <v>33</v>
      </c>
      <c r="B918" s="251">
        <v>43773</v>
      </c>
      <c r="C918" s="8" t="s">
        <v>56</v>
      </c>
      <c r="D918" s="11">
        <f>2500+20</f>
        <v>2520</v>
      </c>
      <c r="E918" s="11"/>
      <c r="F918" s="40" t="s">
        <v>50</v>
      </c>
      <c r="G918" s="14"/>
    </row>
    <row r="919" spans="1:7" ht="16.5" thickBot="1">
      <c r="A919" s="246" t="s">
        <v>33</v>
      </c>
      <c r="B919" s="251">
        <v>43773</v>
      </c>
      <c r="C919" s="8" t="s">
        <v>54</v>
      </c>
      <c r="D919" s="11">
        <f>4000+40</f>
        <v>4040</v>
      </c>
      <c r="E919" s="11"/>
      <c r="F919" s="40" t="s">
        <v>50</v>
      </c>
      <c r="G919" s="14"/>
    </row>
    <row r="920" spans="1:7" ht="16.5" thickBot="1">
      <c r="A920" s="246" t="s">
        <v>33</v>
      </c>
      <c r="B920" s="251">
        <v>43773</v>
      </c>
      <c r="C920" s="8" t="s">
        <v>86</v>
      </c>
      <c r="D920" s="11">
        <v>2000</v>
      </c>
      <c r="E920" s="11"/>
      <c r="F920" s="40" t="s">
        <v>63</v>
      </c>
      <c r="G920" s="14"/>
    </row>
    <row r="921" spans="1:7" ht="16.5" thickBot="1">
      <c r="A921" s="246" t="s">
        <v>33</v>
      </c>
      <c r="B921" s="251">
        <v>43773</v>
      </c>
      <c r="C921" s="160" t="s">
        <v>82</v>
      </c>
      <c r="D921" s="6">
        <f>520+400</f>
        <v>920</v>
      </c>
      <c r="E921" s="6"/>
      <c r="F921" s="46" t="s">
        <v>50</v>
      </c>
      <c r="G921" s="3"/>
    </row>
    <row r="922" spans="1:7" ht="16.5" thickBot="1">
      <c r="A922" s="246" t="s">
        <v>33</v>
      </c>
      <c r="B922" s="251">
        <v>43773</v>
      </c>
      <c r="C922" s="81" t="s">
        <v>79</v>
      </c>
      <c r="D922" s="110"/>
      <c r="E922" s="110">
        <v>200</v>
      </c>
      <c r="F922" s="83" t="s">
        <v>11</v>
      </c>
      <c r="G922" s="64" t="s">
        <v>52</v>
      </c>
    </row>
    <row r="923" spans="1:7" ht="16.5" thickBot="1">
      <c r="A923" s="246" t="s">
        <v>33</v>
      </c>
      <c r="B923" s="251">
        <v>43774</v>
      </c>
      <c r="C923" s="1" t="s">
        <v>123</v>
      </c>
      <c r="D923" s="6">
        <v>2000</v>
      </c>
      <c r="E923" s="6"/>
      <c r="F923" s="46" t="s">
        <v>44</v>
      </c>
      <c r="G923" s="63"/>
    </row>
    <row r="924" spans="1:7" ht="16.5" thickBot="1">
      <c r="A924" s="246" t="s">
        <v>33</v>
      </c>
      <c r="B924" s="251">
        <v>43774</v>
      </c>
      <c r="C924" s="100" t="s">
        <v>219</v>
      </c>
      <c r="D924" s="138">
        <f>600+320</f>
        <v>920</v>
      </c>
      <c r="E924" s="215"/>
      <c r="F924" s="139" t="s">
        <v>243</v>
      </c>
      <c r="G924" s="230" t="s">
        <v>95</v>
      </c>
    </row>
    <row r="925" spans="1:7" ht="16.5" thickBot="1">
      <c r="A925" s="246" t="s">
        <v>33</v>
      </c>
      <c r="B925" s="251">
        <v>43774</v>
      </c>
      <c r="C925" s="8" t="s">
        <v>101</v>
      </c>
      <c r="D925" s="11">
        <v>100</v>
      </c>
      <c r="E925" s="35"/>
      <c r="F925" s="46" t="s">
        <v>63</v>
      </c>
      <c r="G925" s="132"/>
    </row>
    <row r="926" spans="1:7" ht="16.5" thickBot="1">
      <c r="A926" s="246" t="s">
        <v>33</v>
      </c>
      <c r="B926" s="251">
        <v>43774</v>
      </c>
      <c r="C926" s="91" t="s">
        <v>341</v>
      </c>
      <c r="D926" s="96"/>
      <c r="E926" s="153">
        <f>1000+1000+1500+1200</f>
        <v>4700</v>
      </c>
      <c r="F926" s="83" t="s">
        <v>11</v>
      </c>
      <c r="G926" s="231" t="s">
        <v>66</v>
      </c>
    </row>
    <row r="927" spans="1:7" ht="16.5" thickBot="1">
      <c r="A927" s="246" t="s">
        <v>33</v>
      </c>
      <c r="B927" s="251">
        <v>43774</v>
      </c>
      <c r="C927" s="1" t="s">
        <v>47</v>
      </c>
      <c r="D927" s="6">
        <v>425</v>
      </c>
      <c r="E927" s="35"/>
      <c r="F927" s="46" t="s">
        <v>63</v>
      </c>
      <c r="G927" s="132"/>
    </row>
    <row r="928" spans="1:7" ht="16.5" thickBot="1">
      <c r="A928" s="246" t="s">
        <v>33</v>
      </c>
      <c r="B928" s="251">
        <v>43774</v>
      </c>
      <c r="C928" s="5" t="s">
        <v>342</v>
      </c>
      <c r="D928" s="232">
        <v>25</v>
      </c>
      <c r="E928" s="35"/>
      <c r="F928" s="46" t="s">
        <v>63</v>
      </c>
      <c r="G928" s="132"/>
    </row>
    <row r="929" spans="1:7" ht="16.5" thickBot="1">
      <c r="A929" s="246" t="s">
        <v>33</v>
      </c>
      <c r="B929" s="251">
        <v>43774</v>
      </c>
      <c r="C929" s="5" t="s">
        <v>171</v>
      </c>
      <c r="D929" s="232">
        <v>150</v>
      </c>
      <c r="E929" s="35"/>
      <c r="F929" s="46" t="s">
        <v>50</v>
      </c>
      <c r="G929" s="132"/>
    </row>
    <row r="930" spans="1:7" ht="16.5" thickBot="1">
      <c r="A930" s="246" t="s">
        <v>33</v>
      </c>
      <c r="B930" s="251">
        <v>43775</v>
      </c>
      <c r="C930" s="118" t="s">
        <v>74</v>
      </c>
      <c r="D930" s="102">
        <v>250</v>
      </c>
      <c r="E930" s="217"/>
      <c r="F930" s="218" t="s">
        <v>92</v>
      </c>
      <c r="G930" s="219"/>
    </row>
    <row r="931" spans="1:7" ht="16.5" thickBot="1">
      <c r="A931" s="246" t="s">
        <v>33</v>
      </c>
      <c r="B931" s="251">
        <v>43775</v>
      </c>
      <c r="C931" s="160" t="s">
        <v>82</v>
      </c>
      <c r="D931" s="10">
        <v>2475</v>
      </c>
      <c r="E931" s="28"/>
      <c r="F931" s="30" t="s">
        <v>50</v>
      </c>
      <c r="G931" s="55"/>
    </row>
    <row r="932" spans="1:7" ht="16.5" thickBot="1">
      <c r="A932" s="246" t="s">
        <v>33</v>
      </c>
      <c r="B932" s="251">
        <v>43775</v>
      </c>
      <c r="C932" s="92" t="s">
        <v>192</v>
      </c>
      <c r="D932" s="37">
        <v>2010</v>
      </c>
      <c r="E932" s="28"/>
      <c r="F932" s="30" t="s">
        <v>44</v>
      </c>
      <c r="G932" s="144"/>
    </row>
    <row r="933" spans="1:7" ht="16.5" thickBot="1">
      <c r="A933" s="246" t="s">
        <v>33</v>
      </c>
      <c r="B933" s="251">
        <v>43776</v>
      </c>
      <c r="C933" s="31" t="s">
        <v>43</v>
      </c>
      <c r="D933" s="9">
        <v>2000</v>
      </c>
      <c r="E933" s="9"/>
      <c r="F933" s="50" t="s">
        <v>63</v>
      </c>
      <c r="G933" s="15"/>
    </row>
    <row r="934" spans="1:7" ht="16.5" thickBot="1">
      <c r="A934" s="246" t="s">
        <v>33</v>
      </c>
      <c r="B934" s="251">
        <v>43776</v>
      </c>
      <c r="C934" s="29" t="s">
        <v>48</v>
      </c>
      <c r="D934" s="10">
        <f>600+200</f>
        <v>800</v>
      </c>
      <c r="E934" s="123"/>
      <c r="F934" s="30" t="s">
        <v>63</v>
      </c>
      <c r="G934" s="20"/>
    </row>
    <row r="935" spans="1:7" ht="16.5" thickBot="1">
      <c r="A935" s="246" t="s">
        <v>33</v>
      </c>
      <c r="B935" s="251">
        <v>43777</v>
      </c>
      <c r="C935" s="31" t="s">
        <v>75</v>
      </c>
      <c r="D935" s="17">
        <f>40+50</f>
        <v>90</v>
      </c>
      <c r="E935" s="72"/>
      <c r="F935" s="72" t="s">
        <v>58</v>
      </c>
      <c r="G935" s="15" t="s">
        <v>76</v>
      </c>
    </row>
    <row r="936" spans="1:7" ht="16.5" thickBot="1">
      <c r="A936" s="246" t="s">
        <v>33</v>
      </c>
      <c r="B936" s="251">
        <v>43777</v>
      </c>
      <c r="C936" s="233" t="s">
        <v>107</v>
      </c>
      <c r="D936" s="234"/>
      <c r="E936" s="235">
        <v>400</v>
      </c>
      <c r="F936" s="235" t="s">
        <v>11</v>
      </c>
      <c r="G936" s="236" t="s">
        <v>108</v>
      </c>
    </row>
    <row r="937" spans="1:7" ht="16.5" thickBot="1">
      <c r="A937" s="246" t="s">
        <v>33</v>
      </c>
      <c r="B937" s="251">
        <v>43777</v>
      </c>
      <c r="C937" s="30" t="s">
        <v>62</v>
      </c>
      <c r="D937" s="7">
        <v>1500</v>
      </c>
      <c r="E937" s="7"/>
      <c r="F937" s="7" t="s">
        <v>92</v>
      </c>
      <c r="G937" s="3"/>
    </row>
    <row r="938" spans="1:7" ht="16.5" thickBot="1">
      <c r="A938" s="246" t="s">
        <v>33</v>
      </c>
      <c r="B938" s="251">
        <v>43777</v>
      </c>
      <c r="C938" s="188" t="s">
        <v>343</v>
      </c>
      <c r="D938" s="142">
        <v>20</v>
      </c>
      <c r="E938" s="86"/>
      <c r="F938" s="142" t="s">
        <v>58</v>
      </c>
      <c r="G938" s="18" t="s">
        <v>344</v>
      </c>
    </row>
    <row r="939" spans="1:7" ht="16.5" thickBot="1">
      <c r="A939" s="246" t="s">
        <v>33</v>
      </c>
      <c r="B939" s="251">
        <v>43780</v>
      </c>
      <c r="C939" s="4" t="s">
        <v>47</v>
      </c>
      <c r="D939" s="17">
        <v>250</v>
      </c>
      <c r="E939" s="58"/>
      <c r="F939" s="58" t="s">
        <v>44</v>
      </c>
      <c r="G939" s="13"/>
    </row>
    <row r="940" spans="1:7" ht="16.5" thickBot="1">
      <c r="A940" s="246" t="s">
        <v>33</v>
      </c>
      <c r="B940" s="251">
        <v>43780</v>
      </c>
      <c r="C940" s="8" t="s">
        <v>69</v>
      </c>
      <c r="D940" s="16">
        <v>1000</v>
      </c>
      <c r="E940" s="7"/>
      <c r="F940" s="7" t="s">
        <v>44</v>
      </c>
      <c r="G940" s="3"/>
    </row>
    <row r="941" spans="1:7" ht="16.5" thickBot="1">
      <c r="A941" s="246" t="s">
        <v>33</v>
      </c>
      <c r="B941" s="251">
        <v>43781</v>
      </c>
      <c r="C941" s="4" t="s">
        <v>112</v>
      </c>
      <c r="D941" s="17">
        <v>200</v>
      </c>
      <c r="E941" s="17"/>
      <c r="F941" s="17" t="s">
        <v>58</v>
      </c>
      <c r="G941" s="99"/>
    </row>
    <row r="942" spans="1:7" ht="16.5" thickBot="1">
      <c r="A942" s="246" t="s">
        <v>33</v>
      </c>
      <c r="B942" s="251">
        <v>43781</v>
      </c>
      <c r="C942" s="8" t="s">
        <v>119</v>
      </c>
      <c r="D942" s="16">
        <f>50+40</f>
        <v>90</v>
      </c>
      <c r="E942" s="51"/>
      <c r="F942" s="51" t="s">
        <v>243</v>
      </c>
      <c r="G942" s="3"/>
    </row>
    <row r="943" spans="1:7" ht="16.5" thickBot="1">
      <c r="A943" s="246" t="s">
        <v>33</v>
      </c>
      <c r="B943" s="251">
        <v>43781</v>
      </c>
      <c r="C943" s="8" t="s">
        <v>48</v>
      </c>
      <c r="D943" s="16">
        <v>800</v>
      </c>
      <c r="E943" s="7"/>
      <c r="F943" s="7" t="s">
        <v>63</v>
      </c>
      <c r="G943" s="3"/>
    </row>
    <row r="944" spans="1:7" ht="16.5" thickBot="1">
      <c r="A944" s="246" t="s">
        <v>33</v>
      </c>
      <c r="B944" s="251">
        <v>43781</v>
      </c>
      <c r="C944" s="8" t="s">
        <v>218</v>
      </c>
      <c r="D944" s="16">
        <f>25+25</f>
        <v>50</v>
      </c>
      <c r="E944" s="70"/>
      <c r="F944" s="7" t="s">
        <v>63</v>
      </c>
      <c r="G944" s="3"/>
    </row>
    <row r="945" spans="1:7" ht="16.5" thickBot="1">
      <c r="A945" s="246" t="s">
        <v>33</v>
      </c>
      <c r="B945" s="251">
        <v>43781</v>
      </c>
      <c r="C945" s="8" t="s">
        <v>147</v>
      </c>
      <c r="D945" s="16">
        <f>700+180+1000+1200</f>
        <v>3080</v>
      </c>
      <c r="E945" s="70"/>
      <c r="F945" s="7" t="s">
        <v>345</v>
      </c>
      <c r="G945" s="3" t="s">
        <v>259</v>
      </c>
    </row>
    <row r="946" spans="1:7" ht="16.5" thickBot="1">
      <c r="A946" s="246" t="s">
        <v>33</v>
      </c>
      <c r="B946" s="251">
        <v>43781</v>
      </c>
      <c r="C946" s="8" t="s">
        <v>81</v>
      </c>
      <c r="D946" s="16">
        <v>3000</v>
      </c>
      <c r="E946" s="70"/>
      <c r="F946" s="7" t="s">
        <v>243</v>
      </c>
      <c r="G946" s="3"/>
    </row>
    <row r="947" spans="1:7" ht="16.5" thickBot="1">
      <c r="A947" s="246" t="s">
        <v>33</v>
      </c>
      <c r="B947" s="251">
        <v>43782</v>
      </c>
      <c r="C947" s="4" t="s">
        <v>47</v>
      </c>
      <c r="D947" s="9">
        <v>250</v>
      </c>
      <c r="E947" s="9"/>
      <c r="F947" s="78" t="s">
        <v>63</v>
      </c>
      <c r="G947" s="13"/>
    </row>
    <row r="948" spans="1:7" ht="16.5" thickBot="1">
      <c r="A948" s="246" t="s">
        <v>33</v>
      </c>
      <c r="B948" s="251">
        <v>43782</v>
      </c>
      <c r="C948" s="61" t="s">
        <v>138</v>
      </c>
      <c r="D948" s="57">
        <v>4000</v>
      </c>
      <c r="E948" s="57"/>
      <c r="F948" s="46" t="s">
        <v>58</v>
      </c>
      <c r="G948" s="3" t="s">
        <v>105</v>
      </c>
    </row>
    <row r="949" spans="1:7" ht="16.5" thickBot="1">
      <c r="A949" s="246" t="s">
        <v>33</v>
      </c>
      <c r="B949" s="251">
        <v>43782</v>
      </c>
      <c r="C949" s="1" t="s">
        <v>72</v>
      </c>
      <c r="D949" s="2">
        <v>350</v>
      </c>
      <c r="E949" s="2"/>
      <c r="F949" s="46" t="s">
        <v>50</v>
      </c>
      <c r="G949" s="3"/>
    </row>
    <row r="950" spans="1:7" ht="16.5" thickBot="1">
      <c r="A950" s="246" t="s">
        <v>33</v>
      </c>
      <c r="B950" s="251">
        <v>43783</v>
      </c>
      <c r="C950" s="25" t="s">
        <v>46</v>
      </c>
      <c r="D950" s="26">
        <v>3000</v>
      </c>
      <c r="E950" s="26"/>
      <c r="F950" s="84" t="s">
        <v>58</v>
      </c>
      <c r="G950" s="15"/>
    </row>
    <row r="951" spans="1:7" ht="16.5" thickBot="1">
      <c r="A951" s="246" t="s">
        <v>33</v>
      </c>
      <c r="B951" s="251">
        <v>43783</v>
      </c>
      <c r="C951" s="1" t="s">
        <v>64</v>
      </c>
      <c r="D951" s="2">
        <v>1000</v>
      </c>
      <c r="E951" s="2"/>
      <c r="F951" s="46" t="s">
        <v>44</v>
      </c>
      <c r="G951" s="14" t="s">
        <v>73</v>
      </c>
    </row>
    <row r="952" spans="1:7" ht="16.5" thickBot="1">
      <c r="A952" s="246" t="s">
        <v>33</v>
      </c>
      <c r="B952" s="251">
        <v>43783</v>
      </c>
      <c r="C952" s="5" t="s">
        <v>55</v>
      </c>
      <c r="D952" s="12">
        <f>50+50</f>
        <v>100</v>
      </c>
      <c r="E952" s="12"/>
      <c r="F952" s="126" t="s">
        <v>50</v>
      </c>
      <c r="G952" s="14"/>
    </row>
    <row r="953" spans="1:7" ht="16.5" thickBot="1">
      <c r="A953" s="246" t="s">
        <v>33</v>
      </c>
      <c r="B953" s="252">
        <v>43784</v>
      </c>
      <c r="C953" s="4" t="s">
        <v>145</v>
      </c>
      <c r="D953" s="9">
        <f>40+40+20</f>
        <v>100</v>
      </c>
      <c r="E953" s="68"/>
      <c r="F953" s="69" t="s">
        <v>63</v>
      </c>
      <c r="G953" s="15"/>
    </row>
    <row r="954" spans="1:7" ht="16.5" thickBot="1">
      <c r="A954" s="246" t="s">
        <v>33</v>
      </c>
      <c r="B954" s="252">
        <v>43784</v>
      </c>
      <c r="C954" s="61" t="s">
        <v>251</v>
      </c>
      <c r="D954" s="57">
        <f>225+50</f>
        <v>275</v>
      </c>
      <c r="E954" s="120"/>
      <c r="F954" s="62" t="s">
        <v>50</v>
      </c>
      <c r="G954" s="20"/>
    </row>
    <row r="955" spans="1:7" ht="16.5" thickBot="1">
      <c r="A955" s="246" t="s">
        <v>33</v>
      </c>
      <c r="B955" s="252">
        <v>43784</v>
      </c>
      <c r="C955" s="1" t="s">
        <v>346</v>
      </c>
      <c r="D955" s="2">
        <f>75+75</f>
        <v>150</v>
      </c>
      <c r="E955" s="2"/>
      <c r="F955" s="46" t="s">
        <v>63</v>
      </c>
      <c r="G955" s="3"/>
    </row>
    <row r="956" spans="1:7" ht="16.5" thickBot="1">
      <c r="A956" s="246" t="s">
        <v>33</v>
      </c>
      <c r="B956" s="252">
        <v>43784</v>
      </c>
      <c r="C956" s="1" t="s">
        <v>218</v>
      </c>
      <c r="D956" s="2">
        <v>25</v>
      </c>
      <c r="E956" s="2"/>
      <c r="F956" s="46" t="s">
        <v>63</v>
      </c>
      <c r="G956" s="3"/>
    </row>
    <row r="957" spans="1:7" ht="16.5" thickBot="1">
      <c r="A957" s="246" t="s">
        <v>33</v>
      </c>
      <c r="B957" s="252">
        <v>43784</v>
      </c>
      <c r="C957" s="30" t="s">
        <v>146</v>
      </c>
      <c r="D957" s="57">
        <f>25+45.4</f>
        <v>70.400000000000006</v>
      </c>
      <c r="E957" s="120"/>
      <c r="F957" s="62" t="s">
        <v>63</v>
      </c>
      <c r="G957" s="20"/>
    </row>
    <row r="958" spans="1:7" ht="16.5" thickBot="1">
      <c r="A958" s="246" t="s">
        <v>33</v>
      </c>
      <c r="B958" s="252">
        <v>43784</v>
      </c>
      <c r="C958" s="1" t="s">
        <v>347</v>
      </c>
      <c r="D958" s="2">
        <v>60</v>
      </c>
      <c r="E958" s="2"/>
      <c r="F958" s="46" t="s">
        <v>92</v>
      </c>
      <c r="G958" s="3"/>
    </row>
    <row r="959" spans="1:7" ht="16.5" thickBot="1">
      <c r="A959" s="246" t="s">
        <v>33</v>
      </c>
      <c r="B959" s="252">
        <v>43784</v>
      </c>
      <c r="C959" s="104" t="s">
        <v>131</v>
      </c>
      <c r="D959" s="105"/>
      <c r="E959" s="237"/>
      <c r="F959" s="238" t="s">
        <v>44</v>
      </c>
      <c r="G959" s="124"/>
    </row>
    <row r="960" spans="1:7" ht="16.5" thickBot="1">
      <c r="A960" s="246" t="s">
        <v>33</v>
      </c>
      <c r="B960" s="252">
        <v>43785</v>
      </c>
      <c r="C960" s="4" t="s">
        <v>57</v>
      </c>
      <c r="D960" s="9">
        <v>125</v>
      </c>
      <c r="E960" s="68"/>
      <c r="F960" s="69" t="s">
        <v>63</v>
      </c>
      <c r="G960" s="15" t="s">
        <v>319</v>
      </c>
    </row>
    <row r="961" spans="1:7" ht="16.5" thickBot="1">
      <c r="A961" s="246" t="s">
        <v>33</v>
      </c>
      <c r="B961" s="252">
        <v>43785</v>
      </c>
      <c r="C961" s="61" t="s">
        <v>70</v>
      </c>
      <c r="D961" s="57">
        <v>350</v>
      </c>
      <c r="E961" s="120"/>
      <c r="F961" s="62" t="s">
        <v>63</v>
      </c>
      <c r="G961" s="20" t="s">
        <v>319</v>
      </c>
    </row>
    <row r="962" spans="1:7" ht="16.5" thickBot="1">
      <c r="A962" s="246" t="s">
        <v>33</v>
      </c>
      <c r="B962" s="252">
        <v>43785</v>
      </c>
      <c r="C962" s="1" t="s">
        <v>348</v>
      </c>
      <c r="D962" s="2">
        <v>50</v>
      </c>
      <c r="E962" s="2"/>
      <c r="F962" s="46" t="s">
        <v>63</v>
      </c>
      <c r="G962" s="3" t="s">
        <v>319</v>
      </c>
    </row>
    <row r="963" spans="1:7" ht="16.5" thickBot="1">
      <c r="A963" s="246" t="s">
        <v>33</v>
      </c>
      <c r="B963" s="252">
        <v>43785</v>
      </c>
      <c r="C963" s="5" t="s">
        <v>228</v>
      </c>
      <c r="D963" s="190"/>
      <c r="E963" s="190"/>
      <c r="F963" s="191" t="s">
        <v>63</v>
      </c>
      <c r="G963" s="18" t="s">
        <v>319</v>
      </c>
    </row>
    <row r="964" spans="1:7" ht="16.5" thickBot="1">
      <c r="A964" s="246" t="s">
        <v>33</v>
      </c>
      <c r="B964" s="252">
        <v>43788</v>
      </c>
      <c r="C964" s="239" t="s">
        <v>125</v>
      </c>
      <c r="D964" s="125">
        <v>50</v>
      </c>
      <c r="E964" s="156"/>
      <c r="F964" s="156" t="s">
        <v>58</v>
      </c>
      <c r="G964" s="99" t="s">
        <v>84</v>
      </c>
    </row>
    <row r="965" spans="1:7" ht="16.5" thickBot="1">
      <c r="A965" s="246" t="s">
        <v>33</v>
      </c>
      <c r="B965" s="252">
        <v>43788</v>
      </c>
      <c r="C965" s="30" t="s">
        <v>47</v>
      </c>
      <c r="D965" s="2">
        <v>200</v>
      </c>
      <c r="E965" s="2"/>
      <c r="F965" s="2" t="s">
        <v>44</v>
      </c>
      <c r="G965" s="3"/>
    </row>
    <row r="966" spans="1:7" ht="16.5" thickBot="1">
      <c r="A966" s="246" t="s">
        <v>33</v>
      </c>
      <c r="B966" s="252">
        <v>43788</v>
      </c>
      <c r="C966" s="79" t="s">
        <v>103</v>
      </c>
      <c r="D966" s="2">
        <v>125</v>
      </c>
      <c r="E966" s="2"/>
      <c r="F966" s="2" t="s">
        <v>243</v>
      </c>
      <c r="G966" s="3"/>
    </row>
    <row r="967" spans="1:7" ht="16.5" thickBot="1">
      <c r="A967" s="246" t="s">
        <v>33</v>
      </c>
      <c r="B967" s="252">
        <v>43789</v>
      </c>
      <c r="C967" s="25" t="s">
        <v>48</v>
      </c>
      <c r="D967" s="58">
        <v>600</v>
      </c>
      <c r="E967" s="58"/>
      <c r="F967" s="76" t="s">
        <v>50</v>
      </c>
      <c r="G967" s="63"/>
    </row>
    <row r="968" spans="1:7" ht="16.5" thickBot="1">
      <c r="A968" s="246" t="s">
        <v>33</v>
      </c>
      <c r="B968" s="252">
        <v>43789</v>
      </c>
      <c r="C968" s="147" t="s">
        <v>47</v>
      </c>
      <c r="D968" s="7">
        <v>200</v>
      </c>
      <c r="E968" s="7"/>
      <c r="F968" s="7" t="s">
        <v>50</v>
      </c>
      <c r="G968" s="56"/>
    </row>
    <row r="969" spans="1:7" ht="16.5" thickBot="1">
      <c r="A969" s="246" t="s">
        <v>33</v>
      </c>
      <c r="B969" s="252">
        <v>43790</v>
      </c>
      <c r="C969" s="4" t="s">
        <v>196</v>
      </c>
      <c r="D969" s="26">
        <f>20+20</f>
        <v>40</v>
      </c>
      <c r="E969" s="26"/>
      <c r="F969" s="39" t="s">
        <v>243</v>
      </c>
      <c r="G969" s="13" t="s">
        <v>88</v>
      </c>
    </row>
    <row r="970" spans="1:7" ht="16.5" thickBot="1">
      <c r="A970" s="246" t="s">
        <v>33</v>
      </c>
      <c r="B970" s="252">
        <v>43790</v>
      </c>
      <c r="C970" s="8" t="s">
        <v>183</v>
      </c>
      <c r="D970" s="2">
        <f>50+50</f>
        <v>100</v>
      </c>
      <c r="E970" s="2"/>
      <c r="F970" s="2" t="s">
        <v>44</v>
      </c>
      <c r="G970" s="3"/>
    </row>
    <row r="971" spans="1:7" ht="16.5" thickBot="1">
      <c r="A971" s="246" t="s">
        <v>33</v>
      </c>
      <c r="B971" s="252">
        <v>43790</v>
      </c>
      <c r="C971" s="8" t="s">
        <v>69</v>
      </c>
      <c r="D971" s="57">
        <v>500</v>
      </c>
      <c r="E971" s="57"/>
      <c r="F971" s="36" t="s">
        <v>44</v>
      </c>
      <c r="G971" s="20"/>
    </row>
    <row r="972" spans="1:7" ht="16.5" thickBot="1">
      <c r="A972" s="246" t="s">
        <v>33</v>
      </c>
      <c r="B972" s="252">
        <v>43790</v>
      </c>
      <c r="C972" s="8" t="s">
        <v>349</v>
      </c>
      <c r="D972" s="2">
        <v>80</v>
      </c>
      <c r="E972" s="2"/>
      <c r="F972" s="2" t="s">
        <v>44</v>
      </c>
      <c r="G972" s="3"/>
    </row>
    <row r="973" spans="1:7" ht="16.5" thickBot="1">
      <c r="A973" s="246" t="s">
        <v>33</v>
      </c>
      <c r="B973" s="252">
        <v>43790</v>
      </c>
      <c r="C973" s="79" t="s">
        <v>310</v>
      </c>
      <c r="D973" s="2">
        <v>50</v>
      </c>
      <c r="E973" s="2"/>
      <c r="F973" s="2" t="s">
        <v>350</v>
      </c>
      <c r="G973" s="3" t="s">
        <v>351</v>
      </c>
    </row>
    <row r="974" spans="1:7" ht="16.5" thickBot="1">
      <c r="A974" s="246" t="s">
        <v>33</v>
      </c>
      <c r="B974" s="252">
        <v>43791</v>
      </c>
      <c r="C974" s="4" t="s">
        <v>56</v>
      </c>
      <c r="D974" s="9">
        <v>2000</v>
      </c>
      <c r="E974" s="9"/>
      <c r="F974" s="198" t="s">
        <v>63</v>
      </c>
      <c r="G974" s="15"/>
    </row>
    <row r="975" spans="1:7" ht="16.5" thickBot="1">
      <c r="A975" s="246" t="s">
        <v>33</v>
      </c>
      <c r="B975" s="252">
        <v>43791</v>
      </c>
      <c r="C975" s="61" t="s">
        <v>104</v>
      </c>
      <c r="D975" s="57">
        <f>4000+1000</f>
        <v>5000</v>
      </c>
      <c r="E975" s="12"/>
      <c r="F975" s="38" t="s">
        <v>50</v>
      </c>
      <c r="G975" s="18" t="s">
        <v>105</v>
      </c>
    </row>
    <row r="976" spans="1:7" ht="16.5" thickBot="1">
      <c r="A976" s="246" t="s">
        <v>33</v>
      </c>
      <c r="B976" s="252">
        <v>43791</v>
      </c>
      <c r="C976" s="1" t="s">
        <v>144</v>
      </c>
      <c r="D976" s="2">
        <f>160+120+40</f>
        <v>320</v>
      </c>
      <c r="E976" s="12"/>
      <c r="F976" s="38" t="s">
        <v>50</v>
      </c>
      <c r="G976" s="18" t="s">
        <v>105</v>
      </c>
    </row>
    <row r="977" spans="1:7" ht="16.5" thickBot="1">
      <c r="A977" s="246" t="s">
        <v>33</v>
      </c>
      <c r="B977" s="252">
        <v>43791</v>
      </c>
      <c r="C977" s="61" t="s">
        <v>182</v>
      </c>
      <c r="D977" s="57">
        <v>1000</v>
      </c>
      <c r="E977" s="12"/>
      <c r="F977" s="38" t="s">
        <v>63</v>
      </c>
      <c r="G977" s="18"/>
    </row>
    <row r="978" spans="1:7" ht="16.5" thickBot="1">
      <c r="A978" s="246" t="s">
        <v>33</v>
      </c>
      <c r="B978" s="252">
        <v>43791</v>
      </c>
      <c r="C978" s="1" t="s">
        <v>48</v>
      </c>
      <c r="D978" s="2">
        <v>600</v>
      </c>
      <c r="E978" s="12"/>
      <c r="F978" s="38" t="s">
        <v>63</v>
      </c>
      <c r="G978" s="18"/>
    </row>
    <row r="979" spans="1:7" ht="16.5" thickBot="1">
      <c r="A979" s="246" t="s">
        <v>33</v>
      </c>
      <c r="B979" s="252">
        <v>43794</v>
      </c>
      <c r="C979" s="25" t="s">
        <v>47</v>
      </c>
      <c r="D979" s="26">
        <v>100</v>
      </c>
      <c r="E979" s="39"/>
      <c r="F979" s="39" t="s">
        <v>63</v>
      </c>
      <c r="G979" s="13"/>
    </row>
    <row r="980" spans="1:7" ht="16.5" thickBot="1">
      <c r="A980" s="246" t="s">
        <v>33</v>
      </c>
      <c r="B980" s="252">
        <v>43794</v>
      </c>
      <c r="C980" s="1" t="s">
        <v>113</v>
      </c>
      <c r="D980" s="2">
        <f>200+1</f>
        <v>201</v>
      </c>
      <c r="E980" s="2"/>
      <c r="F980" s="2" t="s">
        <v>92</v>
      </c>
      <c r="G980" s="3" t="s">
        <v>352</v>
      </c>
    </row>
    <row r="981" spans="1:7" ht="16.5" thickBot="1">
      <c r="A981" s="246" t="s">
        <v>33</v>
      </c>
      <c r="B981" s="252">
        <v>43794</v>
      </c>
      <c r="C981" s="1" t="s">
        <v>126</v>
      </c>
      <c r="D981" s="2">
        <v>1</v>
      </c>
      <c r="E981" s="12"/>
      <c r="F981" s="38" t="s">
        <v>63</v>
      </c>
      <c r="G981" s="18" t="s">
        <v>110</v>
      </c>
    </row>
    <row r="982" spans="1:7" ht="16.5" thickBot="1">
      <c r="A982" s="246" t="s">
        <v>33</v>
      </c>
      <c r="B982" s="252">
        <v>43794</v>
      </c>
      <c r="C982" s="5" t="s">
        <v>86</v>
      </c>
      <c r="D982" s="12">
        <v>1000</v>
      </c>
      <c r="E982" s="12"/>
      <c r="F982" s="38" t="s">
        <v>63</v>
      </c>
      <c r="G982" s="18"/>
    </row>
    <row r="983" spans="1:7" ht="16.5" thickBot="1">
      <c r="A983" s="246" t="s">
        <v>33</v>
      </c>
      <c r="B983" s="252">
        <v>43794</v>
      </c>
      <c r="C983" s="160" t="s">
        <v>82</v>
      </c>
      <c r="D983" s="12">
        <v>4000</v>
      </c>
      <c r="E983" s="12"/>
      <c r="F983" s="38" t="s">
        <v>63</v>
      </c>
      <c r="G983" s="18"/>
    </row>
    <row r="984" spans="1:7" ht="16.5" thickBot="1">
      <c r="A984" s="246" t="s">
        <v>33</v>
      </c>
      <c r="B984" s="252">
        <v>43795</v>
      </c>
      <c r="C984" s="25" t="s">
        <v>49</v>
      </c>
      <c r="D984" s="58">
        <v>1600</v>
      </c>
      <c r="E984" s="59"/>
      <c r="F984" s="58" t="s">
        <v>44</v>
      </c>
      <c r="G984" s="22" t="s">
        <v>353</v>
      </c>
    </row>
    <row r="985" spans="1:7" ht="16.5" thickBot="1">
      <c r="A985" s="246" t="s">
        <v>33</v>
      </c>
      <c r="B985" s="252">
        <v>43795</v>
      </c>
      <c r="C985" s="1" t="s">
        <v>111</v>
      </c>
      <c r="D985" s="7">
        <v>3000</v>
      </c>
      <c r="E985" s="7"/>
      <c r="F985" s="7" t="s">
        <v>50</v>
      </c>
      <c r="G985" s="3"/>
    </row>
    <row r="986" spans="1:7" ht="16.5" thickBot="1">
      <c r="A986" s="246" t="s">
        <v>33</v>
      </c>
      <c r="B986" s="252">
        <v>43795</v>
      </c>
      <c r="C986" s="240" t="s">
        <v>125</v>
      </c>
      <c r="D986" s="241">
        <v>100</v>
      </c>
      <c r="E986" s="242"/>
      <c r="F986" s="101" t="s">
        <v>63</v>
      </c>
      <c r="G986" s="243" t="s">
        <v>84</v>
      </c>
    </row>
    <row r="987" spans="1:7" ht="16.5" thickBot="1">
      <c r="A987" s="246" t="s">
        <v>33</v>
      </c>
      <c r="B987" s="252">
        <v>43795</v>
      </c>
      <c r="C987" s="5" t="s">
        <v>127</v>
      </c>
      <c r="D987" s="142">
        <v>250</v>
      </c>
      <c r="E987" s="143"/>
      <c r="F987" s="7" t="s">
        <v>92</v>
      </c>
      <c r="G987" s="47"/>
    </row>
    <row r="988" spans="1:7" ht="16.5" thickBot="1">
      <c r="A988" s="246" t="s">
        <v>33</v>
      </c>
      <c r="B988" s="252">
        <v>43795</v>
      </c>
      <c r="C988" s="5" t="s">
        <v>354</v>
      </c>
      <c r="D988" s="142">
        <v>120</v>
      </c>
      <c r="E988" s="143"/>
      <c r="F988" s="7" t="s">
        <v>50</v>
      </c>
      <c r="G988" s="47"/>
    </row>
    <row r="989" spans="1:7" ht="16.5" thickBot="1">
      <c r="A989" s="246" t="s">
        <v>33</v>
      </c>
      <c r="B989" s="252">
        <v>43795</v>
      </c>
      <c r="C989" s="93" t="s">
        <v>107</v>
      </c>
      <c r="D989" s="202"/>
      <c r="E989" s="203">
        <v>400</v>
      </c>
      <c r="F989" s="107" t="s">
        <v>11</v>
      </c>
      <c r="G989" s="204" t="s">
        <v>108</v>
      </c>
    </row>
    <row r="990" spans="1:7" ht="16.5" thickBot="1">
      <c r="A990" s="246" t="s">
        <v>33</v>
      </c>
      <c r="B990" s="252">
        <v>43795</v>
      </c>
      <c r="C990" s="5" t="s">
        <v>101</v>
      </c>
      <c r="D990" s="142">
        <f>280+120+200+200</f>
        <v>800</v>
      </c>
      <c r="E990" s="143"/>
      <c r="F990" s="7" t="s">
        <v>50</v>
      </c>
      <c r="G990" s="47"/>
    </row>
    <row r="991" spans="1:7" ht="16.5" thickBot="1">
      <c r="A991" s="246" t="s">
        <v>33</v>
      </c>
      <c r="B991" s="253">
        <v>43796</v>
      </c>
      <c r="C991" s="25" t="s">
        <v>96</v>
      </c>
      <c r="D991" s="58">
        <v>50</v>
      </c>
      <c r="E991" s="59"/>
      <c r="F991" s="58" t="s">
        <v>44</v>
      </c>
      <c r="G991" s="13"/>
    </row>
    <row r="992" spans="1:7" ht="16.5" thickBot="1">
      <c r="A992" s="246" t="s">
        <v>33</v>
      </c>
      <c r="B992" s="253">
        <v>43797</v>
      </c>
      <c r="C992" s="21" t="s">
        <v>118</v>
      </c>
      <c r="D992" s="9">
        <v>350</v>
      </c>
      <c r="E992" s="52"/>
      <c r="F992" s="9" t="s">
        <v>50</v>
      </c>
      <c r="G992" s="15"/>
    </row>
    <row r="993" spans="1:7" ht="16.5" thickBot="1">
      <c r="A993" s="246" t="s">
        <v>33</v>
      </c>
      <c r="B993" s="253">
        <v>43797</v>
      </c>
      <c r="C993" s="23" t="s">
        <v>213</v>
      </c>
      <c r="D993" s="10">
        <v>25</v>
      </c>
      <c r="E993" s="53"/>
      <c r="F993" s="10" t="s">
        <v>92</v>
      </c>
      <c r="G993" s="14" t="s">
        <v>88</v>
      </c>
    </row>
    <row r="994" spans="1:7" ht="16.5" thickBot="1">
      <c r="A994" s="246" t="s">
        <v>33</v>
      </c>
      <c r="B994" s="253">
        <v>43797</v>
      </c>
      <c r="C994" s="23" t="s">
        <v>301</v>
      </c>
      <c r="D994" s="10">
        <v>240</v>
      </c>
      <c r="E994" s="53"/>
      <c r="F994" s="10" t="s">
        <v>50</v>
      </c>
      <c r="G994" s="14"/>
    </row>
    <row r="995" spans="1:7" ht="16.5" thickBot="1">
      <c r="A995" s="246" t="s">
        <v>33</v>
      </c>
      <c r="B995" s="253">
        <v>43797</v>
      </c>
      <c r="C995" s="23" t="s">
        <v>53</v>
      </c>
      <c r="D995" s="10">
        <v>20</v>
      </c>
      <c r="E995" s="53"/>
      <c r="F995" s="10" t="s">
        <v>50</v>
      </c>
      <c r="G995" s="14"/>
    </row>
    <row r="996" spans="1:7" ht="16.5" thickBot="1">
      <c r="A996" s="246" t="s">
        <v>33</v>
      </c>
      <c r="B996" s="253">
        <v>43797</v>
      </c>
      <c r="C996" s="19" t="s">
        <v>355</v>
      </c>
      <c r="D996" s="2">
        <v>50</v>
      </c>
      <c r="E996" s="113"/>
      <c r="F996" s="2" t="s">
        <v>243</v>
      </c>
      <c r="G996" s="3"/>
    </row>
    <row r="997" spans="1:7" ht="16.5" thickBot="1">
      <c r="A997" s="246" t="s">
        <v>33</v>
      </c>
      <c r="B997" s="253">
        <v>43797</v>
      </c>
      <c r="C997" s="54" t="s">
        <v>81</v>
      </c>
      <c r="D997" s="12">
        <v>1325</v>
      </c>
      <c r="E997" s="244"/>
      <c r="F997" s="12" t="s">
        <v>44</v>
      </c>
      <c r="G997" s="47"/>
    </row>
    <row r="998" spans="1:7" ht="16.5" thickBot="1">
      <c r="A998" s="246" t="s">
        <v>33</v>
      </c>
      <c r="B998" s="253">
        <v>43797</v>
      </c>
      <c r="C998" s="160" t="s">
        <v>82</v>
      </c>
      <c r="D998" s="12">
        <v>4200</v>
      </c>
      <c r="E998" s="244"/>
      <c r="F998" s="12" t="s">
        <v>63</v>
      </c>
      <c r="G998" s="47"/>
    </row>
    <row r="999" spans="1:7" ht="16.5" thickBot="1">
      <c r="A999" s="246" t="s">
        <v>33</v>
      </c>
      <c r="B999" s="253">
        <v>43798</v>
      </c>
      <c r="C999" s="41" t="s">
        <v>157</v>
      </c>
      <c r="D999" s="9">
        <v>200</v>
      </c>
      <c r="E999" s="9"/>
      <c r="F999" s="9" t="s">
        <v>44</v>
      </c>
      <c r="G999" s="15"/>
    </row>
    <row r="1000" spans="1:7" ht="16.5" thickBot="1">
      <c r="A1000" s="246" t="s">
        <v>33</v>
      </c>
      <c r="B1000" s="253">
        <v>43798</v>
      </c>
      <c r="C1000" s="42" t="s">
        <v>48</v>
      </c>
      <c r="D1000" s="10">
        <v>600</v>
      </c>
      <c r="E1000" s="37"/>
      <c r="F1000" s="10" t="s">
        <v>50</v>
      </c>
      <c r="G1000" s="24"/>
    </row>
    <row r="1001" spans="1:7" ht="16.5" thickBot="1">
      <c r="A1001" s="246" t="s">
        <v>33</v>
      </c>
      <c r="B1001" s="253">
        <v>43798</v>
      </c>
      <c r="C1001" s="19" t="s">
        <v>172</v>
      </c>
      <c r="D1001" s="2">
        <v>40</v>
      </c>
      <c r="E1001" s="2"/>
      <c r="F1001" s="2" t="s">
        <v>58</v>
      </c>
      <c r="G1001" s="3"/>
    </row>
    <row r="1002" spans="1:7" ht="16.5" thickBot="1">
      <c r="A1002" s="246" t="s">
        <v>34</v>
      </c>
      <c r="B1002" s="250">
        <v>43801</v>
      </c>
      <c r="C1002" s="50" t="s">
        <v>356</v>
      </c>
      <c r="D1002" s="27">
        <v>200</v>
      </c>
      <c r="E1002" s="33"/>
      <c r="F1002" s="45" t="s">
        <v>50</v>
      </c>
      <c r="G1002" s="13"/>
    </row>
    <row r="1003" spans="1:7" ht="16.5" thickBot="1">
      <c r="A1003" s="246" t="s">
        <v>34</v>
      </c>
      <c r="B1003" s="250">
        <v>43801</v>
      </c>
      <c r="C1003" s="30" t="s">
        <v>54</v>
      </c>
      <c r="D1003" s="6">
        <f>4000+60</f>
        <v>4060</v>
      </c>
      <c r="E1003" s="6"/>
      <c r="F1003" s="46" t="s">
        <v>50</v>
      </c>
      <c r="G1003" s="3"/>
    </row>
    <row r="1004" spans="1:7" ht="16.5" thickBot="1">
      <c r="A1004" s="246" t="s">
        <v>34</v>
      </c>
      <c r="B1004" s="250">
        <v>43801</v>
      </c>
      <c r="C1004" s="30" t="s">
        <v>47</v>
      </c>
      <c r="D1004" s="6">
        <v>200</v>
      </c>
      <c r="E1004" s="6"/>
      <c r="F1004" s="46" t="s">
        <v>50</v>
      </c>
      <c r="G1004" s="3"/>
    </row>
    <row r="1005" spans="1:7" ht="16.5" thickBot="1">
      <c r="A1005" s="246" t="s">
        <v>34</v>
      </c>
      <c r="B1005" s="250">
        <v>43801</v>
      </c>
      <c r="C1005" s="30" t="s">
        <v>45</v>
      </c>
      <c r="D1005" s="6">
        <f>20+900</f>
        <v>920</v>
      </c>
      <c r="E1005" s="6"/>
      <c r="F1005" s="46" t="s">
        <v>50</v>
      </c>
      <c r="G1005" s="3"/>
    </row>
    <row r="1006" spans="1:7" ht="16.5" thickBot="1">
      <c r="A1006" s="246" t="s">
        <v>34</v>
      </c>
      <c r="B1006" s="250">
        <v>43801</v>
      </c>
      <c r="C1006" s="60" t="s">
        <v>172</v>
      </c>
      <c r="D1006" s="87">
        <v>40</v>
      </c>
      <c r="E1006" s="88"/>
      <c r="F1006" s="89" t="s">
        <v>92</v>
      </c>
      <c r="G1006" s="20"/>
    </row>
    <row r="1007" spans="1:7" ht="16.5" thickBot="1">
      <c r="A1007" s="246" t="s">
        <v>34</v>
      </c>
      <c r="B1007" s="250">
        <v>43801</v>
      </c>
      <c r="C1007" s="30" t="s">
        <v>292</v>
      </c>
      <c r="D1007" s="6">
        <v>50</v>
      </c>
      <c r="E1007" s="6"/>
      <c r="F1007" s="46" t="s">
        <v>58</v>
      </c>
      <c r="G1007" s="3" t="s">
        <v>357</v>
      </c>
    </row>
    <row r="1008" spans="1:7" ht="16.5" thickBot="1">
      <c r="A1008" s="246" t="s">
        <v>34</v>
      </c>
      <c r="B1008" s="251">
        <v>43802</v>
      </c>
      <c r="C1008" s="81" t="s">
        <v>358</v>
      </c>
      <c r="D1008" s="110"/>
      <c r="E1008" s="110">
        <f>20+5</f>
        <v>25</v>
      </c>
      <c r="F1008" s="83" t="s">
        <v>11</v>
      </c>
      <c r="G1008" s="185" t="s">
        <v>52</v>
      </c>
    </row>
    <row r="1009" spans="1:7" ht="16.5" thickBot="1">
      <c r="A1009" s="246" t="s">
        <v>34</v>
      </c>
      <c r="B1009" s="251">
        <v>43802</v>
      </c>
      <c r="C1009" s="79" t="s">
        <v>310</v>
      </c>
      <c r="D1009" s="138">
        <f>200+200+50</f>
        <v>450</v>
      </c>
      <c r="E1009" s="138"/>
      <c r="F1009" s="139" t="s">
        <v>58</v>
      </c>
      <c r="G1009" s="106" t="s">
        <v>303</v>
      </c>
    </row>
    <row r="1010" spans="1:7" ht="16.5" thickBot="1">
      <c r="A1010" s="246" t="s">
        <v>34</v>
      </c>
      <c r="B1010" s="251">
        <v>43802</v>
      </c>
      <c r="C1010" s="8" t="s">
        <v>53</v>
      </c>
      <c r="D1010" s="11">
        <v>20</v>
      </c>
      <c r="E1010" s="11"/>
      <c r="F1010" s="40" t="s">
        <v>50</v>
      </c>
      <c r="G1010" s="14"/>
    </row>
    <row r="1011" spans="1:7" ht="15.75">
      <c r="A1011" s="246" t="s">
        <v>34</v>
      </c>
      <c r="B1011" s="251">
        <v>43802</v>
      </c>
      <c r="C1011" s="8" t="s">
        <v>69</v>
      </c>
      <c r="D1011" s="11">
        <v>500</v>
      </c>
      <c r="E1011" s="11"/>
      <c r="F1011" s="40" t="s">
        <v>50</v>
      </c>
      <c r="G1011" s="14"/>
    </row>
  </sheetData>
  <autoFilter ref="B2:G1011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C2:K170"/>
  <sheetViews>
    <sheetView tabSelected="1" workbookViewId="0">
      <selection activeCell="G20" sqref="G20"/>
    </sheetView>
  </sheetViews>
  <sheetFormatPr defaultColWidth="11.42578125" defaultRowHeight="12.75"/>
  <cols>
    <col min="3" max="3" width="49.7109375" customWidth="1"/>
    <col min="4" max="4" width="18.85546875" customWidth="1"/>
    <col min="5" max="5" width="32.28515625" customWidth="1"/>
    <col min="7" max="7" width="23.7109375" customWidth="1"/>
    <col min="8" max="8" width="16.42578125" customWidth="1"/>
    <col min="9" max="9" width="29.7109375" customWidth="1"/>
    <col min="10" max="10" width="17.7109375" customWidth="1"/>
  </cols>
  <sheetData>
    <row r="2" spans="3:10">
      <c r="C2" s="265" t="s">
        <v>359</v>
      </c>
      <c r="D2" s="265" t="s">
        <v>360</v>
      </c>
      <c r="E2" s="265" t="s">
        <v>361</v>
      </c>
      <c r="F2" s="265" t="s">
        <v>362</v>
      </c>
      <c r="G2" s="265" t="s">
        <v>363</v>
      </c>
      <c r="H2" s="265" t="s">
        <v>364</v>
      </c>
      <c r="I2" s="265" t="s">
        <v>365</v>
      </c>
      <c r="J2" s="265" t="s">
        <v>366</v>
      </c>
    </row>
    <row r="3" spans="3:10">
      <c r="C3" s="74" t="s">
        <v>94</v>
      </c>
      <c r="E3" s="229" t="s">
        <v>367</v>
      </c>
      <c r="F3" s="229" t="s">
        <v>368</v>
      </c>
      <c r="G3" s="229" t="s">
        <v>369</v>
      </c>
      <c r="H3" s="229" t="s">
        <v>370</v>
      </c>
      <c r="I3" s="229" t="s">
        <v>371</v>
      </c>
      <c r="J3" s="229" t="s">
        <v>372</v>
      </c>
    </row>
    <row r="4" spans="3:10">
      <c r="C4" s="30" t="s">
        <v>74</v>
      </c>
      <c r="E4" s="229" t="s">
        <v>373</v>
      </c>
      <c r="F4" s="229" t="s">
        <v>374</v>
      </c>
      <c r="G4" s="229" t="s">
        <v>375</v>
      </c>
      <c r="H4" s="229" t="s">
        <v>376</v>
      </c>
      <c r="I4" s="229" t="s">
        <v>377</v>
      </c>
      <c r="J4" s="229" t="s">
        <v>378</v>
      </c>
    </row>
    <row r="5" spans="3:10">
      <c r="C5" s="1" t="s">
        <v>287</v>
      </c>
      <c r="E5" s="229" t="s">
        <v>379</v>
      </c>
      <c r="G5" s="229" t="s">
        <v>380</v>
      </c>
      <c r="H5" s="229" t="s">
        <v>381</v>
      </c>
      <c r="I5" s="229" t="s">
        <v>382</v>
      </c>
      <c r="J5" s="229" t="s">
        <v>383</v>
      </c>
    </row>
    <row r="6" spans="3:10">
      <c r="C6" s="74" t="s">
        <v>194</v>
      </c>
      <c r="E6" s="229" t="s">
        <v>384</v>
      </c>
      <c r="G6" s="229" t="s">
        <v>385</v>
      </c>
      <c r="H6" s="229" t="s">
        <v>386</v>
      </c>
      <c r="I6" s="229" t="s">
        <v>387</v>
      </c>
      <c r="J6" s="229" t="s">
        <v>388</v>
      </c>
    </row>
    <row r="7" spans="3:10">
      <c r="C7" s="1" t="s">
        <v>89</v>
      </c>
      <c r="E7" s="229" t="s">
        <v>389</v>
      </c>
      <c r="G7" s="229" t="s">
        <v>390</v>
      </c>
      <c r="I7" s="229" t="s">
        <v>391</v>
      </c>
    </row>
    <row r="8" spans="3:10">
      <c r="C8" s="81" t="s">
        <v>182</v>
      </c>
      <c r="E8" s="229" t="s">
        <v>392</v>
      </c>
      <c r="G8" s="229" t="s">
        <v>393</v>
      </c>
      <c r="I8" s="229" t="s">
        <v>394</v>
      </c>
    </row>
    <row r="9" spans="3:10">
      <c r="C9" s="1" t="s">
        <v>230</v>
      </c>
      <c r="E9" s="229" t="s">
        <v>395</v>
      </c>
      <c r="G9" s="229" t="s">
        <v>396</v>
      </c>
      <c r="I9" s="229" t="s">
        <v>397</v>
      </c>
    </row>
    <row r="10" spans="3:10">
      <c r="C10" s="1" t="s">
        <v>59</v>
      </c>
      <c r="E10" s="229" t="s">
        <v>398</v>
      </c>
      <c r="G10" s="229" t="s">
        <v>399</v>
      </c>
      <c r="I10" s="229" t="s">
        <v>400</v>
      </c>
    </row>
    <row r="11" spans="3:10">
      <c r="C11" s="81" t="s">
        <v>107</v>
      </c>
      <c r="E11" s="229" t="s">
        <v>401</v>
      </c>
      <c r="I11" s="229" t="s">
        <v>402</v>
      </c>
    </row>
    <row r="12" spans="3:10">
      <c r="C12" s="1" t="s">
        <v>124</v>
      </c>
      <c r="E12" s="229" t="s">
        <v>403</v>
      </c>
      <c r="I12" s="229" t="s">
        <v>404</v>
      </c>
    </row>
    <row r="13" spans="3:10">
      <c r="C13" s="1" t="s">
        <v>163</v>
      </c>
      <c r="E13" s="229" t="s">
        <v>11</v>
      </c>
      <c r="I13" s="229" t="s">
        <v>405</v>
      </c>
    </row>
    <row r="14" spans="3:10">
      <c r="C14" s="1" t="s">
        <v>35</v>
      </c>
      <c r="I14" s="229" t="s">
        <v>406</v>
      </c>
    </row>
    <row r="15" spans="3:10">
      <c r="C15" s="30" t="s">
        <v>356</v>
      </c>
      <c r="I15" s="229" t="s">
        <v>407</v>
      </c>
    </row>
    <row r="16" spans="3:10">
      <c r="C16" s="30" t="s">
        <v>127</v>
      </c>
      <c r="I16" s="229" t="s">
        <v>408</v>
      </c>
    </row>
    <row r="17" spans="3:9">
      <c r="C17" s="1" t="s">
        <v>114</v>
      </c>
      <c r="I17" s="229" t="s">
        <v>409</v>
      </c>
    </row>
    <row r="18" spans="3:9">
      <c r="C18" s="30" t="s">
        <v>157</v>
      </c>
      <c r="I18" s="229" t="s">
        <v>410</v>
      </c>
    </row>
    <row r="19" spans="3:9">
      <c r="C19" s="1" t="s">
        <v>155</v>
      </c>
    </row>
    <row r="20" spans="3:9">
      <c r="C20" s="30" t="s">
        <v>72</v>
      </c>
    </row>
    <row r="21" spans="3:9">
      <c r="C21" s="1" t="s">
        <v>228</v>
      </c>
    </row>
    <row r="22" spans="3:9">
      <c r="C22" s="1" t="s">
        <v>103</v>
      </c>
    </row>
    <row r="23" spans="3:9">
      <c r="C23" s="30" t="s">
        <v>118</v>
      </c>
    </row>
    <row r="24" spans="3:9">
      <c r="C24" s="1" t="s">
        <v>140</v>
      </c>
    </row>
    <row r="25" spans="3:9">
      <c r="C25" s="1" t="s">
        <v>191</v>
      </c>
    </row>
    <row r="26" spans="3:9">
      <c r="C26" s="1" t="s">
        <v>173</v>
      </c>
    </row>
    <row r="27" spans="3:9">
      <c r="C27" s="30" t="s">
        <v>101</v>
      </c>
    </row>
    <row r="28" spans="3:9">
      <c r="C28" s="1" t="s">
        <v>149</v>
      </c>
    </row>
    <row r="29" spans="3:9">
      <c r="C29" s="1" t="s">
        <v>77</v>
      </c>
    </row>
    <row r="30" spans="3:9">
      <c r="C30" s="90" t="s">
        <v>65</v>
      </c>
    </row>
    <row r="31" spans="3:9">
      <c r="C31" s="111" t="s">
        <v>222</v>
      </c>
    </row>
    <row r="32" spans="3:9">
      <c r="C32" s="1" t="s">
        <v>280</v>
      </c>
    </row>
    <row r="33" spans="3:3">
      <c r="C33" s="1" t="s">
        <v>132</v>
      </c>
    </row>
    <row r="34" spans="3:3">
      <c r="C34" s="1" t="s">
        <v>184</v>
      </c>
    </row>
    <row r="35" spans="3:3">
      <c r="C35" s="1" t="s">
        <v>279</v>
      </c>
    </row>
    <row r="36" spans="3:3">
      <c r="C36" s="81" t="s">
        <v>341</v>
      </c>
    </row>
    <row r="37" spans="3:3">
      <c r="C37" s="81" t="s">
        <v>246</v>
      </c>
    </row>
    <row r="38" spans="3:3">
      <c r="C38" s="81" t="s">
        <v>174</v>
      </c>
    </row>
    <row r="39" spans="3:3">
      <c r="C39" s="1" t="s">
        <v>233</v>
      </c>
    </row>
    <row r="40" spans="3:3">
      <c r="C40" s="1" t="s">
        <v>281</v>
      </c>
    </row>
    <row r="41" spans="3:3">
      <c r="C41" s="1" t="s">
        <v>133</v>
      </c>
    </row>
    <row r="42" spans="3:3">
      <c r="C42" s="1" t="s">
        <v>152</v>
      </c>
    </row>
    <row r="43" spans="3:3">
      <c r="C43" s="1" t="s">
        <v>90</v>
      </c>
    </row>
    <row r="44" spans="3:3">
      <c r="C44" s="1" t="s">
        <v>162</v>
      </c>
    </row>
    <row r="45" spans="3:3">
      <c r="C45" s="1" t="s">
        <v>308</v>
      </c>
    </row>
    <row r="46" spans="3:3">
      <c r="C46" s="74" t="s">
        <v>158</v>
      </c>
    </row>
    <row r="47" spans="3:3">
      <c r="C47" s="74" t="s">
        <v>321</v>
      </c>
    </row>
    <row r="48" spans="3:3">
      <c r="C48" s="1" t="s">
        <v>329</v>
      </c>
    </row>
    <row r="49" spans="3:3">
      <c r="C49" s="1" t="s">
        <v>251</v>
      </c>
    </row>
    <row r="50" spans="3:3">
      <c r="C50" s="1" t="s">
        <v>209</v>
      </c>
    </row>
    <row r="51" spans="3:3">
      <c r="C51" s="30" t="s">
        <v>47</v>
      </c>
    </row>
    <row r="52" spans="3:3">
      <c r="C52" s="30" t="s">
        <v>69</v>
      </c>
    </row>
    <row r="53" spans="3:3">
      <c r="C53" s="1" t="s">
        <v>80</v>
      </c>
    </row>
    <row r="54" spans="3:3">
      <c r="C54" s="1" t="s">
        <v>109</v>
      </c>
    </row>
    <row r="55" spans="3:3">
      <c r="C55" s="1" t="s">
        <v>126</v>
      </c>
    </row>
    <row r="56" spans="3:3">
      <c r="C56" s="30" t="s">
        <v>218</v>
      </c>
    </row>
    <row r="57" spans="3:3">
      <c r="C57" s="1" t="s">
        <v>186</v>
      </c>
    </row>
    <row r="58" spans="3:3">
      <c r="C58" s="1" t="s">
        <v>136</v>
      </c>
    </row>
    <row r="59" spans="3:3">
      <c r="C59" s="1" t="s">
        <v>273</v>
      </c>
    </row>
    <row r="60" spans="3:3">
      <c r="C60" s="1" t="s">
        <v>87</v>
      </c>
    </row>
    <row r="61" spans="3:3">
      <c r="C61" s="30" t="s">
        <v>64</v>
      </c>
    </row>
    <row r="62" spans="3:3">
      <c r="C62" s="30" t="s">
        <v>254</v>
      </c>
    </row>
    <row r="63" spans="3:3">
      <c r="C63" s="30" t="s">
        <v>340</v>
      </c>
    </row>
    <row r="64" spans="3:3">
      <c r="C64" s="1" t="s">
        <v>148</v>
      </c>
    </row>
    <row r="65" spans="3:3">
      <c r="C65" s="1" t="s">
        <v>332</v>
      </c>
    </row>
    <row r="66" spans="3:3">
      <c r="C66" s="30" t="s">
        <v>165</v>
      </c>
    </row>
    <row r="67" spans="3:3">
      <c r="C67" s="1" t="s">
        <v>106</v>
      </c>
    </row>
    <row r="68" spans="3:3">
      <c r="C68" s="1" t="s">
        <v>337</v>
      </c>
    </row>
    <row r="69" spans="3:3">
      <c r="C69" s="1" t="s">
        <v>75</v>
      </c>
    </row>
    <row r="70" spans="3:3">
      <c r="C70" s="30" t="s">
        <v>175</v>
      </c>
    </row>
    <row r="71" spans="3:3">
      <c r="C71" s="1" t="s">
        <v>117</v>
      </c>
    </row>
    <row r="72" spans="3:3">
      <c r="C72" s="1" t="s">
        <v>172</v>
      </c>
    </row>
    <row r="73" spans="3:3">
      <c r="C73" s="30" t="s">
        <v>268</v>
      </c>
    </row>
    <row r="74" spans="3:3">
      <c r="C74" s="30" t="s">
        <v>202</v>
      </c>
    </row>
    <row r="75" spans="3:3">
      <c r="C75" s="1" t="s">
        <v>291</v>
      </c>
    </row>
    <row r="76" spans="3:3">
      <c r="C76" s="30" t="s">
        <v>43</v>
      </c>
    </row>
    <row r="77" spans="3:3">
      <c r="C77" s="1" t="s">
        <v>54</v>
      </c>
    </row>
    <row r="78" spans="3:3">
      <c r="C78" s="30" t="s">
        <v>46</v>
      </c>
    </row>
    <row r="79" spans="3:3">
      <c r="C79" s="111" t="s">
        <v>168</v>
      </c>
    </row>
    <row r="80" spans="3:3">
      <c r="C80" s="111" t="s">
        <v>67</v>
      </c>
    </row>
    <row r="81" spans="3:3">
      <c r="C81" s="74" t="s">
        <v>83</v>
      </c>
    </row>
    <row r="82" spans="3:3">
      <c r="C82" s="1" t="s">
        <v>97</v>
      </c>
    </row>
    <row r="83" spans="3:3">
      <c r="C83" s="30" t="s">
        <v>294</v>
      </c>
    </row>
    <row r="84" spans="3:3">
      <c r="C84" s="30" t="s">
        <v>263</v>
      </c>
    </row>
    <row r="85" spans="3:3">
      <c r="C85" s="30" t="s">
        <v>270</v>
      </c>
    </row>
    <row r="86" spans="3:3">
      <c r="C86" s="1" t="s">
        <v>116</v>
      </c>
    </row>
    <row r="87" spans="3:3">
      <c r="C87" s="81" t="s">
        <v>51</v>
      </c>
    </row>
    <row r="88" spans="3:3">
      <c r="C88" s="30" t="s">
        <v>121</v>
      </c>
    </row>
    <row r="89" spans="3:3">
      <c r="C89" s="74" t="s">
        <v>199</v>
      </c>
    </row>
    <row r="90" spans="3:3">
      <c r="C90" s="163" t="s">
        <v>304</v>
      </c>
    </row>
    <row r="91" spans="3:3">
      <c r="C91" s="181" t="s">
        <v>265</v>
      </c>
    </row>
    <row r="92" spans="3:3" ht="13.5" thickBot="1">
      <c r="C92" s="161" t="s">
        <v>285</v>
      </c>
    </row>
    <row r="93" spans="3:3">
      <c r="C93" s="180" t="s">
        <v>153</v>
      </c>
    </row>
    <row r="94" spans="3:3">
      <c r="C94" s="163" t="s">
        <v>138</v>
      </c>
    </row>
    <row r="95" spans="3:3" ht="13.5" thickBot="1">
      <c r="C95" s="163" t="s">
        <v>203</v>
      </c>
    </row>
    <row r="96" spans="3:3">
      <c r="C96" s="171" t="s">
        <v>204</v>
      </c>
    </row>
    <row r="97" spans="3:3">
      <c r="C97" s="159" t="s">
        <v>119</v>
      </c>
    </row>
    <row r="98" spans="3:3">
      <c r="C98" s="161" t="s">
        <v>355</v>
      </c>
    </row>
    <row r="99" spans="3:3" ht="13.5" thickBot="1">
      <c r="C99" s="167" t="s">
        <v>166</v>
      </c>
    </row>
    <row r="100" spans="3:3">
      <c r="C100" s="178" t="s">
        <v>267</v>
      </c>
    </row>
    <row r="101" spans="3:3">
      <c r="C101" s="163" t="s">
        <v>302</v>
      </c>
    </row>
    <row r="102" spans="3:3">
      <c r="C102" s="163" t="s">
        <v>151</v>
      </c>
    </row>
    <row r="103" spans="3:3" ht="16.5" customHeight="1">
      <c r="C103" s="160" t="s">
        <v>257</v>
      </c>
    </row>
    <row r="104" spans="3:3">
      <c r="C104" s="160" t="s">
        <v>242</v>
      </c>
    </row>
    <row r="105" spans="3:3">
      <c r="C105" s="160" t="s">
        <v>53</v>
      </c>
    </row>
    <row r="106" spans="3:3">
      <c r="C106" s="160" t="s">
        <v>150</v>
      </c>
    </row>
    <row r="107" spans="3:3">
      <c r="C107" s="1" t="s">
        <v>198</v>
      </c>
    </row>
    <row r="108" spans="3:3">
      <c r="C108" s="163" t="s">
        <v>207</v>
      </c>
    </row>
    <row r="109" spans="3:3">
      <c r="C109" s="160" t="s">
        <v>49</v>
      </c>
    </row>
    <row r="110" spans="3:3">
      <c r="C110" s="160" t="s">
        <v>177</v>
      </c>
    </row>
    <row r="111" spans="3:3">
      <c r="C111" s="159" t="s">
        <v>193</v>
      </c>
    </row>
    <row r="112" spans="3:3">
      <c r="C112" s="160" t="s">
        <v>161</v>
      </c>
    </row>
    <row r="113" spans="3:3">
      <c r="C113" s="163" t="s">
        <v>234</v>
      </c>
    </row>
    <row r="114" spans="3:3">
      <c r="C114" s="163" t="s">
        <v>325</v>
      </c>
    </row>
    <row r="115" spans="3:3">
      <c r="C115" s="165" t="s">
        <v>167</v>
      </c>
    </row>
    <row r="116" spans="3:3">
      <c r="C116" s="161" t="s">
        <v>135</v>
      </c>
    </row>
    <row r="117" spans="3:3">
      <c r="C117" s="167" t="s">
        <v>295</v>
      </c>
    </row>
    <row r="118" spans="3:3">
      <c r="C118" s="163" t="s">
        <v>255</v>
      </c>
    </row>
    <row r="119" spans="3:3">
      <c r="C119" s="268" t="s">
        <v>113</v>
      </c>
    </row>
    <row r="120" spans="3:3">
      <c r="C120" s="163" t="s">
        <v>55</v>
      </c>
    </row>
    <row r="121" spans="3:3">
      <c r="C121" s="160" t="s">
        <v>335</v>
      </c>
    </row>
    <row r="122" spans="3:3">
      <c r="C122" s="161" t="s">
        <v>145</v>
      </c>
    </row>
    <row r="123" spans="3:3" ht="13.5" thickBot="1">
      <c r="C123" s="160" t="s">
        <v>227</v>
      </c>
    </row>
    <row r="124" spans="3:3">
      <c r="C124" s="171" t="s">
        <v>349</v>
      </c>
    </row>
    <row r="125" spans="3:3">
      <c r="C125" s="163" t="s">
        <v>306</v>
      </c>
    </row>
    <row r="126" spans="3:3" ht="13.5" thickBot="1">
      <c r="C126" s="163" t="s">
        <v>226</v>
      </c>
    </row>
    <row r="127" spans="3:3">
      <c r="C127" s="172" t="s">
        <v>79</v>
      </c>
    </row>
    <row r="128" spans="3:3">
      <c r="C128" s="30" t="s">
        <v>299</v>
      </c>
    </row>
    <row r="129" spans="3:3">
      <c r="C129" s="91" t="s">
        <v>305</v>
      </c>
    </row>
    <row r="130" spans="3:3">
      <c r="C130" s="29" t="s">
        <v>100</v>
      </c>
    </row>
    <row r="131" spans="3:3" ht="13.5" thickBot="1">
      <c r="C131" s="8" t="s">
        <v>78</v>
      </c>
    </row>
    <row r="132" spans="3:3">
      <c r="C132" s="4" t="s">
        <v>342</v>
      </c>
    </row>
    <row r="133" spans="3:3">
      <c r="C133" s="8" t="s">
        <v>274</v>
      </c>
    </row>
    <row r="134" spans="3:3">
      <c r="C134" s="8" t="s">
        <v>235</v>
      </c>
    </row>
    <row r="135" spans="3:3" ht="13.5" thickBot="1">
      <c r="C135" s="8" t="s">
        <v>183</v>
      </c>
    </row>
    <row r="136" spans="3:3">
      <c r="C136" s="25" t="s">
        <v>293</v>
      </c>
    </row>
    <row r="137" spans="3:3">
      <c r="C137" s="61" t="s">
        <v>192</v>
      </c>
    </row>
    <row r="138" spans="3:3">
      <c r="C138" s="8" t="s">
        <v>81</v>
      </c>
    </row>
    <row r="139" spans="3:3">
      <c r="C139" s="1" t="s">
        <v>211</v>
      </c>
    </row>
    <row r="140" spans="3:3">
      <c r="C140" s="1" t="s">
        <v>171</v>
      </c>
    </row>
    <row r="141" spans="3:3">
      <c r="C141" s="30" t="s">
        <v>216</v>
      </c>
    </row>
    <row r="142" spans="3:3">
      <c r="C142" s="5" t="s">
        <v>82</v>
      </c>
    </row>
    <row r="143" spans="3:3">
      <c r="C143" s="92" t="s">
        <v>343</v>
      </c>
    </row>
    <row r="144" spans="3:3">
      <c r="C144" s="1" t="s">
        <v>102</v>
      </c>
    </row>
    <row r="145" spans="3:3">
      <c r="C145" s="111" t="s">
        <v>131</v>
      </c>
    </row>
    <row r="146" spans="3:3">
      <c r="C146" s="5" t="s">
        <v>296</v>
      </c>
    </row>
    <row r="147" spans="3:3">
      <c r="C147" s="5" t="s">
        <v>328</v>
      </c>
    </row>
    <row r="148" spans="3:3">
      <c r="C148" s="79" t="s">
        <v>122</v>
      </c>
    </row>
    <row r="149" spans="3:3">
      <c r="C149" s="42" t="s">
        <v>212</v>
      </c>
    </row>
    <row r="150" spans="3:3">
      <c r="C150" s="109" t="s">
        <v>164</v>
      </c>
    </row>
    <row r="151" spans="3:3">
      <c r="C151" s="23" t="s">
        <v>347</v>
      </c>
    </row>
    <row r="152" spans="3:3" ht="13.5" thickBot="1">
      <c r="C152" s="42" t="s">
        <v>323</v>
      </c>
    </row>
    <row r="153" spans="3:3">
      <c r="C153" s="50" t="s">
        <v>142</v>
      </c>
    </row>
    <row r="154" spans="3:3">
      <c r="C154" s="160" t="s">
        <v>61</v>
      </c>
    </row>
    <row r="155" spans="3:3">
      <c r="C155" s="29" t="s">
        <v>284</v>
      </c>
    </row>
    <row r="156" spans="3:3">
      <c r="C156" s="8" t="s">
        <v>219</v>
      </c>
    </row>
    <row r="157" spans="3:3">
      <c r="C157" s="29" t="s">
        <v>310</v>
      </c>
    </row>
    <row r="158" spans="3:3">
      <c r="C158" s="92" t="s">
        <v>62</v>
      </c>
    </row>
    <row r="159" spans="3:3">
      <c r="C159" s="30" t="s">
        <v>262</v>
      </c>
    </row>
    <row r="160" spans="3:3">
      <c r="C160" s="5" t="s">
        <v>185</v>
      </c>
    </row>
    <row r="161" spans="3:11">
      <c r="C161" s="23" t="s">
        <v>196</v>
      </c>
    </row>
    <row r="162" spans="3:11">
      <c r="C162" s="23" t="s">
        <v>96</v>
      </c>
    </row>
    <row r="163" spans="3:11">
      <c r="C163" s="160" t="s">
        <v>241</v>
      </c>
    </row>
    <row r="164" spans="3:11">
      <c r="C164" s="30" t="s">
        <v>250</v>
      </c>
    </row>
    <row r="165" spans="3:11">
      <c r="C165" s="30" t="s">
        <v>214</v>
      </c>
    </row>
    <row r="166" spans="3:11">
      <c r="C166" s="79" t="s">
        <v>146</v>
      </c>
    </row>
    <row r="167" spans="3:11">
      <c r="C167" s="8" t="s">
        <v>112</v>
      </c>
    </row>
    <row r="168" spans="3:11">
      <c r="C168" s="166" t="s">
        <v>411</v>
      </c>
    </row>
    <row r="170" spans="3:11">
      <c r="J170" s="229" t="s">
        <v>412</v>
      </c>
      <c r="K170" s="229" t="s">
        <v>413</v>
      </c>
    </row>
  </sheetData>
  <autoFilter ref="C2:C167" xr:uid="{00000000-0009-0000-0000-000007000000}"/>
  <sortState xmlns:xlrd2="http://schemas.microsoft.com/office/spreadsheetml/2017/richdata2" ref="C3:C677">
    <sortCondition ref="C3:C67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oriz_x00f3_ xmlns="587febe2-e8e9-4324-80b8-d8863bd330fa" xsi:nil="true"/>
    <Elabor_x00f3_ xmlns="587febe2-e8e9-4324-80b8-d8863bd330fa" xsi:nil="true"/>
    <Revis_x00f3_ xmlns="587febe2-e8e9-4324-80b8-d8863bd330fa" xsi:nil="true"/>
    <lcf76f155ced4ddcb4097134ff3c332f xmlns="587febe2-e8e9-4324-80b8-d8863bd330fa">
      <Terms xmlns="http://schemas.microsoft.com/office/infopath/2007/PartnerControls"/>
    </lcf76f155ced4ddcb4097134ff3c332f>
    <TaxCatchAll xmlns="f5102957-2906-4ac4-a837-74799e48d91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04F9339AA025D46A534DF70E193CBC7" ma:contentTypeVersion="14" ma:contentTypeDescription="Crear nuevo documento." ma:contentTypeScope="" ma:versionID="9f415b27d820289085639539066e0bcf">
  <xsd:schema xmlns:xsd="http://www.w3.org/2001/XMLSchema" xmlns:xs="http://www.w3.org/2001/XMLSchema" xmlns:p="http://schemas.microsoft.com/office/2006/metadata/properties" xmlns:ns2="587febe2-e8e9-4324-80b8-d8863bd330fa" xmlns:ns3="f5102957-2906-4ac4-a837-74799e48d913" targetNamespace="http://schemas.microsoft.com/office/2006/metadata/properties" ma:root="true" ma:fieldsID="d81a69c22580324a89fd713c270f0dfd" ns2:_="" ns3:_="">
    <xsd:import namespace="587febe2-e8e9-4324-80b8-d8863bd330fa"/>
    <xsd:import namespace="f5102957-2906-4ac4-a837-74799e48d9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Elabor_x00f3_" minOccurs="0"/>
                <xsd:element ref="ns2:Revis_x00f3_" minOccurs="0"/>
                <xsd:element ref="ns2:Autoriz_x00f3_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7febe2-e8e9-4324-80b8-d8863bd330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Elabor_x00f3_" ma:index="12" nillable="true" ma:displayName="Elaboró" ma:format="Dropdown" ma:internalName="Elabor_x00f3_">
      <xsd:simpleType>
        <xsd:restriction base="dms:Text">
          <xsd:maxLength value="255"/>
        </xsd:restriction>
      </xsd:simpleType>
    </xsd:element>
    <xsd:element name="Revis_x00f3_" ma:index="13" nillable="true" ma:displayName="Revisó" ma:format="Dropdown" ma:internalName="Revis_x00f3_">
      <xsd:simpleType>
        <xsd:restriction base="dms:Text">
          <xsd:maxLength value="255"/>
        </xsd:restriction>
      </xsd:simpleType>
    </xsd:element>
    <xsd:element name="Autoriz_x00f3_" ma:index="14" nillable="true" ma:displayName="Autorizó" ma:format="Dropdown" ma:internalName="Autoriz_x00f3_">
      <xsd:simpleType>
        <xsd:restriction base="dms:Text">
          <xsd:maxLength value="255"/>
        </xsd:restriction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6d48c423-e94a-4d75-a7e0-a68cfe1c031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102957-2906-4ac4-a837-74799e48d91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d2e2bd4-7824-4153-acbc-1a4b5604f789}" ma:internalName="TaxCatchAll" ma:showField="CatchAllData" ma:web="f5102957-2906-4ac4-a837-74799e48d91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AB1F3F-0A13-4BBA-BBA5-D6DC86470EC7}"/>
</file>

<file path=customXml/itemProps2.xml><?xml version="1.0" encoding="utf-8"?>
<ds:datastoreItem xmlns:ds="http://schemas.openxmlformats.org/officeDocument/2006/customXml" ds:itemID="{00C94D51-78B0-4024-859D-0865CD92AFD3}"/>
</file>

<file path=customXml/itemProps3.xml><?xml version="1.0" encoding="utf-8"?>
<ds:datastoreItem xmlns:ds="http://schemas.openxmlformats.org/officeDocument/2006/customXml" ds:itemID="{A74C4B02-D91E-4AEE-9924-BC00D945EA3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Biotecsa SA de CV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Magda Funes</dc:creator>
  <cp:keywords/>
  <dc:description/>
  <cp:lastModifiedBy>Raul Ruiz Duran</cp:lastModifiedBy>
  <cp:revision/>
  <dcterms:created xsi:type="dcterms:W3CDTF">2005-06-01T13:55:03Z</dcterms:created>
  <dcterms:modified xsi:type="dcterms:W3CDTF">2024-04-15T23:20:29Z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-1392094817</vt:i4>
  </property>
  <property fmtid="{D5CDD505-2E9C-101B-9397-08002B2CF9AE}" pid="3" name="_EmailSubject">
    <vt:lpwstr>entregas isp</vt:lpwstr>
  </property>
  <property fmtid="{D5CDD505-2E9C-101B-9397-08002B2CF9AE}" pid="4" name="_AuthorEmail">
    <vt:lpwstr>mfunes@biotecsa.com</vt:lpwstr>
  </property>
  <property fmtid="{D5CDD505-2E9C-101B-9397-08002B2CF9AE}" pid="5" name="_AuthorEmailDisplayName">
    <vt:lpwstr>Magda Funes</vt:lpwstr>
  </property>
  <property fmtid="{D5CDD505-2E9C-101B-9397-08002B2CF9AE}" pid="6" name="_ReviewingToolsShownOnce">
    <vt:lpwstr/>
  </property>
  <property fmtid="{D5CDD505-2E9C-101B-9397-08002B2CF9AE}" pid="7" name="ContentTypeId">
    <vt:lpwstr>0x010100704F9339AA025D46A534DF70E193CBC7</vt:lpwstr>
  </property>
</Properties>
</file>