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_gen_biotecsa_com/Documents/Documentos/Biotecsa/Ejercicio 2025/Recursos Humanos/Capacitación/"/>
    </mc:Choice>
  </mc:AlternateContent>
  <xr:revisionPtr revIDLastSave="1124" documentId="13_ncr:1_{3164D34A-ED83-4A74-9F03-93542C09BCD5}" xr6:coauthVersionLast="47" xr6:coauthVersionMax="47" xr10:uidLastSave="{32D82222-8CF7-477C-B9B5-CAD901904EB8}"/>
  <bookViews>
    <workbookView minimized="1" xWindow="8280" yWindow="465" windowWidth="15420" windowHeight="15360" firstSheet="1" activeTab="1" xr2:uid="{00000000-000D-0000-FFFF-FFFF00000000}"/>
  </bookViews>
  <sheets>
    <sheet name="Seguimiento a cap y eficacia" sheetId="8" state="hidden" r:id="rId1"/>
    <sheet name="Seg capacitación Cal e inocuida" sheetId="9" r:id="rId2"/>
    <sheet name="Seg capacitación Ambiental" sheetId="16" r:id="rId3"/>
    <sheet name="Seg capacitación Seguridad" sheetId="17" r:id="rId4"/>
    <sheet name="Seg eficacia administración" sheetId="13" r:id="rId5"/>
    <sheet name="Seg eficacia capacitación no pr" sheetId="15" r:id="rId6"/>
    <sheet name="Graficos de seguimiento " sheetId="12" r:id="rId7"/>
  </sheets>
  <definedNames>
    <definedName name="_xlnm._FilterDatabase" localSheetId="2" hidden="1">'Seg capacitación Ambiental'!$A$7:$AF$7</definedName>
    <definedName name="_xlnm._FilterDatabase" localSheetId="1" hidden="1">'Seg capacitación Cal e inocuida'!$A$7:$AF$7</definedName>
    <definedName name="_xlnm._FilterDatabase" localSheetId="3" hidden="1">'Seg capacitación Seguridad'!$A$7:$AF$7</definedName>
    <definedName name="_xlnm._FilterDatabase" localSheetId="4" hidden="1">'Seg eficacia administración'!$A$7:$Z$7</definedName>
    <definedName name="_xlnm._FilterDatabase" localSheetId="5" hidden="1">'Seg eficacia capacitación no pr'!$A$7:$Z$7</definedName>
    <definedName name="_xlnm._FilterDatabase" localSheetId="0" hidden="1">'Seguimiento a cap y eficacia'!$B$2:$AT$2</definedName>
    <definedName name="_xlnm.Print_Area" localSheetId="2">'Seg capacitación Ambiental'!$A$1:$AF$81</definedName>
    <definedName name="_xlnm.Print_Area" localSheetId="1">'Seg capacitación Cal e inocuida'!$A$1:$AF$71</definedName>
    <definedName name="_xlnm.Print_Area" localSheetId="3">'Seg capacitación Seguridad'!$A$1:$AF$70</definedName>
    <definedName name="_xlnm.Print_Area" localSheetId="4">'Seg eficacia administración'!$A$1:$AA$71</definedName>
    <definedName name="_xlnm.Print_Area" localSheetId="5">'Seg eficacia capacitación no pr'!$A$1:$AA$78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L42" i="9" l="1"/>
  <c r="AL39" i="9"/>
  <c r="AF42" i="9"/>
  <c r="AD42" i="9"/>
  <c r="AF37" i="9"/>
  <c r="AE37" i="9"/>
  <c r="AD37" i="9"/>
  <c r="AC37" i="9"/>
  <c r="U37" i="9"/>
  <c r="S37" i="9"/>
  <c r="P37" i="9"/>
  <c r="Q37" i="9"/>
  <c r="C37" i="9"/>
  <c r="C39" i="9"/>
  <c r="E47" i="16"/>
  <c r="F47" i="16"/>
  <c r="F52" i="16" s="1"/>
  <c r="G47" i="16"/>
  <c r="H47" i="16"/>
  <c r="I47" i="16"/>
  <c r="J47" i="16"/>
  <c r="J52" i="16" s="1"/>
  <c r="K47" i="16"/>
  <c r="L47" i="16"/>
  <c r="M47" i="16"/>
  <c r="N47" i="16"/>
  <c r="N52" i="16" s="1"/>
  <c r="O47" i="16"/>
  <c r="P47" i="16"/>
  <c r="Q47" i="16"/>
  <c r="R47" i="16"/>
  <c r="R52" i="16" s="1"/>
  <c r="S47" i="16"/>
  <c r="T47" i="16"/>
  <c r="U47" i="16"/>
  <c r="V47" i="16"/>
  <c r="V52" i="16" s="1"/>
  <c r="W47" i="16"/>
  <c r="X47" i="16"/>
  <c r="Y47" i="16"/>
  <c r="Z47" i="16"/>
  <c r="Z52" i="16" s="1"/>
  <c r="AA47" i="16"/>
  <c r="AB47" i="16"/>
  <c r="D47" i="16"/>
  <c r="D52" i="16" s="1"/>
  <c r="AL52" i="16" s="1"/>
  <c r="C47" i="16"/>
  <c r="AL47" i="16" s="1"/>
  <c r="AL48" i="16" s="1"/>
  <c r="N41" i="17"/>
  <c r="L41" i="17"/>
  <c r="H41" i="17"/>
  <c r="S40" i="17"/>
  <c r="AH39" i="17"/>
  <c r="AL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Q40" i="17" s="1"/>
  <c r="P37" i="17"/>
  <c r="O37" i="17"/>
  <c r="N37" i="17"/>
  <c r="M37" i="17"/>
  <c r="L37" i="17"/>
  <c r="K37" i="17"/>
  <c r="J37" i="17"/>
  <c r="I37" i="17"/>
  <c r="H37" i="17"/>
  <c r="G37" i="17"/>
  <c r="G40" i="17" s="1"/>
  <c r="F37" i="17"/>
  <c r="E37" i="17"/>
  <c r="D37" i="17"/>
  <c r="AH37" i="17" s="1"/>
  <c r="C37" i="17"/>
  <c r="AB36" i="17"/>
  <c r="AB41" i="17" s="1"/>
  <c r="AA36" i="17"/>
  <c r="AA40" i="17" s="1"/>
  <c r="Z36" i="17"/>
  <c r="Z41" i="17" s="1"/>
  <c r="Y36" i="17"/>
  <c r="Y40" i="17" s="1"/>
  <c r="X36" i="17"/>
  <c r="X41" i="17" s="1"/>
  <c r="W36" i="17"/>
  <c r="W40" i="17" s="1"/>
  <c r="V36" i="17"/>
  <c r="V41" i="17" s="1"/>
  <c r="U36" i="17"/>
  <c r="U40" i="17" s="1"/>
  <c r="T36" i="17"/>
  <c r="T41" i="17" s="1"/>
  <c r="S36" i="17"/>
  <c r="R36" i="17"/>
  <c r="R41" i="17" s="1"/>
  <c r="Q36" i="17"/>
  <c r="P36" i="17"/>
  <c r="P41" i="17" s="1"/>
  <c r="O36" i="17"/>
  <c r="O40" i="17" s="1"/>
  <c r="N36" i="17"/>
  <c r="M36" i="17"/>
  <c r="M40" i="17" s="1"/>
  <c r="L36" i="17"/>
  <c r="K36" i="17"/>
  <c r="K40" i="17" s="1"/>
  <c r="J36" i="17"/>
  <c r="J41" i="17" s="1"/>
  <c r="I36" i="17"/>
  <c r="I40" i="17" s="1"/>
  <c r="H36" i="17"/>
  <c r="G36" i="17"/>
  <c r="F36" i="17"/>
  <c r="F41" i="17" s="1"/>
  <c r="E36" i="17"/>
  <c r="AH36" i="17" s="1"/>
  <c r="D36" i="17"/>
  <c r="D41" i="17" s="1"/>
  <c r="AL41" i="17" s="1"/>
  <c r="C36" i="17"/>
  <c r="AL36" i="17" s="1"/>
  <c r="AL37" i="17" s="1"/>
  <c r="AH50" i="16"/>
  <c r="AL49" i="16"/>
  <c r="AM49" i="16" s="1"/>
  <c r="AF49" i="16"/>
  <c r="AE49" i="16"/>
  <c r="AD49" i="16"/>
  <c r="AC49" i="16"/>
  <c r="AB49" i="16"/>
  <c r="AA49" i="16"/>
  <c r="AA51" i="16" s="1"/>
  <c r="Z49" i="16"/>
  <c r="Y49" i="16"/>
  <c r="X49" i="16"/>
  <c r="W49" i="16"/>
  <c r="V49" i="16"/>
  <c r="U49" i="16"/>
  <c r="T49" i="16"/>
  <c r="S49" i="16"/>
  <c r="R49" i="16"/>
  <c r="Q49" i="16"/>
  <c r="P49" i="16"/>
  <c r="O49" i="16"/>
  <c r="O51" i="16" s="1"/>
  <c r="N49" i="16"/>
  <c r="M49" i="16"/>
  <c r="L49" i="16"/>
  <c r="K49" i="16"/>
  <c r="K51" i="16" s="1"/>
  <c r="J49" i="16"/>
  <c r="I49" i="16"/>
  <c r="H49" i="16"/>
  <c r="G49" i="16"/>
  <c r="F49" i="16"/>
  <c r="E49" i="16"/>
  <c r="D49" i="16"/>
  <c r="C49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C48" i="16"/>
  <c r="AB52" i="16"/>
  <c r="X52" i="16"/>
  <c r="T52" i="16"/>
  <c r="P52" i="16"/>
  <c r="L52" i="16"/>
  <c r="H52" i="16"/>
  <c r="S51" i="16" l="1"/>
  <c r="W51" i="16"/>
  <c r="Y51" i="16"/>
  <c r="U51" i="16"/>
  <c r="Q51" i="16"/>
  <c r="M51" i="16"/>
  <c r="I51" i="16"/>
  <c r="D48" i="16"/>
  <c r="AH48" i="16" s="1"/>
  <c r="E51" i="16"/>
  <c r="G51" i="16"/>
  <c r="AL39" i="17"/>
  <c r="AM38" i="17"/>
  <c r="C40" i="17"/>
  <c r="E40" i="17"/>
  <c r="AK36" i="17"/>
  <c r="AJ40" i="17"/>
  <c r="AL50" i="16"/>
  <c r="C51" i="16"/>
  <c r="AJ51" i="16"/>
  <c r="AH47" i="16"/>
  <c r="AK47" i="16"/>
  <c r="AM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D39" i="9"/>
  <c r="F39" i="9"/>
  <c r="G39" i="9"/>
  <c r="E39" i="9"/>
  <c r="AB37" i="9"/>
  <c r="AB42" i="9" s="1"/>
  <c r="Z37" i="9"/>
  <c r="Z42" i="9" s="1"/>
  <c r="X37" i="9"/>
  <c r="X42" i="9" s="1"/>
  <c r="V37" i="9"/>
  <c r="V42" i="9" s="1"/>
  <c r="T37" i="9"/>
  <c r="T42" i="9" s="1"/>
  <c r="R37" i="9"/>
  <c r="R42" i="9" s="1"/>
  <c r="P42" i="9"/>
  <c r="N37" i="9"/>
  <c r="L37" i="9"/>
  <c r="J37" i="9"/>
  <c r="H37" i="9"/>
  <c r="F37" i="9"/>
  <c r="AA37" i="9"/>
  <c r="Y37" i="9"/>
  <c r="W37" i="9"/>
  <c r="O37" i="9"/>
  <c r="M37" i="9"/>
  <c r="K37" i="9"/>
  <c r="I37" i="9"/>
  <c r="G37" i="9"/>
  <c r="E37" i="9"/>
  <c r="D37" i="9"/>
  <c r="AK37" i="9" l="1"/>
  <c r="AL37" i="9"/>
  <c r="AL40" i="17"/>
  <c r="AM40" i="17" s="1"/>
  <c r="AH40" i="17"/>
  <c r="AH51" i="16"/>
  <c r="AL51" i="16"/>
  <c r="AM51" i="16" s="1"/>
  <c r="S38" i="9"/>
  <c r="S41" i="9" s="1"/>
  <c r="AL38" i="9" l="1"/>
  <c r="AL40" i="9" s="1"/>
  <c r="F42" i="9"/>
  <c r="D42" i="9" l="1"/>
  <c r="N42" i="9"/>
  <c r="L42" i="9"/>
  <c r="J42" i="9"/>
  <c r="H42" i="9"/>
  <c r="Z49" i="15" l="1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Z47" i="15"/>
  <c r="Y47" i="15"/>
  <c r="Y51" i="15" s="1"/>
  <c r="X47" i="15"/>
  <c r="W47" i="15"/>
  <c r="W51" i="15" s="1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C51" i="15" l="1"/>
  <c r="Z42" i="13" l="1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Z40" i="13"/>
  <c r="Y40" i="13"/>
  <c r="Y44" i="13" s="1"/>
  <c r="X40" i="13"/>
  <c r="W40" i="13"/>
  <c r="W44" i="13" s="1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C44" i="13" s="1"/>
  <c r="AH40" i="9"/>
  <c r="M38" i="9" l="1"/>
  <c r="E5" i="12" l="1"/>
  <c r="E4" i="12"/>
  <c r="AF38" i="9" l="1"/>
  <c r="AD38" i="9"/>
  <c r="AB38" i="9"/>
  <c r="Z38" i="9"/>
  <c r="X38" i="9"/>
  <c r="V38" i="9"/>
  <c r="T38" i="9"/>
  <c r="R38" i="9"/>
  <c r="P38" i="9"/>
  <c r="N38" i="9"/>
  <c r="L38" i="9"/>
  <c r="J38" i="9"/>
  <c r="H38" i="9"/>
  <c r="F38" i="9"/>
  <c r="AJ41" i="9" l="1"/>
  <c r="AE38" i="9"/>
  <c r="AE41" i="9" s="1"/>
  <c r="AC38" i="9"/>
  <c r="AC41" i="9" s="1"/>
  <c r="AA38" i="9"/>
  <c r="Y38" i="9"/>
  <c r="Y41" i="9" s="1"/>
  <c r="W38" i="9"/>
  <c r="W41" i="9" s="1"/>
  <c r="AL41" i="9" s="1"/>
  <c r="U38" i="9"/>
  <c r="U41" i="9" s="1"/>
  <c r="Q38" i="9"/>
  <c r="Q41" i="9" s="1"/>
  <c r="O38" i="9"/>
  <c r="O41" i="9" s="1"/>
  <c r="K38" i="9"/>
  <c r="K41" i="9" s="1"/>
  <c r="I38" i="9"/>
  <c r="I41" i="9" s="1"/>
  <c r="G38" i="9"/>
  <c r="G41" i="9" s="1"/>
  <c r="E38" i="9"/>
  <c r="C38" i="9"/>
  <c r="E41" i="9" l="1"/>
  <c r="C41" i="9"/>
  <c r="AH37" i="9"/>
  <c r="D38" i="9"/>
  <c r="AH38" i="9" s="1"/>
  <c r="M41" i="9"/>
  <c r="AA41" i="9"/>
  <c r="F34" i="8"/>
  <c r="F35" i="8"/>
  <c r="F36" i="8"/>
  <c r="AM41" i="9" l="1"/>
  <c r="AH41" i="9"/>
  <c r="E3" i="12" s="1"/>
  <c r="E7" i="12" s="1"/>
  <c r="F38" i="8"/>
  <c r="E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F38" i="8" s="1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D36" i="8"/>
  <c r="E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Z38" i="8" s="1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J38" i="8"/>
  <c r="G34" i="8"/>
  <c r="E34" i="8"/>
  <c r="D34" i="8"/>
  <c r="L38" i="8"/>
  <c r="D35" i="8"/>
  <c r="AL38" i="8" l="1"/>
  <c r="AH38" i="8"/>
  <c r="AD38" i="8"/>
  <c r="V38" i="8"/>
  <c r="R38" i="8"/>
  <c r="N38" i="8"/>
  <c r="E38" i="8"/>
  <c r="AR38" i="8"/>
  <c r="AN38" i="8"/>
  <c r="AJ38" i="8"/>
  <c r="AB38" i="8"/>
  <c r="X38" i="8"/>
  <c r="T38" i="8"/>
  <c r="P38" i="8"/>
  <c r="H38" i="8"/>
  <c r="AK38" i="8"/>
  <c r="M38" i="8"/>
  <c r="AT38" i="8"/>
  <c r="AP38" i="8"/>
  <c r="AS38" i="8"/>
  <c r="AG38" i="8"/>
  <c r="AC38" i="8"/>
  <c r="Y38" i="8"/>
  <c r="U38" i="8"/>
  <c r="Q38" i="8"/>
  <c r="I38" i="8"/>
  <c r="D38" i="8"/>
  <c r="AO38" i="8"/>
  <c r="AQ38" i="8"/>
  <c r="AM38" i="8"/>
  <c r="AI38" i="8"/>
  <c r="AE38" i="8"/>
  <c r="AA38" i="8"/>
  <c r="W38" i="8"/>
  <c r="S38" i="8"/>
  <c r="O38" i="8"/>
  <c r="K38" i="8"/>
  <c r="G3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12/06/2020</t>
        </r>
      </text>
    </comment>
    <comment ref="E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22 al 25 Mayo 2020</t>
        </r>
      </text>
    </comment>
    <comment ref="F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Difusión email: 03/07/2020
Difusión tríptico:
02/07/2020
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12/06/2020</t>
        </r>
      </text>
    </comment>
    <comment ref="I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08/05/2020</t>
        </r>
      </text>
    </comment>
    <comment ref="M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Difusión de triptico 20/03/2020 y caracterizaciones (Ver minutas)</t>
        </r>
      </text>
    </comment>
    <comment ref="AP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08/05/2020</t>
        </r>
      </text>
    </comment>
    <comment ref="F1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En descanso GV</t>
        </r>
      </text>
    </comment>
    <comment ref="F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En descanso GV</t>
        </r>
      </text>
    </comment>
    <comment ref="F2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En descanso GV</t>
        </r>
      </text>
    </comment>
    <comment ref="F2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En descanso GV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Anguiano</author>
  </authors>
  <commentList>
    <comment ref="S7" authorId="0" shapeId="0" xr:uid="{83B5D569-8D09-44BA-9367-2854E42FAAD4}">
      <text>
        <r>
          <rPr>
            <sz val="11"/>
            <color theme="1"/>
            <rFont val="Calibri"/>
            <family val="2"/>
            <scheme val="minor"/>
          </rPr>
          <t>Amanda Anguiano:
30/07/2025</t>
        </r>
      </text>
    </comment>
    <comment ref="S12" authorId="0" shapeId="0" xr:uid="{866D8428-FF25-49BF-8CF7-6406BCC00802}">
      <text>
        <r>
          <rPr>
            <sz val="11"/>
            <color theme="1"/>
            <rFont val="Calibri"/>
            <family val="2"/>
            <scheme val="minor"/>
          </rPr>
          <t>Amanda Anguiano:
plática interna, impartida el 27/08/2025</t>
        </r>
      </text>
    </comment>
  </commentList>
</comments>
</file>

<file path=xl/sharedStrings.xml><?xml version="1.0" encoding="utf-8"?>
<sst xmlns="http://schemas.openxmlformats.org/spreadsheetml/2006/main" count="1378" uniqueCount="236">
  <si>
    <t>Nomenclatura : X Capacitado, S/C Sin capacitación, NA No aplica</t>
  </si>
  <si>
    <t>CALIDAD E INOCUIDAD</t>
  </si>
  <si>
    <t>SEGURIDAD E HIGIENE</t>
  </si>
  <si>
    <t>ADMINISTRATIVAS</t>
  </si>
  <si>
    <t>Nombre de Personal</t>
  </si>
  <si>
    <t>Puesto</t>
  </si>
  <si>
    <t>BPM´s</t>
  </si>
  <si>
    <t>MIP</t>
  </si>
  <si>
    <t>PPR´s</t>
  </si>
  <si>
    <t>HACCP básico</t>
  </si>
  <si>
    <t>Manejo de alérgenos</t>
  </si>
  <si>
    <t>Limpieza y desinfección</t>
  </si>
  <si>
    <t>HACCP avanzado</t>
  </si>
  <si>
    <t>Taller PPRO</t>
  </si>
  <si>
    <t>ISO 22000</t>
  </si>
  <si>
    <t xml:space="preserve">Difusión y actualización ISO 22000 </t>
  </si>
  <si>
    <t>Plato del buen comer</t>
  </si>
  <si>
    <t>Defensa de alimentos conceptos básicos</t>
  </si>
  <si>
    <t>Defensa de alimentos</t>
  </si>
  <si>
    <t>Fraude</t>
  </si>
  <si>
    <t>Buenas Prácticas de laboratorio</t>
  </si>
  <si>
    <t>Microbiología</t>
  </si>
  <si>
    <t>POES</t>
  </si>
  <si>
    <t>Auditor Interno</t>
  </si>
  <si>
    <t>instructor Interno</t>
  </si>
  <si>
    <t>SEGURIDAD EN EDIFICIOS</t>
  </si>
  <si>
    <t>BRIGADA COMBATE CONTRA INCENDIOS</t>
  </si>
  <si>
    <t>BRIGADA DE EMERGENCIA</t>
  </si>
  <si>
    <t>BRIGADA DE EVACUACIÓN</t>
  </si>
  <si>
    <t>BRIGADA DE COMUNICACIÓN</t>
  </si>
  <si>
    <t>BRIGADA DE PRIMEROS AUXILIOS</t>
  </si>
  <si>
    <t>BRIGADA DE SEGURIDAD</t>
  </si>
  <si>
    <t>MANEJO DE SUSTANCIAS QUÍMICAS</t>
  </si>
  <si>
    <t>EPP</t>
  </si>
  <si>
    <t>IDENTIFICACIÓN DE SUSTANCIAS QUIMICAS</t>
  </si>
  <si>
    <t>NOM 027</t>
  </si>
  <si>
    <t>Mantenimiento de instalaciones eléctricas
NOM-029-STPS- 2011</t>
  </si>
  <si>
    <t>Trabajo seguro en espacios confinados
NOM-033-STPS- 2015</t>
  </si>
  <si>
    <t>Seguridad en riesgos psicosociales
NOM-035-STPS- 2017</t>
  </si>
  <si>
    <t>Manejo de Montacargas
NOM-006-STPS-2014</t>
  </si>
  <si>
    <t>Manejo de residuo biologico infeccioso
NOM-087-semarnat-</t>
  </si>
  <si>
    <t xml:space="preserve">Análisis de riesgos por puestos de trabajo
RFSH-2014/NOMS STPS </t>
  </si>
  <si>
    <t xml:space="preserve"> Manejo manual de cargas
NOM 036-1</t>
  </si>
  <si>
    <t>NOM 030</t>
  </si>
  <si>
    <t>Manejo seguro de químicos</t>
  </si>
  <si>
    <t>Actualización fiscal</t>
  </si>
  <si>
    <t>Administración de recursos humanos</t>
  </si>
  <si>
    <t>Instructor Interno</t>
  </si>
  <si>
    <t xml:space="preserve">Inglés básico </t>
  </si>
  <si>
    <t>Eduardo Peralta  Villa</t>
  </si>
  <si>
    <t>Gerente de Operaciones</t>
  </si>
  <si>
    <t>X</t>
  </si>
  <si>
    <t xml:space="preserve">Elvia Martínez Ascencio </t>
  </si>
  <si>
    <t xml:space="preserve">Jefe Aseguramiento de calidad </t>
  </si>
  <si>
    <t xml:space="preserve">Zaira Quetzalli Munguia Garcia </t>
  </si>
  <si>
    <t>Jefe de Desarrollos / Auditor Interno</t>
  </si>
  <si>
    <t>S/C</t>
  </si>
  <si>
    <t>Ricardo Olayo Madrigal</t>
  </si>
  <si>
    <t>Operador de Producción</t>
  </si>
  <si>
    <t>Jesus Jiménez Cervantes</t>
  </si>
  <si>
    <t>Supervisor operativo de producción</t>
  </si>
  <si>
    <t xml:space="preserve">Arturo Villagrana Román </t>
  </si>
  <si>
    <t>Coordinador de cadena de suministro</t>
  </si>
  <si>
    <t xml:space="preserve">Juan Carlos Vera  Castro </t>
  </si>
  <si>
    <t>Jefe de Almacén</t>
  </si>
  <si>
    <t>Demetrio Pacheco Aguilar</t>
  </si>
  <si>
    <t>Almacenista</t>
  </si>
  <si>
    <t xml:space="preserve">Efrén Álvarez Aguilera </t>
  </si>
  <si>
    <t>Chofer</t>
  </si>
  <si>
    <t xml:space="preserve">Eduardo Francisco Sánchez Martínez </t>
  </si>
  <si>
    <t xml:space="preserve">Alfredo Martínez Zenteno </t>
  </si>
  <si>
    <t>Cesar Alberto Gomez Yañez</t>
  </si>
  <si>
    <t xml:space="preserve">Joaquin Flores Trejo </t>
  </si>
  <si>
    <t>Ayudante de chofer</t>
  </si>
  <si>
    <t>Lizbeth Del Carmen Torres Reyes</t>
  </si>
  <si>
    <t>Facturación</t>
  </si>
  <si>
    <t>Gustavo Omar Garduño Butron</t>
  </si>
  <si>
    <t>Jose Luis Luna Avalos</t>
  </si>
  <si>
    <t>Martín Manjarrez Solorzano</t>
  </si>
  <si>
    <t>Edgar Segura Hernández</t>
  </si>
  <si>
    <t>Alma Brisa Granados</t>
  </si>
  <si>
    <t>Auxiliar de cocina</t>
  </si>
  <si>
    <t>Alicia Stibalis Cerda Ortega</t>
  </si>
  <si>
    <t>Auxiliar de Desarrollos</t>
  </si>
  <si>
    <t>Juan Amador Gallegos Quezada</t>
  </si>
  <si>
    <t>Carmen Perez Santiago</t>
  </si>
  <si>
    <t>Auxiliar de limpieza</t>
  </si>
  <si>
    <t>Saraines Alondra Acevedo Roque</t>
  </si>
  <si>
    <t>Analista de Calidad</t>
  </si>
  <si>
    <t>Jose Antonio Valtierra</t>
  </si>
  <si>
    <t>Jaime Ocampo Cervantes</t>
  </si>
  <si>
    <t>José pablo Jiménez Cervantes</t>
  </si>
  <si>
    <t>Irene Karen Abrego Solis</t>
  </si>
  <si>
    <t>Blanca Estela Garduño Lozada</t>
  </si>
  <si>
    <t>Supervisor de Aseguramiento de Calidad</t>
  </si>
  <si>
    <t>Carlos Cesar Ramos Sanchez</t>
  </si>
  <si>
    <t>Mensajero</t>
  </si>
  <si>
    <t>NA</t>
  </si>
  <si>
    <t>Amanda Anguiano Mora</t>
  </si>
  <si>
    <t>Coordinador de Contabilidad y RH</t>
  </si>
  <si>
    <t>Personal Capacitado</t>
  </si>
  <si>
    <t xml:space="preserve">Personal sin capacitación </t>
  </si>
  <si>
    <t xml:space="preserve">No aplica </t>
  </si>
  <si>
    <t>Porcentaje total de capacitación</t>
  </si>
  <si>
    <t>Seguimiento a la eficacia de capacitación</t>
  </si>
  <si>
    <t>BPD</t>
  </si>
  <si>
    <t>Verif. Eficacia (%)</t>
  </si>
  <si>
    <t>BPA</t>
  </si>
  <si>
    <t>Verif. eficacia (%)</t>
  </si>
  <si>
    <t>PRERREQUSITOS</t>
  </si>
  <si>
    <t>LIMPIEZA Y DESINFECCIÓN</t>
  </si>
  <si>
    <t>PPRO´S</t>
  </si>
  <si>
    <t>MANEJO INTEGRADO DE PLAGAS</t>
  </si>
  <si>
    <t>BPM</t>
  </si>
  <si>
    <t>MANEJO DE ALERGENOS</t>
  </si>
  <si>
    <t>ISO 22000:2018</t>
  </si>
  <si>
    <t>NORMA HALAL</t>
  </si>
  <si>
    <t>HACCP CONCEPTOS BASICO</t>
  </si>
  <si>
    <t>DEFENSA Y FRAUDE DE ALIMENTOS</t>
  </si>
  <si>
    <t>BUENAS PRACTICAS DE LABORATORIO</t>
  </si>
  <si>
    <t>Eduardo Peralta Villa</t>
  </si>
  <si>
    <t>Gerente De Mkt Y Gestión De Calidad</t>
  </si>
  <si>
    <t xml:space="preserve">Raul Ruiz Duran </t>
  </si>
  <si>
    <t>Supervisor De Aseguramiento De Calidad</t>
  </si>
  <si>
    <t>Juan Alfonso Hernández García</t>
  </si>
  <si>
    <t>SC</t>
  </si>
  <si>
    <t>Angélica Lizbeth Luna Delgado</t>
  </si>
  <si>
    <t>Jefa de Desarrollos</t>
  </si>
  <si>
    <t>Francisco Espinosa Enriquez</t>
  </si>
  <si>
    <t>Auxiliar De Desarrollos</t>
  </si>
  <si>
    <t>Supervisor De Producción</t>
  </si>
  <si>
    <t>Operador De Producción</t>
  </si>
  <si>
    <t>Ismael Molina Garduño</t>
  </si>
  <si>
    <t xml:space="preserve">Arturo Villagrana Roman </t>
  </si>
  <si>
    <t>Coordinador De Cadena De Suministro</t>
  </si>
  <si>
    <t xml:space="preserve">Chofer </t>
  </si>
  <si>
    <t xml:space="preserve">Marco Antonio Flores Herrera </t>
  </si>
  <si>
    <t xml:space="preserve">Fernando Julian Arenas Romero </t>
  </si>
  <si>
    <t>Ayudante General</t>
  </si>
  <si>
    <t>Martha Anguiano Mora</t>
  </si>
  <si>
    <t xml:space="preserve">Auxiliar Administrativo </t>
  </si>
  <si>
    <t xml:space="preserve">Juan Carlos Vera Castro </t>
  </si>
  <si>
    <t xml:space="preserve">Jefe De Almacen </t>
  </si>
  <si>
    <t>Cristian Benjamin Ramirez Lemus</t>
  </si>
  <si>
    <t>Iván Vargas Montoya</t>
  </si>
  <si>
    <t>Fernando Fragoso Sanchez</t>
  </si>
  <si>
    <t xml:space="preserve">Auxiliar De Limpieza </t>
  </si>
  <si>
    <t>Marina Betancourt Hernández</t>
  </si>
  <si>
    <t>Coord Contable y RH</t>
  </si>
  <si>
    <t>Gabriela Hernández Avila</t>
  </si>
  <si>
    <t>Coord. de Compras</t>
  </si>
  <si>
    <t>Rodolfo Ayala Lira</t>
  </si>
  <si>
    <t>Vendedor Técnico</t>
  </si>
  <si>
    <t>Rogelio Curiel</t>
  </si>
  <si>
    <t>Gerente Comercial</t>
  </si>
  <si>
    <t>Personal sin capacitación /Reprobados</t>
  </si>
  <si>
    <t>PROM PERS CAP</t>
  </si>
  <si>
    <t>Tiempo Total</t>
  </si>
  <si>
    <t>Tiempo capacitación (h)</t>
  </si>
  <si>
    <t>Tiempo de capacitación (H x per)</t>
  </si>
  <si>
    <t>Capacitación (%)</t>
  </si>
  <si>
    <t>Total de Verificación (%)</t>
  </si>
  <si>
    <t>Verificación (%)</t>
  </si>
  <si>
    <t>Reprogramación  para reforzamiento</t>
  </si>
  <si>
    <t>Nombre del personal</t>
  </si>
  <si>
    <t>Puesto  del personal</t>
  </si>
  <si>
    <t xml:space="preserve">Curso </t>
  </si>
  <si>
    <t>Fecha</t>
  </si>
  <si>
    <t>Sup. de aseguramiento de calidad</t>
  </si>
  <si>
    <t>Raúl Ruiz Duran</t>
  </si>
  <si>
    <t>BPM y alergenos</t>
  </si>
  <si>
    <t>Marco Antonio Flores</t>
  </si>
  <si>
    <t>José Antonio Valtierra</t>
  </si>
  <si>
    <t>AMBIENTAL</t>
  </si>
  <si>
    <t xml:space="preserve">Ulices Ramon Morales Duran </t>
  </si>
  <si>
    <t xml:space="preserve">Cordinador de Desarollos </t>
  </si>
  <si>
    <t>Monica Montes Zesatti</t>
  </si>
  <si>
    <t xml:space="preserve">Auditor operacional </t>
  </si>
  <si>
    <t xml:space="preserve">Radames Baez Rodriguez </t>
  </si>
  <si>
    <t>Ventas</t>
  </si>
  <si>
    <t xml:space="preserve">Edgar Muñoz Leon </t>
  </si>
  <si>
    <t xml:space="preserve">Vendedor Tecnico </t>
  </si>
  <si>
    <t xml:space="preserve">Rogelio Curiel Lopez </t>
  </si>
  <si>
    <t xml:space="preserve">Gerente Comercial </t>
  </si>
  <si>
    <t xml:space="preserve">Ricardo Rodriguez Rojas </t>
  </si>
  <si>
    <t xml:space="preserve">Director Comercial </t>
  </si>
  <si>
    <t xml:space="preserve">Carlos  Cesar Ramos Sanchez </t>
  </si>
  <si>
    <t xml:space="preserve">Mensajero </t>
  </si>
  <si>
    <t>Coord. Administrativo</t>
  </si>
  <si>
    <t>Lilis Soto Sanchez</t>
  </si>
  <si>
    <t xml:space="preserve">Facturación </t>
  </si>
  <si>
    <t>Erasto Metodio Elizeth</t>
  </si>
  <si>
    <t>Yazmin Torres Sanchez</t>
  </si>
  <si>
    <t xml:space="preserve">Asistente Administrativo </t>
  </si>
  <si>
    <t>MULTIBRIGADAS</t>
  </si>
  <si>
    <t>COM DE PELIGROS POR SUST QUIMICAS</t>
  </si>
  <si>
    <t>TRABAJO EN ALTURAS</t>
  </si>
  <si>
    <t>TRABAJO EN ESPACIOS CONFINADOS</t>
  </si>
  <si>
    <t>ADMINISTRACIÓN</t>
  </si>
  <si>
    <t>ACTUALIZACIÓN FISCAL</t>
  </si>
  <si>
    <t>MÓNICA MONTES ZESATTI</t>
  </si>
  <si>
    <t>AUDITOR OPERACIONAL</t>
  </si>
  <si>
    <t>MARIA AMANDA ANGUIANO MORA</t>
  </si>
  <si>
    <t>COORD CONTABLE Y RECURSOS HUMANOS</t>
  </si>
  <si>
    <t>GABRIELA HERNÁNDEZ ÁVILA</t>
  </si>
  <si>
    <t>COORDINADOR DE COMPRAS</t>
  </si>
  <si>
    <t>MARTHA ANGUIANO MORA</t>
  </si>
  <si>
    <t>AUXILIAR ADMINISTRATIVO</t>
  </si>
  <si>
    <t>LILIA SOTO SANCHEZ</t>
  </si>
  <si>
    <t>FACTURISTA</t>
  </si>
  <si>
    <t>YAZMIN TORRES SANCHEZ</t>
  </si>
  <si>
    <t>ASISTENTE ADMINISTRATIVO</t>
  </si>
  <si>
    <t xml:space="preserve">Tiempo de Capacitación </t>
  </si>
  <si>
    <t>CROMATÓGRAFO</t>
  </si>
  <si>
    <t>CURSO DE VENTAS XEROX</t>
  </si>
  <si>
    <t xml:space="preserve">ANTISOBORNO </t>
  </si>
  <si>
    <t>Jefe De Aseguramiento Calidad</t>
  </si>
  <si>
    <t>Elizabeth Granados Becerril</t>
  </si>
  <si>
    <t xml:space="preserve">Auxiliar De Desarrollos </t>
  </si>
  <si>
    <t xml:space="preserve">Lizbeth Del Carmen Torres Reyes </t>
  </si>
  <si>
    <t>Facturista</t>
  </si>
  <si>
    <t>Radamés Baez Rodríguez</t>
  </si>
  <si>
    <t>Director Comercial</t>
  </si>
  <si>
    <t>Edgar Muñoz León</t>
  </si>
  <si>
    <t>Ricardo Rodríguez Rojas</t>
  </si>
  <si>
    <t>ULISES MORALES</t>
  </si>
  <si>
    <t>ROCIO MARTINEZ</t>
  </si>
  <si>
    <t>Programados TOTAL</t>
  </si>
  <si>
    <t>Realizados</t>
  </si>
  <si>
    <t xml:space="preserve">Total capacitación </t>
  </si>
  <si>
    <t xml:space="preserve">Total horas de capacitación </t>
  </si>
  <si>
    <t xml:space="preserve">Cursos calidad </t>
  </si>
  <si>
    <t>Cursos Seguridad</t>
  </si>
  <si>
    <t xml:space="preserve">Cursos Administración </t>
  </si>
  <si>
    <t>Promedio de capacitación</t>
  </si>
  <si>
    <t>79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</si>
</sst>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theme="0"/>
      <name val="Calibri"/>
      <family val="2"/>
      <scheme val="minor"/>
    </font>
    <font>
      <b/>
      <sz val="9"/>
      <color theme="1"/>
      <name val="Century Gothic"/>
    </font>
    <font>
      <b/>
      <sz val="10"/>
      <color theme="1"/>
      <name val="Century Gothic"/>
    </font>
    <font>
      <b/>
      <sz val="8"/>
      <color theme="1"/>
      <name val="Century Gothic"/>
    </font>
    <font>
      <sz val="9"/>
      <name val="Century Gothic"/>
    </font>
    <font>
      <sz val="9"/>
      <color theme="1"/>
      <name val="Century Gothic"/>
    </font>
    <font>
      <sz val="9"/>
      <color indexed="8"/>
      <name val="Century Gothic"/>
    </font>
    <font>
      <sz val="11"/>
      <color theme="1"/>
      <name val="Century Gothic"/>
    </font>
    <font>
      <b/>
      <sz val="20"/>
      <color theme="1"/>
      <name val="Century Gothic"/>
    </font>
    <font>
      <b/>
      <sz val="9"/>
      <color indexed="8"/>
      <name val="Century Gothic"/>
    </font>
    <font>
      <b/>
      <sz val="11"/>
      <color theme="1"/>
      <name val="Century Gothic"/>
    </font>
    <font>
      <b/>
      <sz val="9"/>
      <color theme="0"/>
      <name val="Century Gothic"/>
    </font>
  </fonts>
  <fills count="2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EF987"/>
        <bgColor indexed="64"/>
      </patternFill>
    </fill>
    <fill>
      <patternFill patternType="solid">
        <fgColor rgb="FFEBDF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2">
    <xf numFmtId="0" fontId="0" fillId="0" borderId="0" xfId="0"/>
    <xf numFmtId="0" fontId="0" fillId="0" borderId="1" xfId="0" applyBorder="1"/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9" borderId="0" xfId="0" applyFont="1" applyFill="1" applyAlignment="1">
      <alignment textRotation="90" wrapText="1"/>
    </xf>
    <xf numFmtId="0" fontId="1" fillId="10" borderId="0" xfId="0" applyFont="1" applyFill="1" applyAlignment="1">
      <alignment textRotation="90" wrapText="1"/>
    </xf>
    <xf numFmtId="0" fontId="1" fillId="3" borderId="0" xfId="0" applyFont="1" applyFill="1" applyAlignment="1">
      <alignment textRotation="90" wrapText="1"/>
    </xf>
    <xf numFmtId="0" fontId="9" fillId="11" borderId="7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12" borderId="0" xfId="0" applyFont="1" applyFill="1" applyAlignment="1">
      <alignment textRotation="90" wrapText="1"/>
    </xf>
    <xf numFmtId="0" fontId="1" fillId="13" borderId="0" xfId="0" applyFont="1" applyFill="1" applyAlignment="1">
      <alignment textRotation="90" wrapText="1"/>
    </xf>
    <xf numFmtId="0" fontId="5" fillId="0" borderId="10" xfId="0" applyFont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/>
    <xf numFmtId="0" fontId="1" fillId="5" borderId="0" xfId="0" applyFont="1" applyFill="1" applyAlignment="1">
      <alignment vertical="center" textRotation="90" wrapText="1"/>
    </xf>
    <xf numFmtId="0" fontId="1" fillId="6" borderId="0" xfId="0" applyFont="1" applyFill="1" applyAlignment="1">
      <alignment vertical="center" textRotation="90" wrapText="1"/>
    </xf>
    <xf numFmtId="0" fontId="13" fillId="9" borderId="0" xfId="0" applyFont="1" applyFill="1" applyAlignment="1">
      <alignment horizontal="center" textRotation="90" wrapText="1"/>
    </xf>
    <xf numFmtId="0" fontId="6" fillId="2" borderId="0" xfId="0" applyFont="1" applyFill="1"/>
    <xf numFmtId="0" fontId="1" fillId="14" borderId="0" xfId="0" applyFont="1" applyFill="1"/>
    <xf numFmtId="0" fontId="14" fillId="0" borderId="1" xfId="0" applyFont="1" applyBorder="1"/>
    <xf numFmtId="0" fontId="12" fillId="2" borderId="0" xfId="0" applyFont="1" applyFill="1"/>
    <xf numFmtId="0" fontId="0" fillId="15" borderId="0" xfId="0" applyFill="1"/>
    <xf numFmtId="0" fontId="1" fillId="16" borderId="0" xfId="0" applyFont="1" applyFill="1"/>
    <xf numFmtId="0" fontId="1" fillId="16" borderId="0" xfId="0" applyFont="1" applyFill="1" applyAlignment="1">
      <alignment horizontal="center"/>
    </xf>
    <xf numFmtId="2" fontId="0" fillId="0" borderId="0" xfId="0" applyNumberFormat="1"/>
    <xf numFmtId="0" fontId="0" fillId="17" borderId="0" xfId="0" applyFill="1" applyAlignment="1">
      <alignment horizontal="center"/>
    </xf>
    <xf numFmtId="0" fontId="1" fillId="17" borderId="0" xfId="0" applyFont="1" applyFill="1" applyAlignment="1">
      <alignment horizontal="center"/>
    </xf>
    <xf numFmtId="14" fontId="1" fillId="0" borderId="0" xfId="0" applyNumberFormat="1" applyFont="1"/>
    <xf numFmtId="0" fontId="0" fillId="18" borderId="0" xfId="0" applyFill="1"/>
    <xf numFmtId="0" fontId="0" fillId="18" borderId="0" xfId="0" applyFill="1" applyAlignment="1">
      <alignment vertical="center"/>
    </xf>
    <xf numFmtId="0" fontId="15" fillId="18" borderId="0" xfId="0" applyFont="1" applyFill="1"/>
    <xf numFmtId="0" fontId="18" fillId="0" borderId="1" xfId="0" applyFont="1" applyBorder="1" applyAlignment="1">
      <alignment horizontal="center"/>
    </xf>
    <xf numFmtId="0" fontId="19" fillId="2" borderId="0" xfId="0" applyFont="1" applyFill="1"/>
    <xf numFmtId="0" fontId="18" fillId="0" borderId="0" xfId="0" applyFont="1"/>
    <xf numFmtId="0" fontId="20" fillId="0" borderId="12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" xfId="0" applyFont="1" applyBorder="1"/>
    <xf numFmtId="0" fontId="21" fillId="0" borderId="4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21" fillId="0" borderId="10" xfId="0" applyFont="1" applyBorder="1" applyAlignment="1">
      <alignment vertical="center"/>
    </xf>
    <xf numFmtId="0" fontId="22" fillId="4" borderId="1" xfId="0" applyFont="1" applyFill="1" applyBorder="1" applyAlignment="1">
      <alignment vertical="center"/>
    </xf>
    <xf numFmtId="0" fontId="18" fillId="2" borderId="0" xfId="0" applyFont="1" applyFill="1"/>
    <xf numFmtId="0" fontId="19" fillId="4" borderId="1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14" borderId="0" xfId="0" applyFont="1" applyFill="1"/>
    <xf numFmtId="0" fontId="19" fillId="14" borderId="0" xfId="0" applyFont="1" applyFill="1" applyAlignment="1">
      <alignment vertical="center"/>
    </xf>
    <xf numFmtId="0" fontId="17" fillId="11" borderId="7" xfId="0" applyFont="1" applyFill="1" applyBorder="1" applyAlignment="1">
      <alignment horizontal="center" vertical="center"/>
    </xf>
    <xf numFmtId="0" fontId="17" fillId="11" borderId="8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justify" vertical="center" textRotation="90" wrapText="1"/>
    </xf>
    <xf numFmtId="0" fontId="16" fillId="6" borderId="0" xfId="0" applyFont="1" applyFill="1" applyAlignment="1">
      <alignment horizontal="justify" vertical="center" textRotation="90" wrapText="1"/>
    </xf>
    <xf numFmtId="0" fontId="19" fillId="9" borderId="0" xfId="0" applyFont="1" applyFill="1" applyAlignment="1">
      <alignment horizontal="center" textRotation="90" wrapText="1"/>
    </xf>
    <xf numFmtId="0" fontId="19" fillId="3" borderId="0" xfId="0" applyFont="1" applyFill="1" applyAlignment="1">
      <alignment horizontal="center" textRotation="90" wrapText="1"/>
    </xf>
    <xf numFmtId="3" fontId="18" fillId="0" borderId="2" xfId="0" applyNumberFormat="1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3" fontId="18" fillId="0" borderId="6" xfId="0" applyNumberFormat="1" applyFont="1" applyBorder="1" applyAlignment="1">
      <alignment horizontal="center"/>
    </xf>
    <xf numFmtId="0" fontId="16" fillId="9" borderId="0" xfId="0" applyFont="1" applyFill="1" applyAlignment="1">
      <alignment horizontal="center" textRotation="90" wrapText="1"/>
    </xf>
    <xf numFmtId="0" fontId="19" fillId="14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 textRotation="90" wrapText="1"/>
    </xf>
    <xf numFmtId="0" fontId="23" fillId="19" borderId="0" xfId="0" applyFont="1" applyFill="1" applyAlignment="1">
      <alignment horizontal="left" wrapText="1"/>
    </xf>
    <xf numFmtId="0" fontId="23" fillId="19" borderId="0" xfId="0" applyFont="1" applyFill="1" applyAlignment="1">
      <alignment horizontal="left"/>
    </xf>
    <xf numFmtId="1" fontId="1" fillId="9" borderId="0" xfId="0" applyNumberFormat="1" applyFont="1" applyFill="1" applyAlignment="1">
      <alignment horizontal="center"/>
    </xf>
    <xf numFmtId="1" fontId="0" fillId="20" borderId="0" xfId="0" applyNumberFormat="1" applyFill="1"/>
    <xf numFmtId="1" fontId="0" fillId="16" borderId="0" xfId="0" applyNumberFormat="1" applyFill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5" fillId="11" borderId="7" xfId="0" applyFont="1" applyFill="1" applyBorder="1" applyAlignment="1">
      <alignment horizontal="center" vertical="center"/>
    </xf>
    <xf numFmtId="0" fontId="25" fillId="11" borderId="8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justify" vertical="center" textRotation="90" wrapText="1"/>
    </xf>
    <xf numFmtId="0" fontId="26" fillId="6" borderId="0" xfId="0" applyFont="1" applyFill="1" applyAlignment="1">
      <alignment horizontal="justify" vertical="center" textRotation="90" wrapText="1"/>
    </xf>
    <xf numFmtId="0" fontId="27" fillId="0" borderId="12" xfId="0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1" xfId="0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9" fillId="0" borderId="4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" xfId="0" applyFont="1" applyBorder="1"/>
    <xf numFmtId="0" fontId="28" fillId="0" borderId="10" xfId="0" applyFont="1" applyBorder="1" applyAlignment="1">
      <alignment vertical="center"/>
    </xf>
    <xf numFmtId="0" fontId="26" fillId="7" borderId="0" xfId="0" applyFont="1" applyFill="1" applyAlignment="1">
      <alignment horizontal="justify" vertical="center" textRotation="90" wrapText="1"/>
    </xf>
    <xf numFmtId="2" fontId="1" fillId="9" borderId="0" xfId="0" applyNumberFormat="1" applyFont="1" applyFill="1" applyAlignment="1">
      <alignment horizontal="center"/>
    </xf>
    <xf numFmtId="2" fontId="0" fillId="20" borderId="0" xfId="0" applyNumberFormat="1" applyFill="1"/>
    <xf numFmtId="2" fontId="0" fillId="16" borderId="0" xfId="0" applyNumberFormat="1" applyFill="1" applyAlignment="1">
      <alignment horizontal="center"/>
    </xf>
    <xf numFmtId="0" fontId="30" fillId="18" borderId="0" xfId="0" applyFont="1" applyFill="1"/>
    <xf numFmtId="0" fontId="30" fillId="18" borderId="0" xfId="0" applyFont="1" applyFill="1" applyAlignment="1">
      <alignment vertical="center"/>
    </xf>
    <xf numFmtId="0" fontId="30" fillId="0" borderId="0" xfId="0" applyFont="1"/>
    <xf numFmtId="0" fontId="31" fillId="18" borderId="0" xfId="0" applyFont="1" applyFill="1"/>
    <xf numFmtId="0" fontId="27" fillId="18" borderId="12" xfId="0" applyFont="1" applyFill="1" applyBorder="1" applyAlignment="1">
      <alignment vertical="center"/>
    </xf>
    <xf numFmtId="0" fontId="29" fillId="18" borderId="4" xfId="0" applyFont="1" applyFill="1" applyBorder="1" applyAlignment="1">
      <alignment vertical="center"/>
    </xf>
    <xf numFmtId="0" fontId="29" fillId="18" borderId="17" xfId="0" applyFont="1" applyFill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9" fillId="0" borderId="17" xfId="0" applyFont="1" applyBorder="1" applyAlignment="1">
      <alignment vertical="center"/>
    </xf>
    <xf numFmtId="0" fontId="28" fillId="2" borderId="0" xfId="0" applyFont="1" applyFill="1"/>
    <xf numFmtId="0" fontId="33" fillId="16" borderId="0" xfId="0" applyFont="1" applyFill="1" applyAlignment="1">
      <alignment horizontal="center"/>
    </xf>
    <xf numFmtId="0" fontId="33" fillId="17" borderId="0" xfId="0" applyFont="1" applyFill="1" applyAlignment="1">
      <alignment horizontal="center"/>
    </xf>
    <xf numFmtId="0" fontId="34" fillId="19" borderId="0" xfId="0" applyFont="1" applyFill="1" applyAlignment="1">
      <alignment horizontal="left" wrapText="1"/>
    </xf>
    <xf numFmtId="1" fontId="33" fillId="9" borderId="0" xfId="0" applyNumberFormat="1" applyFont="1" applyFill="1" applyAlignment="1">
      <alignment horizontal="center"/>
    </xf>
    <xf numFmtId="0" fontId="24" fillId="4" borderId="0" xfId="0" applyFont="1" applyFill="1" applyAlignment="1">
      <alignment vertical="center"/>
    </xf>
    <xf numFmtId="0" fontId="24" fillId="2" borderId="0" xfId="0" applyFont="1" applyFill="1"/>
    <xf numFmtId="14" fontId="33" fillId="0" borderId="0" xfId="0" applyNumberFormat="1" applyFont="1"/>
    <xf numFmtId="0" fontId="34" fillId="19" borderId="0" xfId="0" applyFont="1" applyFill="1" applyAlignment="1">
      <alignment horizontal="left"/>
    </xf>
    <xf numFmtId="1" fontId="30" fillId="20" borderId="0" xfId="0" applyNumberFormat="1" applyFont="1" applyFill="1"/>
    <xf numFmtId="0" fontId="28" fillId="0" borderId="0" xfId="0" applyFont="1"/>
    <xf numFmtId="1" fontId="30" fillId="16" borderId="0" xfId="0" applyNumberFormat="1" applyFont="1" applyFill="1" applyAlignment="1">
      <alignment horizontal="center"/>
    </xf>
    <xf numFmtId="0" fontId="28" fillId="0" borderId="0" xfId="0" applyFont="1" applyAlignment="1">
      <alignment vertical="center"/>
    </xf>
    <xf numFmtId="0" fontId="24" fillId="14" borderId="0" xfId="0" applyFont="1" applyFill="1" applyAlignment="1">
      <alignment horizontal="center" vertical="center"/>
    </xf>
    <xf numFmtId="0" fontId="24" fillId="14" borderId="0" xfId="0" applyFont="1" applyFill="1"/>
    <xf numFmtId="0" fontId="24" fillId="14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3" fontId="28" fillId="0" borderId="19" xfId="0" applyNumberFormat="1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8" fillId="0" borderId="19" xfId="0" applyFont="1" applyBorder="1"/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6" fillId="0" borderId="9" xfId="0" applyFont="1" applyBorder="1" applyAlignment="1">
      <alignment horizontal="center"/>
    </xf>
    <xf numFmtId="0" fontId="24" fillId="0" borderId="9" xfId="0" applyFont="1" applyBorder="1" applyAlignment="1">
      <alignment horizontal="left" vertical="center"/>
    </xf>
    <xf numFmtId="0" fontId="25" fillId="7" borderId="0" xfId="0" applyFont="1" applyFill="1" applyAlignment="1">
      <alignment horizontal="center"/>
    </xf>
    <xf numFmtId="0" fontId="19" fillId="14" borderId="16" xfId="0" applyFont="1" applyFill="1" applyBorder="1" applyAlignment="1">
      <alignment horizontal="center"/>
    </xf>
    <xf numFmtId="0" fontId="19" fillId="14" borderId="0" xfId="0" applyFont="1" applyFill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22" fillId="4" borderId="0" xfId="0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 wrapText="1"/>
    </xf>
    <xf numFmtId="14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14" borderId="10" xfId="0" applyFont="1" applyFill="1" applyBorder="1" applyAlignment="1">
      <alignment horizontal="center"/>
    </xf>
    <xf numFmtId="0" fontId="19" fillId="14" borderId="14" xfId="0" applyFont="1" applyFill="1" applyBorder="1" applyAlignment="1">
      <alignment horizontal="center"/>
    </xf>
    <xf numFmtId="0" fontId="19" fillId="14" borderId="15" xfId="0" applyFont="1" applyFill="1" applyBorder="1" applyAlignment="1">
      <alignment horizontal="center"/>
    </xf>
    <xf numFmtId="0" fontId="24" fillId="4" borderId="0" xfId="0" applyFont="1" applyFill="1" applyAlignment="1">
      <alignment horizontal="right" vertical="center" wrapText="1"/>
    </xf>
    <xf numFmtId="0" fontId="32" fillId="4" borderId="0" xfId="0" applyFont="1" applyFill="1" applyAlignment="1">
      <alignment horizontal="right" vertical="center"/>
    </xf>
    <xf numFmtId="0" fontId="24" fillId="4" borderId="0" xfId="0" applyFont="1" applyFill="1" applyAlignment="1">
      <alignment horizontal="right" vertical="center"/>
    </xf>
    <xf numFmtId="0" fontId="24" fillId="14" borderId="10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/>
    </xf>
    <xf numFmtId="0" fontId="24" fillId="14" borderId="15" xfId="0" applyFont="1" applyFill="1" applyBorder="1" applyAlignment="1">
      <alignment horizontal="center"/>
    </xf>
    <xf numFmtId="0" fontId="24" fillId="14" borderId="16" xfId="0" applyFont="1" applyFill="1" applyBorder="1" applyAlignment="1">
      <alignment horizontal="center"/>
    </xf>
    <xf numFmtId="0" fontId="24" fillId="14" borderId="0" xfId="0" applyFont="1" applyFill="1" applyAlignment="1">
      <alignment horizontal="center"/>
    </xf>
    <xf numFmtId="0" fontId="28" fillId="0" borderId="10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19" fillId="0" borderId="9" xfId="0" applyFont="1" applyBorder="1" applyAlignment="1">
      <alignment horizontal="left" vertical="center"/>
    </xf>
    <xf numFmtId="0" fontId="17" fillId="7" borderId="0" xfId="0" applyFont="1" applyFill="1" applyAlignment="1">
      <alignment horizontal="center"/>
    </xf>
    <xf numFmtId="0" fontId="19" fillId="0" borderId="9" xfId="0" applyFont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9" fillId="14" borderId="0" xfId="0" applyFont="1" applyFill="1" applyAlignment="1">
      <alignment horizontal="center" vertical="center"/>
    </xf>
  </cellXfs>
  <cellStyles count="5">
    <cellStyle name="Hipervínculo" xfId="3" builtinId="8" hidden="1"/>
    <cellStyle name="Hipervínculo" xfId="1" builtinId="8" hidden="1"/>
    <cellStyle name="Hipervínculo visitado" xfId="4" builtinId="9" hidden="1"/>
    <cellStyle name="Hipervínculo visitado" xfId="2" builtinId="9" hidden="1"/>
    <cellStyle name="Normal" xfId="0" builtinId="0"/>
  </cellStyles>
  <dxfs count="0"/>
  <tableStyles count="0" defaultTableStyle="TableStyleMedium2" defaultPivotStyle="PivotStyleLight16"/>
  <colors>
    <mruColors>
      <color rgb="FFEEF987"/>
      <color rgb="FFCCCC00"/>
      <color rgb="FFFF9933"/>
      <color rgb="FFFFCC66"/>
      <color rgb="FFEBDF41"/>
      <color rgb="FFF1F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276225</xdr:colOff>
          <xdr:row>0</xdr:row>
          <xdr:rowOff>114300</xdr:rowOff>
        </xdr:from>
        <xdr:to>
          <xdr:col>31</xdr:col>
          <xdr:colOff>457200</xdr:colOff>
          <xdr:row>3</xdr:row>
          <xdr:rowOff>95250</xdr:rowOff>
        </xdr:to>
        <xdr:sp macro="" textlink="">
          <xdr:nvSpPr>
            <xdr:cNvPr id="6180" name="Object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00000000-0008-0000-0100-00002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276225</xdr:colOff>
          <xdr:row>0</xdr:row>
          <xdr:rowOff>114300</xdr:rowOff>
        </xdr:from>
        <xdr:to>
          <xdr:col>31</xdr:col>
          <xdr:colOff>457200</xdr:colOff>
          <xdr:row>3</xdr:row>
          <xdr:rowOff>95250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2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276225</xdr:colOff>
          <xdr:row>0</xdr:row>
          <xdr:rowOff>114300</xdr:rowOff>
        </xdr:from>
        <xdr:to>
          <xdr:col>31</xdr:col>
          <xdr:colOff>457200</xdr:colOff>
          <xdr:row>3</xdr:row>
          <xdr:rowOff>95250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3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171450</xdr:colOff>
          <xdr:row>0</xdr:row>
          <xdr:rowOff>85725</xdr:rowOff>
        </xdr:from>
        <xdr:to>
          <xdr:col>26</xdr:col>
          <xdr:colOff>28575</xdr:colOff>
          <xdr:row>2</xdr:row>
          <xdr:rowOff>152400</xdr:rowOff>
        </xdr:to>
        <xdr:sp macro="" textlink="">
          <xdr:nvSpPr>
            <xdr:cNvPr id="10251" name="Object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4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171450</xdr:colOff>
          <xdr:row>0</xdr:row>
          <xdr:rowOff>85725</xdr:rowOff>
        </xdr:from>
        <xdr:to>
          <xdr:col>26</xdr:col>
          <xdr:colOff>28575</xdr:colOff>
          <xdr:row>2</xdr:row>
          <xdr:rowOff>152400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5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AT38"/>
  <sheetViews>
    <sheetView topLeftCell="B1" workbookViewId="0">
      <selection activeCell="G3" sqref="G3"/>
    </sheetView>
  </sheetViews>
  <sheetFormatPr defaultColWidth="11.42578125" defaultRowHeight="15"/>
  <cols>
    <col min="1" max="1" width="4.42578125" customWidth="1"/>
    <col min="2" max="2" width="27.85546875" customWidth="1"/>
    <col min="3" max="3" width="36.42578125" style="5" customWidth="1"/>
    <col min="4" max="14" width="5.28515625" customWidth="1"/>
    <col min="15" max="15" width="5.85546875" customWidth="1"/>
    <col min="16" max="32" width="5.28515625" customWidth="1"/>
    <col min="33" max="33" width="5.85546875" customWidth="1"/>
    <col min="34" max="46" width="5.28515625" customWidth="1"/>
  </cols>
  <sheetData>
    <row r="1" spans="2:46" ht="15.75" thickBot="1">
      <c r="B1" s="138" t="s">
        <v>0</v>
      </c>
      <c r="C1" s="138"/>
      <c r="D1" s="135" t="s">
        <v>1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6" t="s">
        <v>2</v>
      </c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21"/>
      <c r="AQ1" s="137" t="s">
        <v>3</v>
      </c>
      <c r="AR1" s="137"/>
      <c r="AS1" s="137"/>
      <c r="AT1" s="137"/>
    </row>
    <row r="2" spans="2:46" ht="108" customHeight="1" thickBot="1">
      <c r="B2" s="9" t="s">
        <v>4</v>
      </c>
      <c r="C2" s="10" t="s">
        <v>5</v>
      </c>
      <c r="D2" s="30" t="s">
        <v>6</v>
      </c>
      <c r="E2" s="31" t="s">
        <v>7</v>
      </c>
      <c r="F2" s="31" t="s">
        <v>8</v>
      </c>
      <c r="G2" s="30" t="s">
        <v>9</v>
      </c>
      <c r="H2" s="31" t="s">
        <v>10</v>
      </c>
      <c r="I2" s="30" t="s">
        <v>11</v>
      </c>
      <c r="J2" s="31" t="s">
        <v>12</v>
      </c>
      <c r="K2" s="30" t="s">
        <v>13</v>
      </c>
      <c r="L2" s="31" t="s">
        <v>14</v>
      </c>
      <c r="M2" s="30" t="s">
        <v>15</v>
      </c>
      <c r="N2" s="31" t="s">
        <v>16</v>
      </c>
      <c r="O2" s="30" t="s">
        <v>17</v>
      </c>
      <c r="P2" s="31" t="s">
        <v>18</v>
      </c>
      <c r="Q2" s="30" t="s">
        <v>19</v>
      </c>
      <c r="R2" s="31" t="s">
        <v>20</v>
      </c>
      <c r="S2" s="30" t="s">
        <v>21</v>
      </c>
      <c r="T2" s="31" t="s">
        <v>22</v>
      </c>
      <c r="U2" s="30" t="s">
        <v>23</v>
      </c>
      <c r="V2" s="31" t="s">
        <v>24</v>
      </c>
      <c r="W2" s="7" t="s">
        <v>25</v>
      </c>
      <c r="X2" s="6" t="s">
        <v>26</v>
      </c>
      <c r="Y2" s="8" t="s">
        <v>27</v>
      </c>
      <c r="Z2" s="6" t="s">
        <v>28</v>
      </c>
      <c r="AA2" s="8" t="s">
        <v>29</v>
      </c>
      <c r="AB2" s="6" t="s">
        <v>30</v>
      </c>
      <c r="AC2" s="8" t="s">
        <v>31</v>
      </c>
      <c r="AD2" s="6" t="s">
        <v>32</v>
      </c>
      <c r="AE2" s="8" t="s">
        <v>33</v>
      </c>
      <c r="AF2" s="6" t="s">
        <v>34</v>
      </c>
      <c r="AG2" s="8" t="s">
        <v>35</v>
      </c>
      <c r="AH2" s="6" t="s">
        <v>36</v>
      </c>
      <c r="AI2" s="8" t="s">
        <v>37</v>
      </c>
      <c r="AJ2" s="6" t="s">
        <v>38</v>
      </c>
      <c r="AK2" s="8" t="s">
        <v>39</v>
      </c>
      <c r="AL2" s="6" t="s">
        <v>40</v>
      </c>
      <c r="AM2" s="8" t="s">
        <v>41</v>
      </c>
      <c r="AN2" s="6" t="s">
        <v>42</v>
      </c>
      <c r="AO2" s="8" t="s">
        <v>43</v>
      </c>
      <c r="AP2" s="6" t="s">
        <v>44</v>
      </c>
      <c r="AQ2" s="23" t="s">
        <v>45</v>
      </c>
      <c r="AR2" s="22" t="s">
        <v>46</v>
      </c>
      <c r="AS2" s="23" t="s">
        <v>47</v>
      </c>
      <c r="AT2" s="22" t="s">
        <v>48</v>
      </c>
    </row>
    <row r="3" spans="2:46">
      <c r="B3" s="4" t="s">
        <v>49</v>
      </c>
      <c r="C3" s="11" t="s">
        <v>50</v>
      </c>
      <c r="D3" s="15" t="s">
        <v>51</v>
      </c>
      <c r="E3" s="16" t="s">
        <v>51</v>
      </c>
      <c r="F3" s="16" t="s">
        <v>51</v>
      </c>
      <c r="G3" s="1"/>
      <c r="H3" s="15" t="s">
        <v>51</v>
      </c>
      <c r="I3" s="16" t="s">
        <v>51</v>
      </c>
      <c r="J3" s="1"/>
      <c r="K3" s="1"/>
      <c r="L3" s="1"/>
      <c r="M3" s="16" t="s">
        <v>51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6" t="s">
        <v>51</v>
      </c>
      <c r="AQ3" s="1"/>
      <c r="AR3" s="1"/>
      <c r="AS3" s="1"/>
      <c r="AT3" s="1"/>
    </row>
    <row r="4" spans="2:46">
      <c r="B4" s="3" t="s">
        <v>52</v>
      </c>
      <c r="C4" s="12" t="s">
        <v>53</v>
      </c>
      <c r="D4" s="17" t="s">
        <v>51</v>
      </c>
      <c r="E4" s="16" t="s">
        <v>51</v>
      </c>
      <c r="F4" s="16" t="s">
        <v>51</v>
      </c>
      <c r="G4" s="1"/>
      <c r="H4" s="17" t="s">
        <v>51</v>
      </c>
      <c r="I4" s="16" t="s">
        <v>51</v>
      </c>
      <c r="J4" s="1"/>
      <c r="K4" s="1"/>
      <c r="L4" s="1"/>
      <c r="M4" s="16" t="s">
        <v>51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6" t="s">
        <v>51</v>
      </c>
      <c r="AQ4" s="1"/>
      <c r="AR4" s="1"/>
      <c r="AS4" s="1"/>
      <c r="AT4" s="1"/>
    </row>
    <row r="5" spans="2:46">
      <c r="B5" s="3" t="s">
        <v>54</v>
      </c>
      <c r="C5" s="12" t="s">
        <v>55</v>
      </c>
      <c r="D5" s="17" t="s">
        <v>51</v>
      </c>
      <c r="E5" s="16" t="s">
        <v>51</v>
      </c>
      <c r="F5" s="16" t="s">
        <v>56</v>
      </c>
      <c r="G5" s="1"/>
      <c r="H5" s="17" t="s">
        <v>51</v>
      </c>
      <c r="I5" s="16" t="s">
        <v>51</v>
      </c>
      <c r="J5" s="1"/>
      <c r="K5" s="1"/>
      <c r="L5" s="1"/>
      <c r="M5" s="16" t="s">
        <v>51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6" t="s">
        <v>51</v>
      </c>
      <c r="AQ5" s="1"/>
      <c r="AR5" s="1"/>
      <c r="AS5" s="1"/>
      <c r="AT5" s="1"/>
    </row>
    <row r="6" spans="2:46">
      <c r="B6" s="3" t="s">
        <v>57</v>
      </c>
      <c r="C6" s="13" t="s">
        <v>58</v>
      </c>
      <c r="D6" s="17" t="s">
        <v>51</v>
      </c>
      <c r="E6" s="16" t="s">
        <v>51</v>
      </c>
      <c r="F6" s="16" t="s">
        <v>51</v>
      </c>
      <c r="G6" s="1"/>
      <c r="H6" s="17" t="s">
        <v>51</v>
      </c>
      <c r="I6" s="16" t="s">
        <v>51</v>
      </c>
      <c r="J6" s="1"/>
      <c r="K6" s="1"/>
      <c r="L6" s="1"/>
      <c r="M6" s="16" t="s">
        <v>51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6" t="s">
        <v>51</v>
      </c>
      <c r="AQ6" s="1"/>
      <c r="AR6" s="1"/>
      <c r="AS6" s="1"/>
      <c r="AT6" s="1"/>
    </row>
    <row r="7" spans="2:46">
      <c r="B7" s="3" t="s">
        <v>59</v>
      </c>
      <c r="C7" s="12" t="s">
        <v>60</v>
      </c>
      <c r="D7" s="17" t="s">
        <v>51</v>
      </c>
      <c r="E7" s="16" t="s">
        <v>51</v>
      </c>
      <c r="F7" s="16" t="s">
        <v>51</v>
      </c>
      <c r="G7" s="1"/>
      <c r="H7" s="17" t="s">
        <v>51</v>
      </c>
      <c r="I7" s="16" t="s">
        <v>51</v>
      </c>
      <c r="J7" s="1"/>
      <c r="K7" s="1"/>
      <c r="L7" s="1"/>
      <c r="M7" s="16" t="s">
        <v>51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6" t="s">
        <v>51</v>
      </c>
      <c r="AQ7" s="1"/>
      <c r="AR7" s="1"/>
      <c r="AS7" s="1"/>
      <c r="AT7" s="1"/>
    </row>
    <row r="8" spans="2:46">
      <c r="B8" s="3" t="s">
        <v>61</v>
      </c>
      <c r="C8" s="12" t="s">
        <v>62</v>
      </c>
      <c r="D8" s="17" t="s">
        <v>51</v>
      </c>
      <c r="E8" s="16" t="s">
        <v>51</v>
      </c>
      <c r="F8" s="16" t="s">
        <v>51</v>
      </c>
      <c r="G8" s="1"/>
      <c r="H8" s="17" t="s">
        <v>51</v>
      </c>
      <c r="I8" s="16" t="s">
        <v>51</v>
      </c>
      <c r="J8" s="1"/>
      <c r="K8" s="1"/>
      <c r="L8" s="1"/>
      <c r="M8" s="16" t="s">
        <v>51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6" t="s">
        <v>51</v>
      </c>
      <c r="AQ8" s="1"/>
      <c r="AR8" s="1"/>
      <c r="AS8" s="1"/>
      <c r="AT8" s="1"/>
    </row>
    <row r="9" spans="2:46">
      <c r="B9" s="3" t="s">
        <v>63</v>
      </c>
      <c r="C9" s="13" t="s">
        <v>64</v>
      </c>
      <c r="D9" s="17" t="s">
        <v>51</v>
      </c>
      <c r="E9" s="16" t="s">
        <v>51</v>
      </c>
      <c r="F9" s="16" t="s">
        <v>51</v>
      </c>
      <c r="G9" s="1"/>
      <c r="H9" s="17" t="s">
        <v>51</v>
      </c>
      <c r="I9" s="16" t="s">
        <v>51</v>
      </c>
      <c r="J9" s="1"/>
      <c r="K9" s="1"/>
      <c r="L9" s="1"/>
      <c r="M9" s="16" t="s">
        <v>51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6" t="s">
        <v>51</v>
      </c>
      <c r="AQ9" s="1"/>
      <c r="AR9" s="1"/>
      <c r="AS9" s="1"/>
      <c r="AT9" s="1"/>
    </row>
    <row r="10" spans="2:46">
      <c r="B10" s="3" t="s">
        <v>65</v>
      </c>
      <c r="C10" s="13" t="s">
        <v>66</v>
      </c>
      <c r="D10" s="18" t="s">
        <v>56</v>
      </c>
      <c r="E10" s="16" t="s">
        <v>51</v>
      </c>
      <c r="F10" s="16" t="s">
        <v>51</v>
      </c>
      <c r="G10" s="1"/>
      <c r="H10" s="18" t="s">
        <v>56</v>
      </c>
      <c r="I10" s="18" t="s">
        <v>56</v>
      </c>
      <c r="J10" s="1"/>
      <c r="K10" s="1"/>
      <c r="L10" s="1"/>
      <c r="M10" s="16" t="s">
        <v>51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8" t="s">
        <v>56</v>
      </c>
      <c r="AQ10" s="1"/>
      <c r="AR10" s="1"/>
      <c r="AS10" s="1"/>
      <c r="AT10" s="1"/>
    </row>
    <row r="11" spans="2:46">
      <c r="B11" s="3" t="s">
        <v>67</v>
      </c>
      <c r="C11" s="13" t="s">
        <v>68</v>
      </c>
      <c r="D11" s="17" t="s">
        <v>51</v>
      </c>
      <c r="E11" s="16" t="s">
        <v>51</v>
      </c>
      <c r="F11" s="16" t="s">
        <v>51</v>
      </c>
      <c r="G11" s="1"/>
      <c r="H11" s="17" t="s">
        <v>51</v>
      </c>
      <c r="I11" s="16" t="s">
        <v>51</v>
      </c>
      <c r="J11" s="1"/>
      <c r="K11" s="1"/>
      <c r="L11" s="1"/>
      <c r="M11" s="16" t="s">
        <v>51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6" t="s">
        <v>51</v>
      </c>
      <c r="AQ11" s="1"/>
      <c r="AR11" s="1"/>
      <c r="AS11" s="1"/>
      <c r="AT11" s="1"/>
    </row>
    <row r="12" spans="2:46">
      <c r="B12" s="3" t="s">
        <v>69</v>
      </c>
      <c r="C12" s="13" t="s">
        <v>68</v>
      </c>
      <c r="D12" s="18" t="s">
        <v>56</v>
      </c>
      <c r="E12" s="16" t="s">
        <v>51</v>
      </c>
      <c r="F12" s="16" t="s">
        <v>56</v>
      </c>
      <c r="G12" s="1"/>
      <c r="H12" s="18" t="s">
        <v>56</v>
      </c>
      <c r="I12" s="16" t="s">
        <v>51</v>
      </c>
      <c r="J12" s="1"/>
      <c r="K12" s="1"/>
      <c r="L12" s="1"/>
      <c r="M12" s="16" t="s">
        <v>51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6" t="s">
        <v>51</v>
      </c>
      <c r="AQ12" s="1"/>
      <c r="AR12" s="1"/>
      <c r="AS12" s="1"/>
      <c r="AT12" s="1"/>
    </row>
    <row r="13" spans="2:46">
      <c r="B13" s="3" t="s">
        <v>70</v>
      </c>
      <c r="C13" s="13" t="s">
        <v>68</v>
      </c>
      <c r="D13" s="18" t="s">
        <v>56</v>
      </c>
      <c r="E13" s="16" t="s">
        <v>51</v>
      </c>
      <c r="F13" s="16" t="s">
        <v>56</v>
      </c>
      <c r="G13" s="1"/>
      <c r="H13" s="18" t="s">
        <v>56</v>
      </c>
      <c r="I13" s="18" t="s">
        <v>56</v>
      </c>
      <c r="J13" s="1"/>
      <c r="K13" s="1"/>
      <c r="L13" s="1"/>
      <c r="M13" s="16" t="s">
        <v>51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8" t="s">
        <v>56</v>
      </c>
      <c r="AQ13" s="1"/>
      <c r="AR13" s="1"/>
      <c r="AS13" s="1"/>
      <c r="AT13" s="1"/>
    </row>
    <row r="14" spans="2:46">
      <c r="B14" s="3" t="s">
        <v>71</v>
      </c>
      <c r="C14" s="13" t="s">
        <v>68</v>
      </c>
      <c r="D14" s="18" t="s">
        <v>56</v>
      </c>
      <c r="E14" s="16" t="s">
        <v>51</v>
      </c>
      <c r="F14" s="16" t="s">
        <v>51</v>
      </c>
      <c r="G14" s="1"/>
      <c r="H14" s="18" t="s">
        <v>56</v>
      </c>
      <c r="I14" s="16" t="s">
        <v>51</v>
      </c>
      <c r="J14" s="1"/>
      <c r="K14" s="1"/>
      <c r="L14" s="1"/>
      <c r="M14" s="16" t="s">
        <v>51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6" t="s">
        <v>51</v>
      </c>
      <c r="AQ14" s="1"/>
      <c r="AR14" s="1"/>
      <c r="AS14" s="1"/>
      <c r="AT14" s="1"/>
    </row>
    <row r="15" spans="2:46">
      <c r="B15" s="3" t="s">
        <v>72</v>
      </c>
      <c r="C15" s="13" t="s">
        <v>73</v>
      </c>
      <c r="D15" s="19" t="s">
        <v>51</v>
      </c>
      <c r="E15" s="16" t="s">
        <v>51</v>
      </c>
      <c r="F15" s="16" t="s">
        <v>51</v>
      </c>
      <c r="G15" s="1"/>
      <c r="H15" s="19" t="s">
        <v>51</v>
      </c>
      <c r="I15" s="16" t="s">
        <v>51</v>
      </c>
      <c r="J15" s="1"/>
      <c r="K15" s="1"/>
      <c r="L15" s="1"/>
      <c r="M15" s="16" t="s">
        <v>51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6" t="s">
        <v>51</v>
      </c>
      <c r="AQ15" s="1"/>
      <c r="AR15" s="1"/>
      <c r="AS15" s="1"/>
      <c r="AT15" s="1"/>
    </row>
    <row r="16" spans="2:46">
      <c r="B16" s="3" t="s">
        <v>74</v>
      </c>
      <c r="C16" s="13" t="s">
        <v>75</v>
      </c>
      <c r="D16" s="17" t="s">
        <v>51</v>
      </c>
      <c r="E16" s="16" t="s">
        <v>51</v>
      </c>
      <c r="F16" s="16" t="s">
        <v>51</v>
      </c>
      <c r="G16" s="1"/>
      <c r="H16" s="17" t="s">
        <v>51</v>
      </c>
      <c r="I16" s="16" t="s">
        <v>51</v>
      </c>
      <c r="J16" s="1"/>
      <c r="K16" s="1"/>
      <c r="L16" s="1"/>
      <c r="M16" s="16" t="s">
        <v>51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6" t="s">
        <v>51</v>
      </c>
      <c r="AQ16" s="1"/>
      <c r="AR16" s="1"/>
      <c r="AS16" s="1"/>
      <c r="AT16" s="1"/>
    </row>
    <row r="17" spans="2:46">
      <c r="B17" s="3" t="s">
        <v>76</v>
      </c>
      <c r="C17" s="13" t="s">
        <v>66</v>
      </c>
      <c r="D17" s="17" t="s">
        <v>51</v>
      </c>
      <c r="E17" s="16" t="s">
        <v>51</v>
      </c>
      <c r="F17" s="16" t="s">
        <v>51</v>
      </c>
      <c r="G17" s="1"/>
      <c r="H17" s="17" t="s">
        <v>51</v>
      </c>
      <c r="I17" s="18" t="s">
        <v>56</v>
      </c>
      <c r="J17" s="1"/>
      <c r="K17" s="1"/>
      <c r="L17" s="1"/>
      <c r="M17" s="16" t="s">
        <v>51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8" t="s">
        <v>56</v>
      </c>
      <c r="AQ17" s="1"/>
      <c r="AR17" s="1"/>
      <c r="AS17" s="1"/>
      <c r="AT17" s="1"/>
    </row>
    <row r="18" spans="2:46">
      <c r="B18" s="3" t="s">
        <v>77</v>
      </c>
      <c r="C18" s="13" t="s">
        <v>73</v>
      </c>
      <c r="D18" s="17" t="s">
        <v>51</v>
      </c>
      <c r="E18" s="16" t="s">
        <v>51</v>
      </c>
      <c r="F18" s="16" t="s">
        <v>51</v>
      </c>
      <c r="G18" s="1"/>
      <c r="H18" s="17" t="s">
        <v>51</v>
      </c>
      <c r="I18" s="18" t="s">
        <v>56</v>
      </c>
      <c r="J18" s="1"/>
      <c r="K18" s="1"/>
      <c r="L18" s="1"/>
      <c r="M18" s="16" t="s">
        <v>51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8" t="s">
        <v>56</v>
      </c>
      <c r="AQ18" s="1"/>
      <c r="AR18" s="1"/>
      <c r="AS18" s="1"/>
      <c r="AT18" s="1"/>
    </row>
    <row r="19" spans="2:46">
      <c r="B19" s="3" t="s">
        <v>78</v>
      </c>
      <c r="C19" s="13" t="s">
        <v>68</v>
      </c>
      <c r="D19" s="17" t="s">
        <v>51</v>
      </c>
      <c r="E19" s="16" t="s">
        <v>51</v>
      </c>
      <c r="F19" s="16" t="s">
        <v>51</v>
      </c>
      <c r="G19" s="1"/>
      <c r="H19" s="17" t="s">
        <v>51</v>
      </c>
      <c r="I19" s="16" t="s">
        <v>51</v>
      </c>
      <c r="J19" s="1"/>
      <c r="K19" s="1"/>
      <c r="L19" s="1"/>
      <c r="M19" s="16" t="s">
        <v>51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6" t="s">
        <v>51</v>
      </c>
      <c r="AQ19" s="1"/>
      <c r="AR19" s="1"/>
      <c r="AS19" s="1"/>
      <c r="AT19" s="1"/>
    </row>
    <row r="20" spans="2:46">
      <c r="B20" s="3" t="s">
        <v>79</v>
      </c>
      <c r="C20" s="13" t="s">
        <v>68</v>
      </c>
      <c r="D20" s="18" t="s">
        <v>56</v>
      </c>
      <c r="E20" s="16" t="s">
        <v>51</v>
      </c>
      <c r="F20" s="16" t="s">
        <v>51</v>
      </c>
      <c r="G20" s="1"/>
      <c r="H20" s="18" t="s">
        <v>56</v>
      </c>
      <c r="I20" s="18" t="s">
        <v>56</v>
      </c>
      <c r="J20" s="1"/>
      <c r="K20" s="1"/>
      <c r="L20" s="1"/>
      <c r="M20" s="16" t="s">
        <v>51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8" t="s">
        <v>56</v>
      </c>
      <c r="AQ20" s="1"/>
      <c r="AR20" s="1"/>
      <c r="AS20" s="1"/>
      <c r="AT20" s="1"/>
    </row>
    <row r="21" spans="2:46">
      <c r="B21" s="3" t="s">
        <v>80</v>
      </c>
      <c r="C21" s="13" t="s">
        <v>81</v>
      </c>
      <c r="D21" s="18" t="s">
        <v>56</v>
      </c>
      <c r="E21" s="16" t="s">
        <v>51</v>
      </c>
      <c r="F21" s="16" t="s">
        <v>51</v>
      </c>
      <c r="G21" s="1"/>
      <c r="H21" s="18" t="s">
        <v>56</v>
      </c>
      <c r="I21" s="16" t="s">
        <v>51</v>
      </c>
      <c r="J21" s="1"/>
      <c r="K21" s="1"/>
      <c r="L21" s="1"/>
      <c r="M21" s="16" t="s">
        <v>51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6" t="s">
        <v>51</v>
      </c>
      <c r="AQ21" s="1"/>
      <c r="AR21" s="1"/>
      <c r="AS21" s="1"/>
      <c r="AT21" s="1"/>
    </row>
    <row r="22" spans="2:46">
      <c r="B22" s="3" t="s">
        <v>82</v>
      </c>
      <c r="C22" s="13" t="s">
        <v>83</v>
      </c>
      <c r="D22" s="18" t="s">
        <v>56</v>
      </c>
      <c r="E22" s="16" t="s">
        <v>51</v>
      </c>
      <c r="F22" s="16" t="s">
        <v>56</v>
      </c>
      <c r="G22" s="1"/>
      <c r="H22" s="18" t="s">
        <v>56</v>
      </c>
      <c r="I22" s="16" t="s">
        <v>51</v>
      </c>
      <c r="J22" s="1"/>
      <c r="K22" s="1"/>
      <c r="L22" s="1"/>
      <c r="M22" s="16" t="s">
        <v>51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6" t="s">
        <v>51</v>
      </c>
      <c r="AQ22" s="1"/>
      <c r="AR22" s="1"/>
      <c r="AS22" s="1"/>
      <c r="AT22" s="1"/>
    </row>
    <row r="23" spans="2:46">
      <c r="B23" s="3" t="s">
        <v>84</v>
      </c>
      <c r="C23" s="13" t="s">
        <v>66</v>
      </c>
      <c r="D23" s="17" t="s">
        <v>51</v>
      </c>
      <c r="E23" s="16" t="s">
        <v>51</v>
      </c>
      <c r="F23" s="16" t="s">
        <v>51</v>
      </c>
      <c r="G23" s="1"/>
      <c r="H23" s="17" t="s">
        <v>51</v>
      </c>
      <c r="I23" s="18" t="s">
        <v>56</v>
      </c>
      <c r="J23" s="1"/>
      <c r="K23" s="1"/>
      <c r="L23" s="1"/>
      <c r="M23" s="16" t="s">
        <v>51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8" t="s">
        <v>56</v>
      </c>
      <c r="AQ23" s="1"/>
      <c r="AR23" s="1"/>
      <c r="AS23" s="1"/>
      <c r="AT23" s="1"/>
    </row>
    <row r="24" spans="2:46">
      <c r="B24" s="3" t="s">
        <v>85</v>
      </c>
      <c r="C24" s="13" t="s">
        <v>86</v>
      </c>
      <c r="D24" s="18" t="s">
        <v>56</v>
      </c>
      <c r="E24" s="16" t="s">
        <v>51</v>
      </c>
      <c r="F24" s="16" t="s">
        <v>56</v>
      </c>
      <c r="G24" s="1"/>
      <c r="H24" s="18" t="s">
        <v>56</v>
      </c>
      <c r="I24" s="18" t="s">
        <v>56</v>
      </c>
      <c r="J24" s="1"/>
      <c r="K24" s="1"/>
      <c r="L24" s="1"/>
      <c r="M24" s="16" t="s">
        <v>51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8" t="s">
        <v>56</v>
      </c>
      <c r="AQ24" s="1"/>
      <c r="AR24" s="1"/>
      <c r="AS24" s="1"/>
      <c r="AT24" s="1"/>
    </row>
    <row r="25" spans="2:46">
      <c r="B25" s="3" t="s">
        <v>87</v>
      </c>
      <c r="C25" s="13" t="s">
        <v>88</v>
      </c>
      <c r="D25" s="17" t="s">
        <v>51</v>
      </c>
      <c r="E25" s="16" t="s">
        <v>51</v>
      </c>
      <c r="F25" s="16" t="s">
        <v>51</v>
      </c>
      <c r="G25" s="1"/>
      <c r="H25" s="17" t="s">
        <v>51</v>
      </c>
      <c r="I25" s="16" t="s">
        <v>51</v>
      </c>
      <c r="J25" s="1"/>
      <c r="K25" s="1"/>
      <c r="L25" s="1"/>
      <c r="M25" s="16" t="s">
        <v>51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6" t="s">
        <v>51</v>
      </c>
      <c r="AQ25" s="1"/>
      <c r="AR25" s="1"/>
      <c r="AS25" s="1"/>
      <c r="AT25" s="1"/>
    </row>
    <row r="26" spans="2:46">
      <c r="B26" s="3" t="s">
        <v>89</v>
      </c>
      <c r="C26" s="13" t="s">
        <v>68</v>
      </c>
      <c r="D26" s="18" t="s">
        <v>56</v>
      </c>
      <c r="E26" s="16" t="s">
        <v>51</v>
      </c>
      <c r="F26" s="16" t="s">
        <v>56</v>
      </c>
      <c r="G26" s="1"/>
      <c r="H26" s="18" t="s">
        <v>56</v>
      </c>
      <c r="I26" s="16" t="s">
        <v>51</v>
      </c>
      <c r="J26" s="1"/>
      <c r="K26" s="1"/>
      <c r="L26" s="1"/>
      <c r="M26" s="16" t="s">
        <v>51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6" t="s">
        <v>51</v>
      </c>
      <c r="AQ26" s="1"/>
      <c r="AR26" s="1"/>
      <c r="AS26" s="1"/>
      <c r="AT26" s="1"/>
    </row>
    <row r="27" spans="2:46">
      <c r="B27" s="3" t="s">
        <v>90</v>
      </c>
      <c r="C27" s="13" t="s">
        <v>58</v>
      </c>
      <c r="D27" s="17" t="s">
        <v>51</v>
      </c>
      <c r="E27" s="16" t="s">
        <v>51</v>
      </c>
      <c r="F27" s="16" t="s">
        <v>51</v>
      </c>
      <c r="G27" s="1"/>
      <c r="H27" s="17" t="s">
        <v>51</v>
      </c>
      <c r="I27" s="16" t="s">
        <v>51</v>
      </c>
      <c r="J27" s="1"/>
      <c r="K27" s="1"/>
      <c r="L27" s="1"/>
      <c r="M27" s="16" t="s">
        <v>51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6" t="s">
        <v>51</v>
      </c>
      <c r="AQ27" s="1"/>
      <c r="AR27" s="1"/>
      <c r="AS27" s="1"/>
      <c r="AT27" s="1"/>
    </row>
    <row r="28" spans="2:46">
      <c r="B28" s="3" t="s">
        <v>91</v>
      </c>
      <c r="C28" s="13" t="s">
        <v>58</v>
      </c>
      <c r="D28" s="17" t="s">
        <v>51</v>
      </c>
      <c r="E28" s="16" t="s">
        <v>51</v>
      </c>
      <c r="F28" s="16" t="s">
        <v>51</v>
      </c>
      <c r="G28" s="1"/>
      <c r="H28" s="17" t="s">
        <v>51</v>
      </c>
      <c r="I28" s="16" t="s">
        <v>51</v>
      </c>
      <c r="J28" s="1"/>
      <c r="K28" s="1"/>
      <c r="L28" s="1"/>
      <c r="M28" s="16" t="s">
        <v>51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6" t="s">
        <v>51</v>
      </c>
      <c r="AQ28" s="1"/>
      <c r="AR28" s="1"/>
      <c r="AS28" s="1"/>
      <c r="AT28" s="1"/>
    </row>
    <row r="29" spans="2:46">
      <c r="B29" s="3" t="s">
        <v>92</v>
      </c>
      <c r="C29" s="13" t="s">
        <v>88</v>
      </c>
      <c r="D29" s="17" t="s">
        <v>51</v>
      </c>
      <c r="E29" s="16" t="s">
        <v>51</v>
      </c>
      <c r="F29" s="16" t="s">
        <v>51</v>
      </c>
      <c r="G29" s="1"/>
      <c r="H29" s="17" t="s">
        <v>51</v>
      </c>
      <c r="I29" s="16" t="s">
        <v>51</v>
      </c>
      <c r="J29" s="1"/>
      <c r="K29" s="1"/>
      <c r="L29" s="1"/>
      <c r="M29" s="16" t="s">
        <v>51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6" t="s">
        <v>51</v>
      </c>
      <c r="AQ29" s="1"/>
      <c r="AR29" s="1"/>
      <c r="AS29" s="1"/>
      <c r="AT29" s="1"/>
    </row>
    <row r="30" spans="2:46" ht="30">
      <c r="B30" s="3" t="s">
        <v>93</v>
      </c>
      <c r="C30" s="12" t="s">
        <v>94</v>
      </c>
      <c r="D30" s="17" t="s">
        <v>51</v>
      </c>
      <c r="E30" s="16" t="s">
        <v>51</v>
      </c>
      <c r="F30" s="16" t="s">
        <v>51</v>
      </c>
      <c r="G30" s="1"/>
      <c r="H30" s="17" t="s">
        <v>51</v>
      </c>
      <c r="I30" s="16" t="s">
        <v>51</v>
      </c>
      <c r="J30" s="1"/>
      <c r="K30" s="1"/>
      <c r="L30" s="1"/>
      <c r="M30" s="16" t="s">
        <v>51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6" t="s">
        <v>51</v>
      </c>
      <c r="AQ30" s="1"/>
      <c r="AR30" s="1"/>
      <c r="AS30" s="1"/>
      <c r="AT30" s="1"/>
    </row>
    <row r="31" spans="2:46">
      <c r="B31" s="3" t="s">
        <v>95</v>
      </c>
      <c r="C31" s="13" t="s">
        <v>96</v>
      </c>
      <c r="D31" s="16" t="s">
        <v>97</v>
      </c>
      <c r="E31" s="16" t="s">
        <v>97</v>
      </c>
      <c r="F31" s="16" t="s">
        <v>51</v>
      </c>
      <c r="G31" s="1"/>
      <c r="H31" s="16" t="s">
        <v>97</v>
      </c>
      <c r="I31" s="16" t="s">
        <v>51</v>
      </c>
      <c r="J31" s="1"/>
      <c r="K31" s="1"/>
      <c r="L31" s="1"/>
      <c r="M31" s="16" t="s">
        <v>51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6" t="s">
        <v>51</v>
      </c>
      <c r="AQ31" s="1"/>
      <c r="AR31" s="1"/>
      <c r="AS31" s="1"/>
      <c r="AT31" s="1"/>
    </row>
    <row r="32" spans="2:46" ht="15.75" thickBot="1">
      <c r="B32" s="2" t="s">
        <v>98</v>
      </c>
      <c r="C32" s="14" t="s">
        <v>99</v>
      </c>
      <c r="D32" s="20" t="s">
        <v>97</v>
      </c>
      <c r="E32" s="16" t="s">
        <v>97</v>
      </c>
      <c r="F32" s="16"/>
      <c r="G32" s="1"/>
      <c r="H32" s="20" t="s">
        <v>97</v>
      </c>
      <c r="I32" s="16" t="s">
        <v>97</v>
      </c>
      <c r="J32" s="1"/>
      <c r="K32" s="1"/>
      <c r="L32" s="1"/>
      <c r="M32" s="16" t="s">
        <v>51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6" t="s">
        <v>97</v>
      </c>
      <c r="AQ32" s="1"/>
      <c r="AR32" s="1"/>
      <c r="AS32" s="1"/>
      <c r="AT32" s="1"/>
    </row>
    <row r="34" spans="2:46">
      <c r="B34" s="24"/>
      <c r="C34" s="25" t="s">
        <v>100</v>
      </c>
      <c r="D34" s="28">
        <f>COUNTIF(D3:D32,"X")</f>
        <v>19</v>
      </c>
      <c r="E34" s="28">
        <f>COUNTIF(E3:E32,"X")</f>
        <v>28</v>
      </c>
      <c r="F34" s="28">
        <f>COUNTIF(F3:F32,"X")</f>
        <v>23</v>
      </c>
      <c r="G34" s="28">
        <f>COUNTIF(G3:G32,"X")</f>
        <v>0</v>
      </c>
      <c r="H34" s="28">
        <f t="shared" ref="H34:AT34" si="0">COUNTIF(H3:H32,"X")</f>
        <v>19</v>
      </c>
      <c r="I34" s="28">
        <f t="shared" si="0"/>
        <v>22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30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>
        <f t="shared" si="0"/>
        <v>0</v>
      </c>
      <c r="S34" s="28">
        <f t="shared" si="0"/>
        <v>0</v>
      </c>
      <c r="T34" s="28">
        <f t="shared" si="0"/>
        <v>0</v>
      </c>
      <c r="U34" s="28">
        <f t="shared" si="0"/>
        <v>0</v>
      </c>
      <c r="V34" s="28">
        <f t="shared" si="0"/>
        <v>0</v>
      </c>
      <c r="W34" s="28">
        <f t="shared" si="0"/>
        <v>0</v>
      </c>
      <c r="X34" s="28">
        <f t="shared" si="0"/>
        <v>0</v>
      </c>
      <c r="Y34" s="28">
        <f t="shared" si="0"/>
        <v>0</v>
      </c>
      <c r="Z34" s="28">
        <f t="shared" si="0"/>
        <v>0</v>
      </c>
      <c r="AA34" s="28">
        <f t="shared" si="0"/>
        <v>0</v>
      </c>
      <c r="AB34" s="28">
        <f t="shared" si="0"/>
        <v>0</v>
      </c>
      <c r="AC34" s="28">
        <f t="shared" si="0"/>
        <v>0</v>
      </c>
      <c r="AD34" s="28">
        <f t="shared" si="0"/>
        <v>0</v>
      </c>
      <c r="AE34" s="28">
        <f t="shared" si="0"/>
        <v>0</v>
      </c>
      <c r="AF34" s="28">
        <f t="shared" si="0"/>
        <v>0</v>
      </c>
      <c r="AG34" s="28">
        <f t="shared" si="0"/>
        <v>0</v>
      </c>
      <c r="AH34" s="28">
        <f t="shared" si="0"/>
        <v>0</v>
      </c>
      <c r="AI34" s="28">
        <f t="shared" si="0"/>
        <v>0</v>
      </c>
      <c r="AJ34" s="28">
        <f t="shared" si="0"/>
        <v>0</v>
      </c>
      <c r="AK34" s="28">
        <f t="shared" si="0"/>
        <v>0</v>
      </c>
      <c r="AL34" s="28">
        <f t="shared" si="0"/>
        <v>0</v>
      </c>
      <c r="AM34" s="28">
        <f t="shared" si="0"/>
        <v>0</v>
      </c>
      <c r="AN34" s="28">
        <f t="shared" si="0"/>
        <v>0</v>
      </c>
      <c r="AO34" s="28">
        <f t="shared" si="0"/>
        <v>0</v>
      </c>
      <c r="AP34" s="28">
        <f t="shared" si="0"/>
        <v>22</v>
      </c>
      <c r="AQ34" s="28">
        <f t="shared" si="0"/>
        <v>0</v>
      </c>
      <c r="AR34" s="28">
        <f t="shared" si="0"/>
        <v>0</v>
      </c>
      <c r="AS34" s="28">
        <f t="shared" si="0"/>
        <v>0</v>
      </c>
      <c r="AT34" s="28">
        <f t="shared" si="0"/>
        <v>0</v>
      </c>
    </row>
    <row r="35" spans="2:46">
      <c r="C35" s="26" t="s">
        <v>101</v>
      </c>
      <c r="D35" s="28">
        <f>COUNTIF(D3:D32,"S/C")</f>
        <v>9</v>
      </c>
      <c r="E35" s="28">
        <f t="shared" ref="E35:AT35" si="1">COUNTIF(E3:E32,"S/C")</f>
        <v>0</v>
      </c>
      <c r="F35" s="28">
        <f t="shared" ref="F35" si="2">COUNTIF(F3:F32,"S/C")</f>
        <v>6</v>
      </c>
      <c r="G35" s="28">
        <f t="shared" si="1"/>
        <v>0</v>
      </c>
      <c r="H35" s="28">
        <f t="shared" si="1"/>
        <v>9</v>
      </c>
      <c r="I35" s="28">
        <f t="shared" si="1"/>
        <v>7</v>
      </c>
      <c r="J35" s="28">
        <f t="shared" si="1"/>
        <v>0</v>
      </c>
      <c r="K35" s="28">
        <f t="shared" si="1"/>
        <v>0</v>
      </c>
      <c r="L35" s="28">
        <f t="shared" si="1"/>
        <v>0</v>
      </c>
      <c r="M35" s="28">
        <f t="shared" si="1"/>
        <v>0</v>
      </c>
      <c r="N35" s="28">
        <f t="shared" si="1"/>
        <v>0</v>
      </c>
      <c r="O35" s="28">
        <f t="shared" si="1"/>
        <v>0</v>
      </c>
      <c r="P35" s="28">
        <f t="shared" si="1"/>
        <v>0</v>
      </c>
      <c r="Q35" s="28">
        <f t="shared" si="1"/>
        <v>0</v>
      </c>
      <c r="R35" s="28">
        <f t="shared" si="1"/>
        <v>0</v>
      </c>
      <c r="S35" s="28">
        <f t="shared" si="1"/>
        <v>0</v>
      </c>
      <c r="T35" s="28">
        <f t="shared" si="1"/>
        <v>0</v>
      </c>
      <c r="U35" s="28">
        <f t="shared" si="1"/>
        <v>0</v>
      </c>
      <c r="V35" s="28">
        <f t="shared" si="1"/>
        <v>0</v>
      </c>
      <c r="W35" s="28">
        <f t="shared" si="1"/>
        <v>0</v>
      </c>
      <c r="X35" s="28">
        <f t="shared" si="1"/>
        <v>0</v>
      </c>
      <c r="Y35" s="28">
        <f t="shared" si="1"/>
        <v>0</v>
      </c>
      <c r="Z35" s="28">
        <f t="shared" si="1"/>
        <v>0</v>
      </c>
      <c r="AA35" s="28">
        <f t="shared" si="1"/>
        <v>0</v>
      </c>
      <c r="AB35" s="28">
        <f t="shared" si="1"/>
        <v>0</v>
      </c>
      <c r="AC35" s="28">
        <f t="shared" si="1"/>
        <v>0</v>
      </c>
      <c r="AD35" s="28">
        <f t="shared" si="1"/>
        <v>0</v>
      </c>
      <c r="AE35" s="28">
        <f t="shared" si="1"/>
        <v>0</v>
      </c>
      <c r="AF35" s="28">
        <f t="shared" si="1"/>
        <v>0</v>
      </c>
      <c r="AG35" s="28">
        <f t="shared" si="1"/>
        <v>0</v>
      </c>
      <c r="AH35" s="28">
        <f t="shared" si="1"/>
        <v>0</v>
      </c>
      <c r="AI35" s="28">
        <f t="shared" si="1"/>
        <v>0</v>
      </c>
      <c r="AJ35" s="28">
        <f t="shared" si="1"/>
        <v>0</v>
      </c>
      <c r="AK35" s="28">
        <f t="shared" si="1"/>
        <v>0</v>
      </c>
      <c r="AL35" s="28">
        <f t="shared" si="1"/>
        <v>0</v>
      </c>
      <c r="AM35" s="28">
        <f t="shared" si="1"/>
        <v>0</v>
      </c>
      <c r="AN35" s="28">
        <f t="shared" si="1"/>
        <v>0</v>
      </c>
      <c r="AO35" s="28">
        <f t="shared" si="1"/>
        <v>0</v>
      </c>
      <c r="AP35" s="28">
        <f t="shared" si="1"/>
        <v>7</v>
      </c>
      <c r="AQ35" s="28">
        <f t="shared" si="1"/>
        <v>0</v>
      </c>
      <c r="AR35" s="28">
        <f t="shared" si="1"/>
        <v>0</v>
      </c>
      <c r="AS35" s="28">
        <f t="shared" si="1"/>
        <v>0</v>
      </c>
      <c r="AT35" s="28">
        <f t="shared" si="1"/>
        <v>0</v>
      </c>
    </row>
    <row r="36" spans="2:46">
      <c r="C36" s="26" t="s">
        <v>102</v>
      </c>
      <c r="D36" s="28">
        <f>COUNTIF(D3:D32,"NA")</f>
        <v>2</v>
      </c>
      <c r="E36" s="28">
        <f t="shared" ref="E36:AT36" si="3">COUNTIF(E3:E32,"NA")</f>
        <v>2</v>
      </c>
      <c r="F36" s="28">
        <f t="shared" ref="F36" si="4">COUNTIF(F3:F32,"NA")</f>
        <v>0</v>
      </c>
      <c r="G36" s="28">
        <f t="shared" si="3"/>
        <v>0</v>
      </c>
      <c r="H36" s="28">
        <f t="shared" si="3"/>
        <v>2</v>
      </c>
      <c r="I36" s="28">
        <f t="shared" si="3"/>
        <v>1</v>
      </c>
      <c r="J36" s="28">
        <f t="shared" si="3"/>
        <v>0</v>
      </c>
      <c r="K36" s="28">
        <f t="shared" si="3"/>
        <v>0</v>
      </c>
      <c r="L36" s="28">
        <f t="shared" si="3"/>
        <v>0</v>
      </c>
      <c r="M36" s="28">
        <f t="shared" si="3"/>
        <v>0</v>
      </c>
      <c r="N36" s="28">
        <f t="shared" si="3"/>
        <v>0</v>
      </c>
      <c r="O36" s="28">
        <f t="shared" si="3"/>
        <v>0</v>
      </c>
      <c r="P36" s="28">
        <f t="shared" si="3"/>
        <v>0</v>
      </c>
      <c r="Q36" s="28">
        <f t="shared" si="3"/>
        <v>0</v>
      </c>
      <c r="R36" s="28">
        <f t="shared" si="3"/>
        <v>0</v>
      </c>
      <c r="S36" s="28">
        <f t="shared" si="3"/>
        <v>0</v>
      </c>
      <c r="T36" s="28">
        <f t="shared" si="3"/>
        <v>0</v>
      </c>
      <c r="U36" s="28">
        <f t="shared" si="3"/>
        <v>0</v>
      </c>
      <c r="V36" s="28">
        <f t="shared" si="3"/>
        <v>0</v>
      </c>
      <c r="W36" s="28">
        <f t="shared" si="3"/>
        <v>0</v>
      </c>
      <c r="X36" s="28">
        <f t="shared" si="3"/>
        <v>0</v>
      </c>
      <c r="Y36" s="28">
        <f t="shared" si="3"/>
        <v>0</v>
      </c>
      <c r="Z36" s="28">
        <f t="shared" si="3"/>
        <v>0</v>
      </c>
      <c r="AA36" s="28">
        <f t="shared" si="3"/>
        <v>0</v>
      </c>
      <c r="AB36" s="28">
        <f t="shared" si="3"/>
        <v>0</v>
      </c>
      <c r="AC36" s="28">
        <f t="shared" si="3"/>
        <v>0</v>
      </c>
      <c r="AD36" s="28">
        <f t="shared" si="3"/>
        <v>0</v>
      </c>
      <c r="AE36" s="28">
        <f t="shared" si="3"/>
        <v>0</v>
      </c>
      <c r="AF36" s="28">
        <f t="shared" si="3"/>
        <v>0</v>
      </c>
      <c r="AG36" s="28">
        <f t="shared" si="3"/>
        <v>0</v>
      </c>
      <c r="AH36" s="28">
        <f t="shared" si="3"/>
        <v>0</v>
      </c>
      <c r="AI36" s="28">
        <f t="shared" si="3"/>
        <v>0</v>
      </c>
      <c r="AJ36" s="28">
        <f t="shared" si="3"/>
        <v>0</v>
      </c>
      <c r="AK36" s="28">
        <f t="shared" si="3"/>
        <v>0</v>
      </c>
      <c r="AL36" s="28">
        <f t="shared" si="3"/>
        <v>0</v>
      </c>
      <c r="AM36" s="28">
        <f t="shared" si="3"/>
        <v>0</v>
      </c>
      <c r="AN36" s="28">
        <f t="shared" si="3"/>
        <v>0</v>
      </c>
      <c r="AO36" s="28">
        <f t="shared" si="3"/>
        <v>0</v>
      </c>
      <c r="AP36" s="28">
        <f t="shared" si="3"/>
        <v>1</v>
      </c>
      <c r="AQ36" s="28">
        <f t="shared" si="3"/>
        <v>0</v>
      </c>
      <c r="AR36" s="28">
        <f t="shared" si="3"/>
        <v>0</v>
      </c>
      <c r="AS36" s="28">
        <f t="shared" si="3"/>
        <v>0</v>
      </c>
      <c r="AT36" s="28">
        <f t="shared" si="3"/>
        <v>0</v>
      </c>
    </row>
    <row r="38" spans="2:46">
      <c r="C38" s="27" t="s">
        <v>103</v>
      </c>
      <c r="D38" s="29">
        <f>D34/(SUM(D34:D36)-D36)*100</f>
        <v>67.857142857142861</v>
      </c>
      <c r="E38" s="29">
        <f t="shared" ref="E38:AT38" si="5">E34/(SUM(E34:E36)-E36)*100</f>
        <v>100</v>
      </c>
      <c r="F38" s="29">
        <f t="shared" ref="F38" si="6">F34/(SUM(F34:F36)-F36)*100</f>
        <v>79.310344827586206</v>
      </c>
      <c r="G38" s="29" t="e">
        <f t="shared" si="5"/>
        <v>#DIV/0!</v>
      </c>
      <c r="H38" s="29">
        <f t="shared" si="5"/>
        <v>67.857142857142861</v>
      </c>
      <c r="I38" s="29">
        <f t="shared" si="5"/>
        <v>75.862068965517238</v>
      </c>
      <c r="J38" s="29" t="e">
        <f t="shared" si="5"/>
        <v>#DIV/0!</v>
      </c>
      <c r="K38" s="29" t="e">
        <f t="shared" si="5"/>
        <v>#DIV/0!</v>
      </c>
      <c r="L38" s="29" t="e">
        <f t="shared" si="5"/>
        <v>#DIV/0!</v>
      </c>
      <c r="M38" s="29">
        <f t="shared" si="5"/>
        <v>100</v>
      </c>
      <c r="N38" s="29" t="e">
        <f t="shared" si="5"/>
        <v>#DIV/0!</v>
      </c>
      <c r="O38" s="29" t="e">
        <f t="shared" si="5"/>
        <v>#DIV/0!</v>
      </c>
      <c r="P38" s="29" t="e">
        <f t="shared" si="5"/>
        <v>#DIV/0!</v>
      </c>
      <c r="Q38" s="29" t="e">
        <f t="shared" si="5"/>
        <v>#DIV/0!</v>
      </c>
      <c r="R38" s="29" t="e">
        <f t="shared" si="5"/>
        <v>#DIV/0!</v>
      </c>
      <c r="S38" s="29" t="e">
        <f t="shared" si="5"/>
        <v>#DIV/0!</v>
      </c>
      <c r="T38" s="29" t="e">
        <f t="shared" si="5"/>
        <v>#DIV/0!</v>
      </c>
      <c r="U38" s="29" t="e">
        <f t="shared" si="5"/>
        <v>#DIV/0!</v>
      </c>
      <c r="V38" s="29" t="e">
        <f t="shared" si="5"/>
        <v>#DIV/0!</v>
      </c>
      <c r="W38" s="29" t="e">
        <f t="shared" si="5"/>
        <v>#DIV/0!</v>
      </c>
      <c r="X38" s="29" t="e">
        <f t="shared" si="5"/>
        <v>#DIV/0!</v>
      </c>
      <c r="Y38" s="29" t="e">
        <f t="shared" si="5"/>
        <v>#DIV/0!</v>
      </c>
      <c r="Z38" s="29" t="e">
        <f t="shared" si="5"/>
        <v>#DIV/0!</v>
      </c>
      <c r="AA38" s="29" t="e">
        <f t="shared" si="5"/>
        <v>#DIV/0!</v>
      </c>
      <c r="AB38" s="29" t="e">
        <f t="shared" si="5"/>
        <v>#DIV/0!</v>
      </c>
      <c r="AC38" s="29" t="e">
        <f t="shared" si="5"/>
        <v>#DIV/0!</v>
      </c>
      <c r="AD38" s="29" t="e">
        <f t="shared" si="5"/>
        <v>#DIV/0!</v>
      </c>
      <c r="AE38" s="29" t="e">
        <f t="shared" si="5"/>
        <v>#DIV/0!</v>
      </c>
      <c r="AF38" s="29" t="e">
        <f t="shared" si="5"/>
        <v>#DIV/0!</v>
      </c>
      <c r="AG38" s="29" t="e">
        <f t="shared" si="5"/>
        <v>#DIV/0!</v>
      </c>
      <c r="AH38" s="29" t="e">
        <f t="shared" si="5"/>
        <v>#DIV/0!</v>
      </c>
      <c r="AI38" s="29" t="e">
        <f t="shared" si="5"/>
        <v>#DIV/0!</v>
      </c>
      <c r="AJ38" s="29" t="e">
        <f t="shared" si="5"/>
        <v>#DIV/0!</v>
      </c>
      <c r="AK38" s="29" t="e">
        <f t="shared" si="5"/>
        <v>#DIV/0!</v>
      </c>
      <c r="AL38" s="29" t="e">
        <f t="shared" si="5"/>
        <v>#DIV/0!</v>
      </c>
      <c r="AM38" s="29" t="e">
        <f t="shared" si="5"/>
        <v>#DIV/0!</v>
      </c>
      <c r="AN38" s="29" t="e">
        <f t="shared" si="5"/>
        <v>#DIV/0!</v>
      </c>
      <c r="AO38" s="29" t="e">
        <f t="shared" si="5"/>
        <v>#DIV/0!</v>
      </c>
      <c r="AP38" s="29">
        <f t="shared" si="5"/>
        <v>75.862068965517238</v>
      </c>
      <c r="AQ38" s="29" t="e">
        <f t="shared" si="5"/>
        <v>#DIV/0!</v>
      </c>
      <c r="AR38" s="29" t="e">
        <f t="shared" si="5"/>
        <v>#DIV/0!</v>
      </c>
      <c r="AS38" s="29" t="e">
        <f t="shared" si="5"/>
        <v>#DIV/0!</v>
      </c>
      <c r="AT38" s="29" t="e">
        <f t="shared" si="5"/>
        <v>#DIV/0!</v>
      </c>
    </row>
  </sheetData>
  <autoFilter ref="B2:AT2" xr:uid="{00000000-0009-0000-0000-000000000000}"/>
  <mergeCells count="4">
    <mergeCell ref="D1:V1"/>
    <mergeCell ref="W1:AO1"/>
    <mergeCell ref="AQ1:AT1"/>
    <mergeCell ref="B1:C1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 xml:space="preserve">&amp;L&amp;"Arial,Normal"&amp;8&amp;G&amp;C&amp;"-,Negrita"&amp;14Capacitación No programada&amp;R&amp;9Revisión: XXXX
Clave: RHF01
Fecha: 06/07/2020
Página &amp;P de &amp;N&amp;11
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M72"/>
  <sheetViews>
    <sheetView tabSelected="1" topLeftCell="A5" zoomScaleNormal="100" workbookViewId="0">
      <pane xSplit="2" ySplit="3" topLeftCell="C8" activePane="bottomRight" state="frozen"/>
      <selection pane="bottomRight" activeCell="A11" sqref="A11"/>
      <selection pane="bottomLeft"/>
      <selection pane="topRight"/>
    </sheetView>
  </sheetViews>
  <sheetFormatPr defaultColWidth="11.42578125" defaultRowHeight="15"/>
  <cols>
    <col min="1" max="1" width="27.28515625" customWidth="1"/>
    <col min="2" max="2" width="32.5703125" style="5" customWidth="1"/>
    <col min="3" max="3" width="4.28515625" customWidth="1"/>
    <col min="4" max="4" width="4.5703125" customWidth="1"/>
    <col min="5" max="9" width="4.28515625" customWidth="1"/>
    <col min="10" max="10" width="4.7109375" customWidth="1"/>
    <col min="11" max="11" width="4" bestFit="1" customWidth="1"/>
    <col min="12" max="12" width="7" bestFit="1" customWidth="1"/>
    <col min="13" max="13" width="5.140625" bestFit="1" customWidth="1"/>
    <col min="14" max="14" width="7" bestFit="1" customWidth="1"/>
    <col min="15" max="15" width="5" customWidth="1"/>
    <col min="16" max="16" width="5.28515625" customWidth="1"/>
    <col min="17" max="17" width="5.140625" bestFit="1" customWidth="1"/>
    <col min="18" max="18" width="6.42578125" customWidth="1"/>
    <col min="19" max="19" width="5.85546875" customWidth="1"/>
    <col min="20" max="29" width="6.140625" customWidth="1"/>
    <col min="30" max="31" width="5.85546875" customWidth="1"/>
    <col min="32" max="32" width="7.85546875" customWidth="1"/>
    <col min="33" max="33" width="4" customWidth="1"/>
    <col min="34" max="36" width="0" hidden="1" customWidth="1"/>
    <col min="37" max="37" width="23.28515625" bestFit="1" customWidth="1"/>
  </cols>
  <sheetData>
    <row r="1" spans="1:33">
      <c r="A1" s="44"/>
      <c r="B1" s="45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</row>
    <row r="2" spans="1:33">
      <c r="A2" s="44"/>
      <c r="B2" s="45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</row>
    <row r="3" spans="1:33">
      <c r="A3" s="44"/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</row>
    <row r="4" spans="1:33" ht="26.25">
      <c r="A4" s="46" t="s">
        <v>104</v>
      </c>
      <c r="B4" s="45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</row>
    <row r="5" spans="1:33">
      <c r="A5" s="44"/>
      <c r="B5" s="45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</row>
    <row r="6" spans="1:33">
      <c r="A6" s="139" t="s">
        <v>0</v>
      </c>
      <c r="B6" s="139"/>
      <c r="C6" s="140" t="s">
        <v>1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</row>
    <row r="7" spans="1:33" ht="90.75" customHeight="1">
      <c r="A7" s="88" t="s">
        <v>4</v>
      </c>
      <c r="B7" s="89" t="s">
        <v>5</v>
      </c>
      <c r="C7" s="91" t="s">
        <v>105</v>
      </c>
      <c r="D7" s="101" t="s">
        <v>106</v>
      </c>
      <c r="E7" s="91" t="s">
        <v>107</v>
      </c>
      <c r="F7" s="101" t="s">
        <v>108</v>
      </c>
      <c r="G7" s="91" t="s">
        <v>109</v>
      </c>
      <c r="H7" s="101" t="s">
        <v>106</v>
      </c>
      <c r="I7" s="91" t="s">
        <v>110</v>
      </c>
      <c r="J7" s="101" t="s">
        <v>108</v>
      </c>
      <c r="K7" s="91" t="s">
        <v>111</v>
      </c>
      <c r="L7" s="101" t="s">
        <v>106</v>
      </c>
      <c r="M7" s="91" t="s">
        <v>112</v>
      </c>
      <c r="N7" s="101" t="s">
        <v>106</v>
      </c>
      <c r="O7" s="91" t="s">
        <v>113</v>
      </c>
      <c r="P7" s="101" t="s">
        <v>108</v>
      </c>
      <c r="Q7" s="91" t="s">
        <v>114</v>
      </c>
      <c r="R7" s="101" t="s">
        <v>108</v>
      </c>
      <c r="S7" s="91" t="s">
        <v>115</v>
      </c>
      <c r="T7" s="101" t="s">
        <v>106</v>
      </c>
      <c r="U7" s="91" t="s">
        <v>116</v>
      </c>
      <c r="V7" s="101" t="s">
        <v>108</v>
      </c>
      <c r="W7" s="91" t="s">
        <v>117</v>
      </c>
      <c r="X7" s="101" t="s">
        <v>106</v>
      </c>
      <c r="Y7" s="91" t="s">
        <v>118</v>
      </c>
      <c r="Z7" s="101" t="s">
        <v>106</v>
      </c>
      <c r="AA7" s="91" t="s">
        <v>119</v>
      </c>
      <c r="AB7" s="101" t="s">
        <v>108</v>
      </c>
      <c r="AC7" s="91" t="s">
        <v>22</v>
      </c>
      <c r="AD7" s="101" t="s">
        <v>106</v>
      </c>
      <c r="AE7" s="91"/>
      <c r="AF7" s="101" t="s">
        <v>108</v>
      </c>
    </row>
    <row r="8" spans="1:33" ht="15.75">
      <c r="A8" s="92" t="s">
        <v>120</v>
      </c>
      <c r="B8" s="93" t="s">
        <v>121</v>
      </c>
      <c r="C8" s="132" t="s">
        <v>97</v>
      </c>
      <c r="D8" s="131" t="s">
        <v>97</v>
      </c>
      <c r="E8" s="131" t="s">
        <v>97</v>
      </c>
      <c r="F8" s="132" t="s">
        <v>97</v>
      </c>
      <c r="G8" s="131" t="s">
        <v>97</v>
      </c>
      <c r="H8" s="131" t="s">
        <v>97</v>
      </c>
      <c r="I8" s="131" t="s">
        <v>97</v>
      </c>
      <c r="J8" s="131" t="s">
        <v>97</v>
      </c>
      <c r="K8" s="131" t="s">
        <v>97</v>
      </c>
      <c r="L8" s="131" t="s">
        <v>97</v>
      </c>
      <c r="M8" s="131" t="s">
        <v>97</v>
      </c>
      <c r="N8" s="132" t="s">
        <v>97</v>
      </c>
      <c r="O8" s="131" t="s">
        <v>97</v>
      </c>
      <c r="P8" s="132" t="s">
        <v>97</v>
      </c>
      <c r="Q8" s="131" t="s">
        <v>97</v>
      </c>
      <c r="R8" s="132" t="s">
        <v>97</v>
      </c>
      <c r="S8" s="132" t="s">
        <v>51</v>
      </c>
      <c r="T8" s="132"/>
      <c r="U8" s="132" t="s">
        <v>97</v>
      </c>
      <c r="V8" s="132"/>
      <c r="W8" s="132" t="s">
        <v>97</v>
      </c>
      <c r="X8" s="132"/>
      <c r="Y8" s="132" t="s">
        <v>97</v>
      </c>
      <c r="Z8" s="132"/>
      <c r="AA8" s="132" t="s">
        <v>97</v>
      </c>
      <c r="AB8" s="132"/>
      <c r="AC8" s="132" t="s">
        <v>97</v>
      </c>
      <c r="AD8" s="132"/>
      <c r="AE8" s="132"/>
      <c r="AF8" s="132"/>
    </row>
    <row r="9" spans="1:33" ht="24">
      <c r="A9" s="97" t="s">
        <v>122</v>
      </c>
      <c r="B9" s="98" t="s">
        <v>123</v>
      </c>
      <c r="C9" s="96" t="s">
        <v>51</v>
      </c>
      <c r="D9" s="96">
        <v>100</v>
      </c>
      <c r="E9" s="95" t="s">
        <v>97</v>
      </c>
      <c r="F9" s="96" t="s">
        <v>97</v>
      </c>
      <c r="G9" s="95" t="s">
        <v>97</v>
      </c>
      <c r="H9" s="95" t="s">
        <v>97</v>
      </c>
      <c r="I9" s="96" t="s">
        <v>51</v>
      </c>
      <c r="J9" s="95">
        <v>100</v>
      </c>
      <c r="K9" s="95" t="s">
        <v>97</v>
      </c>
      <c r="L9" s="95" t="s">
        <v>97</v>
      </c>
      <c r="M9" s="95" t="s">
        <v>51</v>
      </c>
      <c r="N9" s="96">
        <v>100</v>
      </c>
      <c r="O9" s="95" t="s">
        <v>56</v>
      </c>
      <c r="P9" s="96" t="s">
        <v>56</v>
      </c>
      <c r="Q9" s="95" t="s">
        <v>56</v>
      </c>
      <c r="R9" s="96" t="s">
        <v>56</v>
      </c>
      <c r="S9" s="96" t="s">
        <v>51</v>
      </c>
      <c r="T9" s="96"/>
      <c r="U9" s="96" t="s">
        <v>97</v>
      </c>
      <c r="V9" s="96"/>
      <c r="W9" s="96" t="s">
        <v>51</v>
      </c>
      <c r="X9" s="96"/>
      <c r="Y9" s="96" t="s">
        <v>51</v>
      </c>
      <c r="Z9" s="96"/>
      <c r="AA9" s="96" t="s">
        <v>51</v>
      </c>
      <c r="AB9" s="96"/>
      <c r="AC9" s="96" t="s">
        <v>97</v>
      </c>
      <c r="AD9" s="96"/>
      <c r="AE9" s="96"/>
      <c r="AF9" s="96"/>
    </row>
    <row r="10" spans="1:33" ht="24">
      <c r="A10" s="97" t="s">
        <v>124</v>
      </c>
      <c r="B10" s="98" t="s">
        <v>123</v>
      </c>
      <c r="C10" s="94" t="s">
        <v>97</v>
      </c>
      <c r="D10" s="95" t="s">
        <v>97</v>
      </c>
      <c r="E10" s="95" t="s">
        <v>97</v>
      </c>
      <c r="F10" s="95" t="s">
        <v>97</v>
      </c>
      <c r="G10" s="95" t="s">
        <v>97</v>
      </c>
      <c r="H10" s="95" t="s">
        <v>97</v>
      </c>
      <c r="I10" s="94" t="s">
        <v>51</v>
      </c>
      <c r="J10" s="95">
        <v>100</v>
      </c>
      <c r="K10" s="95" t="s">
        <v>97</v>
      </c>
      <c r="L10" s="95" t="s">
        <v>97</v>
      </c>
      <c r="M10" s="94" t="s">
        <v>125</v>
      </c>
      <c r="N10" s="94" t="s">
        <v>125</v>
      </c>
      <c r="O10" s="95" t="s">
        <v>56</v>
      </c>
      <c r="P10" s="96" t="s">
        <v>56</v>
      </c>
      <c r="Q10" s="95" t="s">
        <v>56</v>
      </c>
      <c r="R10" s="94" t="s">
        <v>56</v>
      </c>
      <c r="S10" s="94" t="s">
        <v>51</v>
      </c>
      <c r="T10" s="94"/>
      <c r="U10" s="94" t="s">
        <v>51</v>
      </c>
      <c r="V10" s="94"/>
      <c r="W10" s="94" t="s">
        <v>97</v>
      </c>
      <c r="X10" s="96"/>
      <c r="Y10" s="94" t="s">
        <v>97</v>
      </c>
      <c r="Z10" s="94"/>
      <c r="AA10" s="94" t="s">
        <v>51</v>
      </c>
      <c r="AB10" s="94"/>
      <c r="AC10" s="94" t="s">
        <v>97</v>
      </c>
      <c r="AD10" s="94"/>
      <c r="AE10" s="94"/>
      <c r="AF10" s="94"/>
    </row>
    <row r="11" spans="1:33" ht="15" customHeight="1">
      <c r="A11" s="97" t="s">
        <v>126</v>
      </c>
      <c r="B11" s="98" t="s">
        <v>127</v>
      </c>
      <c r="C11" s="94" t="s">
        <v>51</v>
      </c>
      <c r="D11" s="96">
        <v>100</v>
      </c>
      <c r="E11" s="95" t="s">
        <v>97</v>
      </c>
      <c r="F11" s="95" t="s">
        <v>97</v>
      </c>
      <c r="G11" s="94" t="s">
        <v>51</v>
      </c>
      <c r="H11" s="94">
        <v>100</v>
      </c>
      <c r="I11" s="95" t="s">
        <v>97</v>
      </c>
      <c r="J11" s="95" t="s">
        <v>97</v>
      </c>
      <c r="K11" s="95" t="s">
        <v>97</v>
      </c>
      <c r="L11" s="95" t="s">
        <v>97</v>
      </c>
      <c r="M11" s="94" t="s">
        <v>51</v>
      </c>
      <c r="N11" s="94">
        <v>100</v>
      </c>
      <c r="O11" s="94" t="s">
        <v>51</v>
      </c>
      <c r="P11" s="94">
        <v>100</v>
      </c>
      <c r="Q11" s="94" t="s">
        <v>51</v>
      </c>
      <c r="R11" s="94">
        <v>100</v>
      </c>
      <c r="S11" s="94" t="s">
        <v>51</v>
      </c>
      <c r="T11" s="94"/>
      <c r="U11" s="94" t="s">
        <v>97</v>
      </c>
      <c r="V11" s="94"/>
      <c r="W11" s="94" t="s">
        <v>51</v>
      </c>
      <c r="X11" s="96"/>
      <c r="Y11" s="94" t="s">
        <v>51</v>
      </c>
      <c r="Z11" s="94"/>
      <c r="AA11" s="94" t="s">
        <v>51</v>
      </c>
      <c r="AB11" s="94"/>
      <c r="AC11" s="94" t="s">
        <v>97</v>
      </c>
      <c r="AD11" s="94"/>
      <c r="AE11" s="94"/>
      <c r="AF11" s="94"/>
    </row>
    <row r="12" spans="1:33" ht="15.75">
      <c r="A12" s="97" t="s">
        <v>128</v>
      </c>
      <c r="B12" s="98" t="s">
        <v>129</v>
      </c>
      <c r="C12" s="94" t="s">
        <v>51</v>
      </c>
      <c r="D12" s="94">
        <v>100</v>
      </c>
      <c r="E12" s="95" t="s">
        <v>97</v>
      </c>
      <c r="F12" s="95" t="s">
        <v>97</v>
      </c>
      <c r="G12" s="94" t="s">
        <v>51</v>
      </c>
      <c r="H12" s="99">
        <v>100</v>
      </c>
      <c r="I12" s="94" t="s">
        <v>97</v>
      </c>
      <c r="J12" s="95" t="s">
        <v>97</v>
      </c>
      <c r="K12" s="95" t="s">
        <v>97</v>
      </c>
      <c r="L12" s="95" t="s">
        <v>97</v>
      </c>
      <c r="M12" s="94" t="s">
        <v>51</v>
      </c>
      <c r="N12" s="94">
        <v>100</v>
      </c>
      <c r="O12" s="94" t="s">
        <v>51</v>
      </c>
      <c r="P12" s="94">
        <v>100</v>
      </c>
      <c r="Q12" s="94" t="s">
        <v>51</v>
      </c>
      <c r="R12" s="94">
        <v>100</v>
      </c>
      <c r="S12" s="94" t="s">
        <v>51</v>
      </c>
      <c r="T12" s="94"/>
      <c r="U12" s="94" t="s">
        <v>97</v>
      </c>
      <c r="V12" s="94"/>
      <c r="W12" s="94" t="s">
        <v>56</v>
      </c>
      <c r="X12" s="94"/>
      <c r="Y12" s="94" t="s">
        <v>51</v>
      </c>
      <c r="Z12" s="94"/>
      <c r="AA12" s="94" t="s">
        <v>51</v>
      </c>
      <c r="AB12" s="94"/>
      <c r="AC12" s="94" t="s">
        <v>97</v>
      </c>
      <c r="AD12" s="94"/>
      <c r="AE12" s="94"/>
      <c r="AF12" s="94"/>
    </row>
    <row r="13" spans="1:33" ht="15.75">
      <c r="A13" s="97" t="s">
        <v>76</v>
      </c>
      <c r="B13" s="100" t="s">
        <v>130</v>
      </c>
      <c r="C13" s="94" t="s">
        <v>51</v>
      </c>
      <c r="D13" s="94">
        <v>100</v>
      </c>
      <c r="E13" s="95" t="s">
        <v>97</v>
      </c>
      <c r="F13" s="95" t="s">
        <v>97</v>
      </c>
      <c r="G13" s="94" t="s">
        <v>51</v>
      </c>
      <c r="H13" s="99">
        <v>100</v>
      </c>
      <c r="I13" s="95" t="s">
        <v>51</v>
      </c>
      <c r="J13" s="94">
        <v>100</v>
      </c>
      <c r="K13" s="94" t="s">
        <v>51</v>
      </c>
      <c r="L13" s="94">
        <v>100</v>
      </c>
      <c r="M13" s="94" t="s">
        <v>51</v>
      </c>
      <c r="N13" s="94">
        <v>100</v>
      </c>
      <c r="O13" s="94" t="s">
        <v>51</v>
      </c>
      <c r="P13" s="94">
        <v>100</v>
      </c>
      <c r="Q13" s="94" t="s">
        <v>51</v>
      </c>
      <c r="R13" s="94">
        <v>100</v>
      </c>
      <c r="S13" s="94" t="s">
        <v>51</v>
      </c>
      <c r="T13" s="94"/>
      <c r="U13" s="94" t="s">
        <v>51</v>
      </c>
      <c r="V13" s="94"/>
      <c r="W13" s="94" t="s">
        <v>51</v>
      </c>
      <c r="X13" s="94"/>
      <c r="Y13" s="94" t="s">
        <v>51</v>
      </c>
      <c r="Z13" s="94"/>
      <c r="AA13" s="94" t="s">
        <v>97</v>
      </c>
      <c r="AB13" s="94"/>
      <c r="AC13" s="94" t="s">
        <v>51</v>
      </c>
      <c r="AD13" s="94"/>
      <c r="AE13" s="94"/>
      <c r="AF13" s="94"/>
    </row>
    <row r="14" spans="1:33" ht="15.75">
      <c r="A14" s="97" t="s">
        <v>57</v>
      </c>
      <c r="B14" s="100" t="s">
        <v>131</v>
      </c>
      <c r="C14" s="94" t="s">
        <v>51</v>
      </c>
      <c r="D14" s="96">
        <v>100</v>
      </c>
      <c r="E14" s="95" t="s">
        <v>97</v>
      </c>
      <c r="F14" s="95" t="s">
        <v>97</v>
      </c>
      <c r="G14" s="94" t="s">
        <v>51</v>
      </c>
      <c r="H14" s="99">
        <v>100</v>
      </c>
      <c r="I14" s="94" t="s">
        <v>51</v>
      </c>
      <c r="J14" s="94">
        <v>92</v>
      </c>
      <c r="K14" s="94" t="s">
        <v>51</v>
      </c>
      <c r="L14" s="94">
        <v>100</v>
      </c>
      <c r="M14" s="94" t="s">
        <v>51</v>
      </c>
      <c r="N14" s="96">
        <v>100</v>
      </c>
      <c r="O14" s="94" t="s">
        <v>51</v>
      </c>
      <c r="P14" s="96">
        <v>100</v>
      </c>
      <c r="Q14" s="94" t="s">
        <v>51</v>
      </c>
      <c r="R14" s="94">
        <v>100</v>
      </c>
      <c r="S14" s="94" t="s">
        <v>51</v>
      </c>
      <c r="T14" s="94"/>
      <c r="U14" s="94" t="s">
        <v>51</v>
      </c>
      <c r="V14" s="94"/>
      <c r="W14" s="94" t="s">
        <v>51</v>
      </c>
      <c r="X14" s="96"/>
      <c r="Y14" s="94" t="s">
        <v>51</v>
      </c>
      <c r="Z14" s="94"/>
      <c r="AA14" s="94" t="s">
        <v>97</v>
      </c>
      <c r="AB14" s="94"/>
      <c r="AC14" s="94" t="s">
        <v>51</v>
      </c>
      <c r="AD14" s="94"/>
      <c r="AE14" s="94"/>
      <c r="AF14" s="94"/>
    </row>
    <row r="15" spans="1:33" ht="15.75">
      <c r="A15" s="97" t="s">
        <v>132</v>
      </c>
      <c r="B15" s="100" t="s">
        <v>131</v>
      </c>
      <c r="C15" s="94" t="s">
        <v>51</v>
      </c>
      <c r="D15" s="94">
        <v>100</v>
      </c>
      <c r="E15" s="95" t="s">
        <v>97</v>
      </c>
      <c r="F15" s="95" t="s">
        <v>97</v>
      </c>
      <c r="G15" s="94" t="s">
        <v>51</v>
      </c>
      <c r="H15" s="99">
        <v>100</v>
      </c>
      <c r="I15" s="94" t="s">
        <v>51</v>
      </c>
      <c r="J15" s="94">
        <v>92</v>
      </c>
      <c r="K15" s="94" t="s">
        <v>51</v>
      </c>
      <c r="L15" s="94">
        <v>100</v>
      </c>
      <c r="M15" s="94" t="s">
        <v>51</v>
      </c>
      <c r="N15" s="94">
        <v>100</v>
      </c>
      <c r="O15" s="94" t="s">
        <v>51</v>
      </c>
      <c r="P15" s="94">
        <v>100</v>
      </c>
      <c r="Q15" s="94" t="s">
        <v>51</v>
      </c>
      <c r="R15" s="94">
        <v>100</v>
      </c>
      <c r="S15" s="94" t="s">
        <v>51</v>
      </c>
      <c r="T15" s="94"/>
      <c r="U15" s="94" t="s">
        <v>51</v>
      </c>
      <c r="V15" s="94"/>
      <c r="W15" s="94" t="s">
        <v>51</v>
      </c>
      <c r="X15" s="94"/>
      <c r="Y15" s="94" t="s">
        <v>51</v>
      </c>
      <c r="Z15" s="94"/>
      <c r="AA15" s="94" t="s">
        <v>97</v>
      </c>
      <c r="AB15" s="94"/>
      <c r="AC15" s="94" t="s">
        <v>51</v>
      </c>
      <c r="AD15" s="94"/>
      <c r="AE15" s="94"/>
      <c r="AF15" s="94"/>
    </row>
    <row r="16" spans="1:33" ht="15.75">
      <c r="A16" s="97" t="s">
        <v>133</v>
      </c>
      <c r="B16" s="100" t="s">
        <v>134</v>
      </c>
      <c r="C16" s="94" t="s">
        <v>97</v>
      </c>
      <c r="D16" s="95" t="s">
        <v>97</v>
      </c>
      <c r="E16" s="95" t="s">
        <v>97</v>
      </c>
      <c r="F16" s="95" t="s">
        <v>97</v>
      </c>
      <c r="G16" s="94" t="s">
        <v>51</v>
      </c>
      <c r="H16" s="99">
        <v>100</v>
      </c>
      <c r="I16" s="95" t="s">
        <v>97</v>
      </c>
      <c r="J16" s="95" t="s">
        <v>97</v>
      </c>
      <c r="K16" s="95" t="s">
        <v>97</v>
      </c>
      <c r="L16" s="95" t="s">
        <v>97</v>
      </c>
      <c r="M16" s="94" t="s">
        <v>51</v>
      </c>
      <c r="N16" s="94">
        <v>100</v>
      </c>
      <c r="O16" s="94" t="s">
        <v>51</v>
      </c>
      <c r="P16" s="94">
        <v>100</v>
      </c>
      <c r="Q16" s="94" t="s">
        <v>51</v>
      </c>
      <c r="R16" s="94">
        <v>100</v>
      </c>
      <c r="S16" s="94" t="s">
        <v>51</v>
      </c>
      <c r="T16" s="94"/>
      <c r="U16" s="94" t="s">
        <v>97</v>
      </c>
      <c r="V16" s="94"/>
      <c r="W16" s="94" t="s">
        <v>56</v>
      </c>
      <c r="X16" s="94"/>
      <c r="Y16" s="94" t="s">
        <v>51</v>
      </c>
      <c r="Z16" s="94"/>
      <c r="AA16" s="94" t="s">
        <v>97</v>
      </c>
      <c r="AB16" s="94"/>
      <c r="AC16" s="94" t="s">
        <v>97</v>
      </c>
      <c r="AD16" s="94"/>
      <c r="AE16" s="94"/>
      <c r="AF16" s="94"/>
    </row>
    <row r="17" spans="1:32" ht="15.75">
      <c r="A17" s="97" t="s">
        <v>67</v>
      </c>
      <c r="B17" s="100" t="s">
        <v>135</v>
      </c>
      <c r="C17" s="94" t="s">
        <v>51</v>
      </c>
      <c r="D17" s="95">
        <v>100</v>
      </c>
      <c r="E17" s="95" t="s">
        <v>97</v>
      </c>
      <c r="F17" s="95" t="s">
        <v>97</v>
      </c>
      <c r="G17" s="95" t="s">
        <v>97</v>
      </c>
      <c r="H17" s="95" t="s">
        <v>97</v>
      </c>
      <c r="I17" s="95" t="s">
        <v>97</v>
      </c>
      <c r="J17" s="95" t="s">
        <v>97</v>
      </c>
      <c r="K17" s="95" t="s">
        <v>97</v>
      </c>
      <c r="L17" s="95" t="s">
        <v>97</v>
      </c>
      <c r="M17" s="94" t="s">
        <v>51</v>
      </c>
      <c r="N17" s="94">
        <v>100</v>
      </c>
      <c r="O17" s="94" t="s">
        <v>51</v>
      </c>
      <c r="P17" s="94">
        <v>100</v>
      </c>
      <c r="Q17" s="94" t="s">
        <v>51</v>
      </c>
      <c r="R17" s="94">
        <v>100</v>
      </c>
      <c r="S17" s="94" t="s">
        <v>97</v>
      </c>
      <c r="T17" s="94"/>
      <c r="U17" s="94" t="s">
        <v>97</v>
      </c>
      <c r="V17" s="94"/>
      <c r="W17" s="94" t="s">
        <v>56</v>
      </c>
      <c r="X17" s="94"/>
      <c r="Y17" s="94" t="s">
        <v>56</v>
      </c>
      <c r="Z17" s="94"/>
      <c r="AA17" s="94" t="s">
        <v>97</v>
      </c>
      <c r="AB17" s="94"/>
      <c r="AC17" s="94" t="s">
        <v>97</v>
      </c>
      <c r="AD17" s="94"/>
      <c r="AE17" s="94"/>
      <c r="AF17" s="94"/>
    </row>
    <row r="18" spans="1:32" ht="15.75">
      <c r="A18" s="97" t="s">
        <v>78</v>
      </c>
      <c r="B18" s="100" t="s">
        <v>68</v>
      </c>
      <c r="C18" s="94" t="s">
        <v>97</v>
      </c>
      <c r="D18" s="95" t="s">
        <v>97</v>
      </c>
      <c r="E18" s="95" t="s">
        <v>97</v>
      </c>
      <c r="F18" s="95" t="s">
        <v>97</v>
      </c>
      <c r="G18" s="95" t="s">
        <v>97</v>
      </c>
      <c r="H18" s="95" t="s">
        <v>97</v>
      </c>
      <c r="I18" s="95" t="s">
        <v>97</v>
      </c>
      <c r="J18" s="95" t="s">
        <v>97</v>
      </c>
      <c r="K18" s="95" t="s">
        <v>97</v>
      </c>
      <c r="L18" s="95" t="s">
        <v>97</v>
      </c>
      <c r="M18" s="95" t="s">
        <v>97</v>
      </c>
      <c r="N18" s="95" t="s">
        <v>97</v>
      </c>
      <c r="O18" s="95" t="s">
        <v>97</v>
      </c>
      <c r="P18" s="94" t="s">
        <v>97</v>
      </c>
      <c r="Q18" s="95" t="s">
        <v>97</v>
      </c>
      <c r="R18" s="94" t="s">
        <v>97</v>
      </c>
      <c r="S18" s="94" t="s">
        <v>97</v>
      </c>
      <c r="T18" s="94"/>
      <c r="U18" s="94" t="s">
        <v>97</v>
      </c>
      <c r="V18" s="94"/>
      <c r="W18" s="94" t="s">
        <v>56</v>
      </c>
      <c r="X18" s="94"/>
      <c r="Y18" s="94" t="s">
        <v>56</v>
      </c>
      <c r="Z18" s="94"/>
      <c r="AA18" s="94" t="s">
        <v>97</v>
      </c>
      <c r="AB18" s="94"/>
      <c r="AC18" s="94" t="s">
        <v>97</v>
      </c>
      <c r="AD18" s="94"/>
      <c r="AE18" s="94"/>
      <c r="AF18" s="94"/>
    </row>
    <row r="19" spans="1:32" ht="15.75">
      <c r="A19" s="97" t="s">
        <v>79</v>
      </c>
      <c r="B19" s="100" t="s">
        <v>68</v>
      </c>
      <c r="C19" s="94" t="s">
        <v>51</v>
      </c>
      <c r="D19" s="96">
        <v>100</v>
      </c>
      <c r="E19" s="95" t="s">
        <v>97</v>
      </c>
      <c r="F19" s="95" t="s">
        <v>97</v>
      </c>
      <c r="G19" s="94" t="s">
        <v>51</v>
      </c>
      <c r="H19" s="99">
        <v>100</v>
      </c>
      <c r="I19" s="95" t="s">
        <v>97</v>
      </c>
      <c r="J19" s="95" t="s">
        <v>97</v>
      </c>
      <c r="K19" s="95" t="s">
        <v>97</v>
      </c>
      <c r="L19" s="95" t="s">
        <v>97</v>
      </c>
      <c r="M19" s="95" t="s">
        <v>97</v>
      </c>
      <c r="N19" s="95" t="s">
        <v>97</v>
      </c>
      <c r="O19" s="94" t="s">
        <v>51</v>
      </c>
      <c r="P19" s="94">
        <v>100</v>
      </c>
      <c r="Q19" s="94" t="s">
        <v>51</v>
      </c>
      <c r="R19" s="94">
        <v>100</v>
      </c>
      <c r="S19" s="94" t="s">
        <v>97</v>
      </c>
      <c r="T19" s="94"/>
      <c r="U19" s="94" t="s">
        <v>97</v>
      </c>
      <c r="V19" s="94"/>
      <c r="W19" s="94" t="s">
        <v>56</v>
      </c>
      <c r="X19" s="94"/>
      <c r="Y19" s="94" t="s">
        <v>56</v>
      </c>
      <c r="Z19" s="94"/>
      <c r="AA19" s="94" t="s">
        <v>97</v>
      </c>
      <c r="AB19" s="94"/>
      <c r="AC19" s="94" t="s">
        <v>97</v>
      </c>
      <c r="AD19" s="94"/>
      <c r="AE19" s="94"/>
      <c r="AF19" s="94"/>
    </row>
    <row r="20" spans="1:32" ht="15.75">
      <c r="A20" s="97" t="s">
        <v>89</v>
      </c>
      <c r="B20" s="100" t="s">
        <v>68</v>
      </c>
      <c r="C20" s="94" t="s">
        <v>97</v>
      </c>
      <c r="D20" s="95" t="s">
        <v>97</v>
      </c>
      <c r="E20" s="95" t="s">
        <v>97</v>
      </c>
      <c r="F20" s="95" t="s">
        <v>97</v>
      </c>
      <c r="G20" s="95" t="s">
        <v>51</v>
      </c>
      <c r="H20" s="95">
        <v>100</v>
      </c>
      <c r="I20" s="95" t="s">
        <v>97</v>
      </c>
      <c r="J20" s="95" t="s">
        <v>97</v>
      </c>
      <c r="K20" s="95" t="s">
        <v>97</v>
      </c>
      <c r="L20" s="95" t="s">
        <v>97</v>
      </c>
      <c r="M20" s="95" t="s">
        <v>51</v>
      </c>
      <c r="N20" s="94">
        <v>100</v>
      </c>
      <c r="O20" s="95" t="s">
        <v>56</v>
      </c>
      <c r="P20" s="94" t="s">
        <v>56</v>
      </c>
      <c r="Q20" s="95" t="s">
        <v>97</v>
      </c>
      <c r="R20" s="94" t="s">
        <v>97</v>
      </c>
      <c r="S20" s="94" t="s">
        <v>97</v>
      </c>
      <c r="T20" s="94"/>
      <c r="U20" s="94" t="s">
        <v>97</v>
      </c>
      <c r="V20" s="94"/>
      <c r="W20" s="94" t="s">
        <v>56</v>
      </c>
      <c r="X20" s="94"/>
      <c r="Y20" s="94" t="s">
        <v>56</v>
      </c>
      <c r="Z20" s="94"/>
      <c r="AA20" s="94" t="s">
        <v>97</v>
      </c>
      <c r="AB20" s="94"/>
      <c r="AC20" s="94" t="s">
        <v>97</v>
      </c>
      <c r="AD20" s="94"/>
      <c r="AE20" s="94"/>
      <c r="AF20" s="94"/>
    </row>
    <row r="21" spans="1:32" ht="15.75">
      <c r="A21" s="97" t="s">
        <v>136</v>
      </c>
      <c r="B21" s="100" t="s">
        <v>68</v>
      </c>
      <c r="C21" s="94" t="s">
        <v>97</v>
      </c>
      <c r="D21" s="95" t="s">
        <v>97</v>
      </c>
      <c r="E21" s="95" t="s">
        <v>97</v>
      </c>
      <c r="F21" s="95" t="s">
        <v>97</v>
      </c>
      <c r="G21" s="95" t="s">
        <v>97</v>
      </c>
      <c r="H21" s="95" t="s">
        <v>97</v>
      </c>
      <c r="I21" s="95" t="s">
        <v>97</v>
      </c>
      <c r="J21" s="95" t="s">
        <v>97</v>
      </c>
      <c r="K21" s="95" t="s">
        <v>97</v>
      </c>
      <c r="L21" s="95" t="s">
        <v>97</v>
      </c>
      <c r="M21" s="95" t="s">
        <v>97</v>
      </c>
      <c r="N21" s="95" t="s">
        <v>97</v>
      </c>
      <c r="O21" s="95" t="s">
        <v>56</v>
      </c>
      <c r="P21" s="94" t="s">
        <v>56</v>
      </c>
      <c r="Q21" s="95" t="s">
        <v>97</v>
      </c>
      <c r="R21" s="94" t="s">
        <v>97</v>
      </c>
      <c r="S21" s="94" t="s">
        <v>97</v>
      </c>
      <c r="T21" s="94"/>
      <c r="U21" s="94" t="s">
        <v>97</v>
      </c>
      <c r="V21" s="94"/>
      <c r="W21" s="94" t="s">
        <v>56</v>
      </c>
      <c r="X21" s="94"/>
      <c r="Y21" s="94" t="s">
        <v>56</v>
      </c>
      <c r="Z21" s="94"/>
      <c r="AA21" s="94" t="s">
        <v>97</v>
      </c>
      <c r="AB21" s="94"/>
      <c r="AC21" s="94" t="s">
        <v>97</v>
      </c>
      <c r="AD21" s="94"/>
      <c r="AE21" s="94"/>
      <c r="AF21" s="94"/>
    </row>
    <row r="22" spans="1:32" ht="15.75">
      <c r="A22" s="97" t="s">
        <v>137</v>
      </c>
      <c r="B22" s="100" t="s">
        <v>68</v>
      </c>
      <c r="C22" s="94" t="s">
        <v>51</v>
      </c>
      <c r="D22" s="96">
        <v>100</v>
      </c>
      <c r="E22" s="95" t="s">
        <v>97</v>
      </c>
      <c r="F22" s="95" t="s">
        <v>97</v>
      </c>
      <c r="G22" s="95" t="s">
        <v>97</v>
      </c>
      <c r="H22" s="95" t="s">
        <v>97</v>
      </c>
      <c r="I22" s="95" t="s">
        <v>97</v>
      </c>
      <c r="J22" s="95" t="s">
        <v>97</v>
      </c>
      <c r="K22" s="95" t="s">
        <v>97</v>
      </c>
      <c r="L22" s="95" t="s">
        <v>97</v>
      </c>
      <c r="M22" s="95" t="s">
        <v>97</v>
      </c>
      <c r="N22" s="95" t="s">
        <v>97</v>
      </c>
      <c r="O22" s="94" t="s">
        <v>51</v>
      </c>
      <c r="P22" s="94">
        <v>100</v>
      </c>
      <c r="Q22" s="94" t="s">
        <v>51</v>
      </c>
      <c r="R22" s="94">
        <v>100</v>
      </c>
      <c r="S22" s="94" t="s">
        <v>97</v>
      </c>
      <c r="T22" s="94"/>
      <c r="U22" s="94" t="s">
        <v>97</v>
      </c>
      <c r="V22" s="94"/>
      <c r="W22" s="94" t="s">
        <v>56</v>
      </c>
      <c r="X22" s="94"/>
      <c r="Y22" s="94" t="s">
        <v>56</v>
      </c>
      <c r="Z22" s="94"/>
      <c r="AA22" s="94" t="s">
        <v>97</v>
      </c>
      <c r="AB22" s="94"/>
      <c r="AC22" s="94" t="s">
        <v>97</v>
      </c>
      <c r="AD22" s="94"/>
      <c r="AE22" s="94"/>
      <c r="AF22" s="94"/>
    </row>
    <row r="23" spans="1:32" ht="15.75">
      <c r="A23" s="97" t="s">
        <v>72</v>
      </c>
      <c r="B23" s="100" t="s">
        <v>138</v>
      </c>
      <c r="C23" s="94" t="s">
        <v>97</v>
      </c>
      <c r="D23" s="95" t="s">
        <v>97</v>
      </c>
      <c r="E23" s="95" t="s">
        <v>97</v>
      </c>
      <c r="F23" s="95" t="s">
        <v>97</v>
      </c>
      <c r="G23" s="94" t="s">
        <v>51</v>
      </c>
      <c r="H23" s="99">
        <v>100</v>
      </c>
      <c r="I23" s="95" t="s">
        <v>97</v>
      </c>
      <c r="J23" s="95" t="s">
        <v>97</v>
      </c>
      <c r="K23" s="95" t="s">
        <v>97</v>
      </c>
      <c r="L23" s="95" t="s">
        <v>97</v>
      </c>
      <c r="M23" s="95" t="s">
        <v>51</v>
      </c>
      <c r="N23" s="94">
        <v>100</v>
      </c>
      <c r="O23" s="95" t="s">
        <v>56</v>
      </c>
      <c r="P23" s="94" t="s">
        <v>56</v>
      </c>
      <c r="Q23" s="95" t="s">
        <v>97</v>
      </c>
      <c r="R23" s="94" t="s">
        <v>97</v>
      </c>
      <c r="S23" s="94" t="s">
        <v>97</v>
      </c>
      <c r="T23" s="94"/>
      <c r="U23" s="94" t="s">
        <v>97</v>
      </c>
      <c r="V23" s="94"/>
      <c r="W23" s="94" t="s">
        <v>56</v>
      </c>
      <c r="X23" s="94"/>
      <c r="Y23" s="94" t="s">
        <v>56</v>
      </c>
      <c r="Z23" s="94"/>
      <c r="AA23" s="94" t="s">
        <v>97</v>
      </c>
      <c r="AB23" s="94"/>
      <c r="AC23" s="94" t="s">
        <v>97</v>
      </c>
      <c r="AD23" s="94"/>
      <c r="AE23" s="94"/>
      <c r="AF23" s="94"/>
    </row>
    <row r="24" spans="1:32" ht="15.75">
      <c r="A24" s="97" t="s">
        <v>77</v>
      </c>
      <c r="B24" s="100" t="s">
        <v>138</v>
      </c>
      <c r="C24" s="94" t="s">
        <v>51</v>
      </c>
      <c r="D24" s="96">
        <v>100</v>
      </c>
      <c r="E24" s="95" t="s">
        <v>97</v>
      </c>
      <c r="F24" s="95" t="s">
        <v>97</v>
      </c>
      <c r="G24" s="94" t="s">
        <v>51</v>
      </c>
      <c r="H24" s="99">
        <v>100</v>
      </c>
      <c r="I24" s="95" t="s">
        <v>97</v>
      </c>
      <c r="J24" s="95" t="s">
        <v>97</v>
      </c>
      <c r="K24" s="95" t="s">
        <v>97</v>
      </c>
      <c r="L24" s="95" t="s">
        <v>97</v>
      </c>
      <c r="M24" s="95" t="s">
        <v>51</v>
      </c>
      <c r="N24" s="94">
        <v>100</v>
      </c>
      <c r="O24" s="94" t="s">
        <v>51</v>
      </c>
      <c r="P24" s="96">
        <v>100</v>
      </c>
      <c r="Q24" s="94" t="s">
        <v>51</v>
      </c>
      <c r="R24" s="94">
        <v>100</v>
      </c>
      <c r="S24" s="94" t="s">
        <v>97</v>
      </c>
      <c r="T24" s="94"/>
      <c r="U24" s="94" t="s">
        <v>97</v>
      </c>
      <c r="V24" s="94"/>
      <c r="W24" s="94" t="s">
        <v>51</v>
      </c>
      <c r="X24" s="94"/>
      <c r="Y24" s="94" t="s">
        <v>51</v>
      </c>
      <c r="Z24" s="94"/>
      <c r="AA24" s="94" t="s">
        <v>97</v>
      </c>
      <c r="AB24" s="94"/>
      <c r="AC24" s="94" t="s">
        <v>97</v>
      </c>
      <c r="AD24" s="94"/>
      <c r="AE24" s="94"/>
      <c r="AF24" s="94"/>
    </row>
    <row r="25" spans="1:32" ht="15.75">
      <c r="A25" s="97" t="s">
        <v>139</v>
      </c>
      <c r="B25" s="100" t="s">
        <v>140</v>
      </c>
      <c r="C25" s="94" t="s">
        <v>51</v>
      </c>
      <c r="D25" s="96">
        <v>100</v>
      </c>
      <c r="E25" s="95" t="s">
        <v>97</v>
      </c>
      <c r="F25" s="95" t="s">
        <v>97</v>
      </c>
      <c r="G25" s="94" t="s">
        <v>51</v>
      </c>
      <c r="H25" s="99">
        <v>100</v>
      </c>
      <c r="I25" s="95" t="s">
        <v>97</v>
      </c>
      <c r="J25" s="95" t="s">
        <v>97</v>
      </c>
      <c r="K25" s="95" t="s">
        <v>97</v>
      </c>
      <c r="L25" s="95" t="s">
        <v>97</v>
      </c>
      <c r="M25" s="94" t="s">
        <v>51</v>
      </c>
      <c r="N25" s="94">
        <v>100</v>
      </c>
      <c r="O25" s="94" t="s">
        <v>51</v>
      </c>
      <c r="P25" s="94">
        <v>90</v>
      </c>
      <c r="Q25" s="94" t="s">
        <v>51</v>
      </c>
      <c r="R25" s="94">
        <v>100</v>
      </c>
      <c r="S25" s="94" t="s">
        <v>97</v>
      </c>
      <c r="T25" s="94"/>
      <c r="U25" s="94" t="s">
        <v>97</v>
      </c>
      <c r="V25" s="94"/>
      <c r="W25" s="94" t="s">
        <v>97</v>
      </c>
      <c r="X25" s="94"/>
      <c r="Y25" s="94" t="s">
        <v>51</v>
      </c>
      <c r="Z25" s="94"/>
      <c r="AA25" s="94" t="s">
        <v>97</v>
      </c>
      <c r="AB25" s="94"/>
      <c r="AC25" s="94" t="s">
        <v>97</v>
      </c>
      <c r="AD25" s="94"/>
      <c r="AE25" s="94"/>
      <c r="AF25" s="94"/>
    </row>
    <row r="26" spans="1:32" ht="15.75">
      <c r="A26" s="97" t="s">
        <v>141</v>
      </c>
      <c r="B26" s="100" t="s">
        <v>142</v>
      </c>
      <c r="C26" s="94" t="s">
        <v>51</v>
      </c>
      <c r="D26" s="94">
        <v>100</v>
      </c>
      <c r="E26" s="94" t="s">
        <v>51</v>
      </c>
      <c r="F26" s="94">
        <v>100</v>
      </c>
      <c r="G26" s="94" t="s">
        <v>51</v>
      </c>
      <c r="H26" s="99">
        <v>100</v>
      </c>
      <c r="I26" s="95" t="s">
        <v>97</v>
      </c>
      <c r="J26" s="95" t="s">
        <v>97</v>
      </c>
      <c r="K26" s="95" t="s">
        <v>97</v>
      </c>
      <c r="L26" s="95" t="s">
        <v>97</v>
      </c>
      <c r="M26" s="94" t="s">
        <v>51</v>
      </c>
      <c r="N26" s="94">
        <v>100</v>
      </c>
      <c r="O26" s="94" t="s">
        <v>51</v>
      </c>
      <c r="P26" s="94">
        <v>100</v>
      </c>
      <c r="Q26" s="94" t="s">
        <v>51</v>
      </c>
      <c r="R26" s="94">
        <v>100</v>
      </c>
      <c r="S26" s="94" t="s">
        <v>51</v>
      </c>
      <c r="T26" s="94"/>
      <c r="U26" s="94" t="s">
        <v>51</v>
      </c>
      <c r="V26" s="94"/>
      <c r="W26" s="94" t="s">
        <v>51</v>
      </c>
      <c r="X26" s="94"/>
      <c r="Y26" s="94" t="s">
        <v>51</v>
      </c>
      <c r="Z26" s="94"/>
      <c r="AA26" s="94" t="s">
        <v>97</v>
      </c>
      <c r="AB26" s="94"/>
      <c r="AC26" s="94" t="s">
        <v>97</v>
      </c>
      <c r="AD26" s="94"/>
      <c r="AE26" s="94"/>
      <c r="AF26" s="94"/>
    </row>
    <row r="27" spans="1:32" ht="16.5" customHeight="1">
      <c r="A27" s="97" t="s">
        <v>65</v>
      </c>
      <c r="B27" s="100" t="s">
        <v>66</v>
      </c>
      <c r="C27" s="94" t="s">
        <v>97</v>
      </c>
      <c r="D27" s="95" t="s">
        <v>97</v>
      </c>
      <c r="E27" s="94" t="s">
        <v>51</v>
      </c>
      <c r="F27" s="94">
        <v>100</v>
      </c>
      <c r="G27" s="94" t="s">
        <v>51</v>
      </c>
      <c r="H27" s="94">
        <v>100</v>
      </c>
      <c r="I27" s="95" t="s">
        <v>97</v>
      </c>
      <c r="J27" s="95" t="s">
        <v>97</v>
      </c>
      <c r="K27" s="95" t="s">
        <v>97</v>
      </c>
      <c r="L27" s="95" t="s">
        <v>97</v>
      </c>
      <c r="M27" s="94" t="s">
        <v>51</v>
      </c>
      <c r="N27" s="94">
        <v>100</v>
      </c>
      <c r="O27" s="94" t="s">
        <v>51</v>
      </c>
      <c r="P27" s="96">
        <v>100</v>
      </c>
      <c r="Q27" s="94" t="s">
        <v>51</v>
      </c>
      <c r="R27" s="94">
        <v>100</v>
      </c>
      <c r="S27" s="94" t="s">
        <v>97</v>
      </c>
      <c r="T27" s="94"/>
      <c r="U27" s="94" t="s">
        <v>97</v>
      </c>
      <c r="V27" s="94"/>
      <c r="W27" s="94" t="s">
        <v>97</v>
      </c>
      <c r="X27" s="94"/>
      <c r="Y27" s="94" t="s">
        <v>51</v>
      </c>
      <c r="Z27" s="94"/>
      <c r="AA27" s="94" t="s">
        <v>97</v>
      </c>
      <c r="AB27" s="94"/>
      <c r="AC27" s="94" t="s">
        <v>97</v>
      </c>
      <c r="AD27" s="94"/>
      <c r="AE27" s="94"/>
      <c r="AF27" s="94"/>
    </row>
    <row r="28" spans="1:32" ht="15.75">
      <c r="A28" s="97" t="s">
        <v>143</v>
      </c>
      <c r="B28" s="100" t="s">
        <v>66</v>
      </c>
      <c r="C28" s="94" t="s">
        <v>51</v>
      </c>
      <c r="D28" s="94">
        <v>100</v>
      </c>
      <c r="E28" s="94" t="s">
        <v>51</v>
      </c>
      <c r="F28" s="94">
        <v>100</v>
      </c>
      <c r="G28" s="94" t="s">
        <v>51</v>
      </c>
      <c r="H28" s="99">
        <v>100</v>
      </c>
      <c r="I28" s="95" t="s">
        <v>97</v>
      </c>
      <c r="J28" s="95" t="s">
        <v>97</v>
      </c>
      <c r="K28" s="95" t="s">
        <v>97</v>
      </c>
      <c r="L28" s="95" t="s">
        <v>97</v>
      </c>
      <c r="M28" s="94" t="s">
        <v>51</v>
      </c>
      <c r="N28" s="94">
        <v>100</v>
      </c>
      <c r="O28" s="94" t="s">
        <v>51</v>
      </c>
      <c r="P28" s="96">
        <v>100</v>
      </c>
      <c r="Q28" s="94" t="s">
        <v>51</v>
      </c>
      <c r="R28" s="94">
        <v>100</v>
      </c>
      <c r="S28" s="94" t="s">
        <v>51</v>
      </c>
      <c r="T28" s="94"/>
      <c r="U28" s="94" t="s">
        <v>51</v>
      </c>
      <c r="V28" s="94"/>
      <c r="W28" s="94" t="s">
        <v>51</v>
      </c>
      <c r="X28" s="96"/>
      <c r="Y28" s="94" t="s">
        <v>51</v>
      </c>
      <c r="Z28" s="94"/>
      <c r="AA28" s="94" t="s">
        <v>97</v>
      </c>
      <c r="AB28" s="94"/>
      <c r="AC28" s="94" t="s">
        <v>97</v>
      </c>
      <c r="AD28" s="94"/>
      <c r="AE28" s="94"/>
      <c r="AF28" s="94"/>
    </row>
    <row r="29" spans="1:32" ht="15.75">
      <c r="A29" s="97" t="s">
        <v>144</v>
      </c>
      <c r="B29" s="100" t="s">
        <v>66</v>
      </c>
      <c r="C29" s="94" t="s">
        <v>51</v>
      </c>
      <c r="D29" s="94">
        <v>100</v>
      </c>
      <c r="E29" s="94" t="s">
        <v>51</v>
      </c>
      <c r="F29" s="94">
        <v>100</v>
      </c>
      <c r="G29" s="94" t="s">
        <v>51</v>
      </c>
      <c r="H29" s="99">
        <v>100</v>
      </c>
      <c r="I29" s="95" t="s">
        <v>97</v>
      </c>
      <c r="J29" s="95" t="s">
        <v>97</v>
      </c>
      <c r="K29" s="95" t="s">
        <v>97</v>
      </c>
      <c r="L29" s="95" t="s">
        <v>97</v>
      </c>
      <c r="M29" s="94" t="s">
        <v>51</v>
      </c>
      <c r="N29" s="94">
        <v>100</v>
      </c>
      <c r="O29" s="94" t="s">
        <v>51</v>
      </c>
      <c r="P29" s="96">
        <v>100</v>
      </c>
      <c r="Q29" s="94" t="s">
        <v>51</v>
      </c>
      <c r="R29" s="94">
        <v>100</v>
      </c>
      <c r="S29" s="94" t="s">
        <v>51</v>
      </c>
      <c r="T29" s="94"/>
      <c r="U29" s="94" t="s">
        <v>51</v>
      </c>
      <c r="V29" s="94"/>
      <c r="W29" s="94" t="s">
        <v>51</v>
      </c>
      <c r="X29" s="96"/>
      <c r="Y29" s="94" t="s">
        <v>51</v>
      </c>
      <c r="Z29" s="94"/>
      <c r="AA29" s="94" t="s">
        <v>97</v>
      </c>
      <c r="AB29" s="94"/>
      <c r="AC29" s="94" t="s">
        <v>97</v>
      </c>
      <c r="AD29" s="94"/>
      <c r="AE29" s="94"/>
      <c r="AF29" s="94"/>
    </row>
    <row r="30" spans="1:32" ht="15.75">
      <c r="A30" s="97" t="s">
        <v>145</v>
      </c>
      <c r="B30" s="100" t="s">
        <v>138</v>
      </c>
      <c r="C30" s="94" t="s">
        <v>51</v>
      </c>
      <c r="D30" s="94">
        <v>100</v>
      </c>
      <c r="E30" s="94" t="s">
        <v>51</v>
      </c>
      <c r="F30" s="94">
        <v>100</v>
      </c>
      <c r="G30" s="94" t="s">
        <v>51</v>
      </c>
      <c r="H30" s="99">
        <v>100</v>
      </c>
      <c r="I30" s="95" t="s">
        <v>97</v>
      </c>
      <c r="J30" s="95" t="s">
        <v>97</v>
      </c>
      <c r="K30" s="95" t="s">
        <v>97</v>
      </c>
      <c r="L30" s="95" t="s">
        <v>97</v>
      </c>
      <c r="M30" s="94" t="s">
        <v>51</v>
      </c>
      <c r="N30" s="94">
        <v>100</v>
      </c>
      <c r="O30" s="94" t="s">
        <v>51</v>
      </c>
      <c r="P30" s="96">
        <v>100</v>
      </c>
      <c r="Q30" s="94" t="s">
        <v>51</v>
      </c>
      <c r="R30" s="94">
        <v>100</v>
      </c>
      <c r="S30" s="94" t="s">
        <v>97</v>
      </c>
      <c r="T30" s="94"/>
      <c r="U30" s="94" t="s">
        <v>51</v>
      </c>
      <c r="V30" s="94"/>
      <c r="W30" s="94" t="s">
        <v>51</v>
      </c>
      <c r="X30" s="94"/>
      <c r="Y30" s="94" t="s">
        <v>51</v>
      </c>
      <c r="Z30" s="94"/>
      <c r="AA30" s="94" t="s">
        <v>97</v>
      </c>
      <c r="AB30" s="94"/>
      <c r="AC30" s="94" t="s">
        <v>97</v>
      </c>
      <c r="AD30" s="94"/>
      <c r="AE30" s="94"/>
      <c r="AF30" s="94"/>
    </row>
    <row r="31" spans="1:32" ht="15.75">
      <c r="A31" s="97" t="s">
        <v>80</v>
      </c>
      <c r="B31" s="98" t="s">
        <v>146</v>
      </c>
      <c r="C31" s="95" t="s">
        <v>97</v>
      </c>
      <c r="D31" s="95" t="s">
        <v>97</v>
      </c>
      <c r="E31" s="95" t="s">
        <v>97</v>
      </c>
      <c r="F31" s="95" t="s">
        <v>97</v>
      </c>
      <c r="G31" s="94" t="s">
        <v>51</v>
      </c>
      <c r="H31" s="99">
        <v>90</v>
      </c>
      <c r="I31" s="94" t="s">
        <v>51</v>
      </c>
      <c r="J31" s="95">
        <v>92</v>
      </c>
      <c r="K31" s="95" t="s">
        <v>97</v>
      </c>
      <c r="L31" s="95" t="s">
        <v>97</v>
      </c>
      <c r="M31" s="94" t="s">
        <v>51</v>
      </c>
      <c r="N31" s="94">
        <v>100</v>
      </c>
      <c r="O31" s="94" t="s">
        <v>51</v>
      </c>
      <c r="P31" s="96">
        <v>100</v>
      </c>
      <c r="Q31" s="94" t="s">
        <v>51</v>
      </c>
      <c r="R31" s="94">
        <v>90</v>
      </c>
      <c r="S31" s="94" t="s">
        <v>97</v>
      </c>
      <c r="T31" s="94"/>
      <c r="U31" s="94" t="s">
        <v>97</v>
      </c>
      <c r="V31" s="94"/>
      <c r="W31" s="94" t="s">
        <v>56</v>
      </c>
      <c r="X31" s="94"/>
      <c r="Y31" s="94" t="s">
        <v>51</v>
      </c>
      <c r="Z31" s="94"/>
      <c r="AA31" s="94" t="s">
        <v>97</v>
      </c>
      <c r="AB31" s="94"/>
      <c r="AC31" s="94" t="s">
        <v>97</v>
      </c>
      <c r="AD31" s="94"/>
      <c r="AE31" s="94"/>
      <c r="AF31" s="94"/>
    </row>
    <row r="32" spans="1:32" ht="15.75">
      <c r="A32" s="97" t="s">
        <v>147</v>
      </c>
      <c r="B32" s="100" t="s">
        <v>146</v>
      </c>
      <c r="C32" s="95" t="s">
        <v>51</v>
      </c>
      <c r="D32" s="96">
        <v>100</v>
      </c>
      <c r="E32" s="95" t="s">
        <v>97</v>
      </c>
      <c r="F32" s="95" t="s">
        <v>97</v>
      </c>
      <c r="G32" s="94" t="s">
        <v>51</v>
      </c>
      <c r="H32" s="99">
        <v>100</v>
      </c>
      <c r="I32" s="94" t="s">
        <v>51</v>
      </c>
      <c r="J32" s="95">
        <v>100</v>
      </c>
      <c r="K32" s="95" t="s">
        <v>97</v>
      </c>
      <c r="L32" s="95" t="s">
        <v>97</v>
      </c>
      <c r="M32" s="94" t="s">
        <v>51</v>
      </c>
      <c r="N32" s="94">
        <v>100</v>
      </c>
      <c r="O32" s="94" t="s">
        <v>51</v>
      </c>
      <c r="P32" s="96">
        <v>100</v>
      </c>
      <c r="Q32" s="94" t="s">
        <v>51</v>
      </c>
      <c r="R32" s="94">
        <v>100</v>
      </c>
      <c r="S32" s="94" t="s">
        <v>97</v>
      </c>
      <c r="T32" s="94"/>
      <c r="U32" s="94" t="s">
        <v>97</v>
      </c>
      <c r="V32" s="94"/>
      <c r="W32" s="94" t="s">
        <v>56</v>
      </c>
      <c r="X32" s="94"/>
      <c r="Y32" s="94" t="s">
        <v>51</v>
      </c>
      <c r="Z32" s="94"/>
      <c r="AA32" s="94" t="s">
        <v>97</v>
      </c>
      <c r="AB32" s="94"/>
      <c r="AC32" s="94" t="s">
        <v>97</v>
      </c>
      <c r="AD32" s="94"/>
      <c r="AE32" s="94"/>
      <c r="AF32" s="94"/>
    </row>
    <row r="33" spans="1:39" ht="15.75">
      <c r="A33" s="97" t="s">
        <v>98</v>
      </c>
      <c r="B33" s="100" t="s">
        <v>148</v>
      </c>
      <c r="C33" s="95" t="s">
        <v>97</v>
      </c>
      <c r="D33" s="95" t="s">
        <v>97</v>
      </c>
      <c r="E33" s="95" t="s">
        <v>97</v>
      </c>
      <c r="F33" s="95" t="s">
        <v>97</v>
      </c>
      <c r="G33" s="95" t="s">
        <v>97</v>
      </c>
      <c r="H33" s="95" t="s">
        <v>97</v>
      </c>
      <c r="I33" s="95" t="s">
        <v>97</v>
      </c>
      <c r="J33" s="95" t="s">
        <v>97</v>
      </c>
      <c r="K33" s="95" t="s">
        <v>97</v>
      </c>
      <c r="L33" s="95" t="s">
        <v>97</v>
      </c>
      <c r="M33" s="95" t="s">
        <v>97</v>
      </c>
      <c r="N33" s="94" t="s">
        <v>97</v>
      </c>
      <c r="O33" s="95" t="s">
        <v>97</v>
      </c>
      <c r="P33" s="96" t="s">
        <v>97</v>
      </c>
      <c r="Q33" s="95" t="s">
        <v>97</v>
      </c>
      <c r="R33" s="94" t="s">
        <v>97</v>
      </c>
      <c r="S33" s="94" t="s">
        <v>51</v>
      </c>
      <c r="T33" s="94"/>
      <c r="U33" s="94" t="s">
        <v>97</v>
      </c>
      <c r="V33" s="94"/>
      <c r="W33" s="94" t="s">
        <v>56</v>
      </c>
      <c r="X33" s="96"/>
      <c r="Y33" s="94" t="s">
        <v>97</v>
      </c>
      <c r="Z33" s="94"/>
      <c r="AA33" s="94" t="s">
        <v>97</v>
      </c>
      <c r="AB33" s="94"/>
      <c r="AC33" s="94" t="s">
        <v>97</v>
      </c>
      <c r="AD33" s="94"/>
      <c r="AE33" s="94"/>
      <c r="AF33" s="94"/>
    </row>
    <row r="34" spans="1:39" ht="15.75">
      <c r="A34" s="97" t="s">
        <v>149</v>
      </c>
      <c r="B34" s="100" t="s">
        <v>150</v>
      </c>
      <c r="C34" s="95" t="s">
        <v>97</v>
      </c>
      <c r="D34" s="95" t="s">
        <v>97</v>
      </c>
      <c r="E34" s="95" t="s">
        <v>97</v>
      </c>
      <c r="F34" s="95" t="s">
        <v>97</v>
      </c>
      <c r="G34" s="95" t="s">
        <v>97</v>
      </c>
      <c r="H34" s="95" t="s">
        <v>97</v>
      </c>
      <c r="I34" s="95" t="s">
        <v>97</v>
      </c>
      <c r="J34" s="95" t="s">
        <v>97</v>
      </c>
      <c r="K34" s="95" t="s">
        <v>97</v>
      </c>
      <c r="L34" s="95" t="s">
        <v>97</v>
      </c>
      <c r="M34" s="95" t="s">
        <v>97</v>
      </c>
      <c r="N34" s="94" t="s">
        <v>97</v>
      </c>
      <c r="O34" s="95" t="s">
        <v>97</v>
      </c>
      <c r="P34" s="96" t="s">
        <v>97</v>
      </c>
      <c r="Q34" s="95" t="s">
        <v>97</v>
      </c>
      <c r="R34" s="94" t="s">
        <v>97</v>
      </c>
      <c r="S34" s="94" t="s">
        <v>51</v>
      </c>
      <c r="T34" s="94"/>
      <c r="U34" s="94" t="s">
        <v>51</v>
      </c>
      <c r="V34" s="94"/>
      <c r="W34" s="94" t="s">
        <v>51</v>
      </c>
      <c r="X34" s="96"/>
      <c r="Y34" s="94" t="s">
        <v>51</v>
      </c>
      <c r="Z34" s="94"/>
      <c r="AA34" s="94" t="s">
        <v>97</v>
      </c>
      <c r="AB34" s="94"/>
      <c r="AC34" s="94" t="s">
        <v>97</v>
      </c>
      <c r="AD34" s="94"/>
      <c r="AE34" s="94"/>
      <c r="AF34" s="94"/>
    </row>
    <row r="35" spans="1:39" ht="15.75">
      <c r="A35" s="97" t="s">
        <v>151</v>
      </c>
      <c r="B35" s="100" t="s">
        <v>152</v>
      </c>
      <c r="C35" s="95"/>
      <c r="D35" s="95"/>
      <c r="E35" s="95"/>
      <c r="F35" s="95"/>
      <c r="G35" s="95"/>
      <c r="H35" s="95"/>
      <c r="I35" s="95"/>
      <c r="J35" s="94"/>
      <c r="K35" s="95"/>
      <c r="L35" s="94"/>
      <c r="M35" s="95"/>
      <c r="N35" s="94"/>
      <c r="O35" s="95"/>
      <c r="P35" s="96"/>
      <c r="Q35" s="95"/>
      <c r="R35" s="94"/>
      <c r="S35" s="94" t="s">
        <v>51</v>
      </c>
      <c r="T35" s="94"/>
      <c r="U35" s="94" t="s">
        <v>97</v>
      </c>
      <c r="V35" s="94"/>
      <c r="W35" s="94"/>
      <c r="X35" s="96"/>
      <c r="Y35" s="94"/>
      <c r="Z35" s="94"/>
      <c r="AA35" s="94" t="s">
        <v>97</v>
      </c>
      <c r="AB35" s="94"/>
      <c r="AC35" s="94" t="s">
        <v>97</v>
      </c>
      <c r="AD35" s="94"/>
      <c r="AE35" s="94"/>
      <c r="AF35" s="94"/>
    </row>
    <row r="36" spans="1:39" ht="15.75">
      <c r="A36" s="97" t="s">
        <v>153</v>
      </c>
      <c r="B36" s="100" t="s">
        <v>154</v>
      </c>
      <c r="C36" s="100"/>
      <c r="D36" s="95"/>
      <c r="E36" s="95"/>
      <c r="F36" s="95"/>
      <c r="G36" s="95"/>
      <c r="H36" s="95"/>
      <c r="I36" s="95"/>
      <c r="J36" s="94"/>
      <c r="K36" s="95"/>
      <c r="L36" s="94"/>
      <c r="M36" s="95"/>
      <c r="N36" s="94"/>
      <c r="O36" s="95"/>
      <c r="P36" s="96"/>
      <c r="Q36" s="95"/>
      <c r="R36" s="94"/>
      <c r="S36" s="94"/>
      <c r="T36" s="94"/>
      <c r="U36" s="94"/>
      <c r="V36" s="94"/>
      <c r="W36" s="94"/>
      <c r="X36" s="96"/>
      <c r="Y36" s="94"/>
      <c r="Z36" s="94"/>
      <c r="AA36" s="94"/>
      <c r="AB36" s="94"/>
      <c r="AC36" s="94"/>
      <c r="AD36" s="94"/>
      <c r="AE36" s="94"/>
      <c r="AF36" s="94"/>
    </row>
    <row r="37" spans="1:39">
      <c r="A37" s="146" t="s">
        <v>100</v>
      </c>
      <c r="B37" s="146"/>
      <c r="C37" s="63">
        <f>COUNTIF(C8:C34,"X")</f>
        <v>16</v>
      </c>
      <c r="D37" s="63">
        <f>AVERAGE(D8:D34)</f>
        <v>100</v>
      </c>
      <c r="E37" s="63">
        <f>COUNTIF(E8:E34,"X")</f>
        <v>5</v>
      </c>
      <c r="F37" s="63">
        <f>AVERAGE(F8:F34)</f>
        <v>100</v>
      </c>
      <c r="G37" s="63">
        <f>COUNTIF(G8:G34,"X")</f>
        <v>18</v>
      </c>
      <c r="H37" s="63">
        <f>AVERAGE(H8:H34)</f>
        <v>99.444444444444443</v>
      </c>
      <c r="I37" s="63">
        <f>COUNTIF(I8:I34,"X")</f>
        <v>7</v>
      </c>
      <c r="J37" s="63">
        <f>AVERAGE(J8:J34)</f>
        <v>96.571428571428569</v>
      </c>
      <c r="K37" s="63">
        <f>COUNTIF(K8:K34,"X")</f>
        <v>3</v>
      </c>
      <c r="L37" s="63">
        <f>AVERAGE(L8:L34)</f>
        <v>100</v>
      </c>
      <c r="M37" s="63">
        <f>COUNTIF(M8:M34,"X")</f>
        <v>19</v>
      </c>
      <c r="N37" s="63">
        <f>AVERAGE(N8:N34)</f>
        <v>100</v>
      </c>
      <c r="O37" s="63">
        <f>COUNTIF(O8:O34,"X")</f>
        <v>18</v>
      </c>
      <c r="P37" s="63">
        <f>AVERAGE(P8:P34)</f>
        <v>99.444444444444443</v>
      </c>
      <c r="Q37" s="63">
        <f>COUNTIF(Q8:Q34,"X")</f>
        <v>18</v>
      </c>
      <c r="R37" s="63">
        <f>AVERAGE(R8:R34)</f>
        <v>99.444444444444443</v>
      </c>
      <c r="S37" s="63">
        <f>COUNTIF(S8:S34,"X")</f>
        <v>14</v>
      </c>
      <c r="T37" s="63" t="e">
        <f>AVERAGE(T8:T34)</f>
        <v>#DIV/0!</v>
      </c>
      <c r="U37" s="63">
        <f>COUNTIF(U8:U34,"X")</f>
        <v>9</v>
      </c>
      <c r="V37" s="63" t="e">
        <f>AVERAGE(V8:V34)</f>
        <v>#DIV/0!</v>
      </c>
      <c r="W37" s="63">
        <f>COUNTIF(W8:W34,"X")</f>
        <v>11</v>
      </c>
      <c r="X37" s="63" t="e">
        <f>AVERAGE(X8:X34)</f>
        <v>#DIV/0!</v>
      </c>
      <c r="Y37" s="63">
        <f>COUNTIF(Y8:Y34,"X")</f>
        <v>17</v>
      </c>
      <c r="Z37" s="63" t="e">
        <f>AVERAGE(Z8:Z34)</f>
        <v>#DIV/0!</v>
      </c>
      <c r="AA37" s="63">
        <f>COUNTIF(AA8:AA34,"X")</f>
        <v>4</v>
      </c>
      <c r="AB37" s="63" t="e">
        <f>AVERAGE(AB8:AB34)</f>
        <v>#DIV/0!</v>
      </c>
      <c r="AC37" s="63">
        <f t="shared" ref="AC37:AF37" si="0">COUNTIF(AC8:AC34,"X")</f>
        <v>3</v>
      </c>
      <c r="AD37" s="63" t="e">
        <f t="shared" ref="AD37:AF37" si="1">AVERAGE(AD8:AD34)</f>
        <v>#DIV/0!</v>
      </c>
      <c r="AE37" s="63">
        <f t="shared" ref="AE37:AF37" si="2">COUNTIF(AE8:AE34,"X")</f>
        <v>0</v>
      </c>
      <c r="AF37" s="63" t="e">
        <f t="shared" ref="AF37" si="3">AVERAGE(AF8:AF34)</f>
        <v>#DIV/0!</v>
      </c>
      <c r="AH37" s="39" t="e">
        <f>AVERAGE(C37+E37+G37+I37+K37+M37+O37+#REF!+Q37+S37+U37+W37+#REF!+Y37+AA37+AC37+AE37)</f>
        <v>#REF!</v>
      </c>
      <c r="AK37">
        <f>+(C37+E37+G37+I37+K37+M37+O37+Q37+S37+U37+W37+Y37+AA37+AC37+AE37)/10</f>
        <v>16.2</v>
      </c>
      <c r="AL37">
        <f>+C37+E37+G37+I37+K37+M37+O37+Q37+S37+U37+W37+Y37+AA37+AC37+AE37</f>
        <v>162</v>
      </c>
    </row>
    <row r="38" spans="1:39">
      <c r="A38" s="147" t="s">
        <v>155</v>
      </c>
      <c r="B38" s="147"/>
      <c r="C38" s="63">
        <f>COUNTIF(C8:C33,"S/C")</f>
        <v>0</v>
      </c>
      <c r="D38" s="63">
        <f>C38</f>
        <v>0</v>
      </c>
      <c r="E38" s="63">
        <f>COUNTIF(E8:E33,"S/C")</f>
        <v>0</v>
      </c>
      <c r="F38" s="63">
        <f>COUNTIF(F8:F33,"&lt;80")</f>
        <v>0</v>
      </c>
      <c r="G38" s="63">
        <f>COUNTIF(G8:G33,"S/C")</f>
        <v>0</v>
      </c>
      <c r="H38" s="63">
        <f>COUNTIF(H8:H33,"&lt;80")</f>
        <v>0</v>
      </c>
      <c r="I38" s="63">
        <f>COUNTIF(I8:I33,"S/C")</f>
        <v>0</v>
      </c>
      <c r="J38" s="63">
        <f>COUNTIF(J8:J33,"&lt;80")</f>
        <v>0</v>
      </c>
      <c r="K38" s="63">
        <f>COUNTIF(K8:K33,"S/C")</f>
        <v>0</v>
      </c>
      <c r="L38" s="63">
        <f>COUNTIF(L8:L33,"&lt;80")</f>
        <v>0</v>
      </c>
      <c r="M38" s="63">
        <f>COUNTIF(M8:M33,"S/C")</f>
        <v>0</v>
      </c>
      <c r="N38" s="63">
        <f>COUNTIF(N8:N33,"&lt;80")</f>
        <v>0</v>
      </c>
      <c r="O38" s="63">
        <f>COUNTIF(O8:O33,"S/C")</f>
        <v>5</v>
      </c>
      <c r="P38" s="63">
        <f>COUNTIF(P8:P33,"&lt;80")</f>
        <v>0</v>
      </c>
      <c r="Q38" s="63">
        <f>COUNTIF(Q8:Q33,"S/C")</f>
        <v>2</v>
      </c>
      <c r="R38" s="63">
        <f>COUNTIF(R8:R33,"&lt;80")</f>
        <v>0</v>
      </c>
      <c r="S38" s="63">
        <f>COUNTIF(S8:S33,"S/C")</f>
        <v>0</v>
      </c>
      <c r="T38" s="63">
        <f>COUNTIF(T8:T33,"&lt;80")</f>
        <v>0</v>
      </c>
      <c r="U38" s="63">
        <f>COUNTIF(U8:U33,"S/C")</f>
        <v>0</v>
      </c>
      <c r="V38" s="63">
        <f>COUNTIF(V8:V33,"&lt;80")</f>
        <v>0</v>
      </c>
      <c r="W38" s="63">
        <f>COUNTIF(W8:W33,"S/C")</f>
        <v>12</v>
      </c>
      <c r="X38" s="63">
        <f>COUNTIF(X8:X33,"&lt;80")</f>
        <v>0</v>
      </c>
      <c r="Y38" s="63">
        <f>COUNTIF(Y8:Y33,"S/C")</f>
        <v>7</v>
      </c>
      <c r="Z38" s="63">
        <f>COUNTIF(Z8:Z33,"&lt;80")</f>
        <v>0</v>
      </c>
      <c r="AA38" s="63">
        <f>COUNTIF(AA8:AA33,"S/C")</f>
        <v>0</v>
      </c>
      <c r="AB38" s="63">
        <f>COUNTIF(AB8:AB33,"&lt;80")</f>
        <v>0</v>
      </c>
      <c r="AC38" s="63">
        <f>COUNTIF(AC8:AC33,"S/C")</f>
        <v>0</v>
      </c>
      <c r="AD38" s="63">
        <f>COUNTIF(AD8:AD33,"&lt;80")</f>
        <v>0</v>
      </c>
      <c r="AE38" s="63">
        <f>COUNTIF(AE8:AE33,"S/C")</f>
        <v>0</v>
      </c>
      <c r="AF38" s="63">
        <f>COUNTIF(AF8:AF33,"&lt;80")</f>
        <v>0</v>
      </c>
      <c r="AH38">
        <f>SUM(C38:AF38)</f>
        <v>26</v>
      </c>
      <c r="AK38" t="s">
        <v>156</v>
      </c>
      <c r="AL38">
        <f>+AL37/14</f>
        <v>11.571428571428571</v>
      </c>
    </row>
    <row r="39" spans="1:39">
      <c r="A39" s="147" t="s">
        <v>102</v>
      </c>
      <c r="B39" s="147"/>
      <c r="C39" s="63">
        <f t="shared" ref="C39:AF39" si="4">COUNTIF(C8:C34,"NA")</f>
        <v>11</v>
      </c>
      <c r="D39" s="63">
        <f t="shared" si="4"/>
        <v>11</v>
      </c>
      <c r="E39" s="63">
        <f t="shared" si="4"/>
        <v>22</v>
      </c>
      <c r="F39" s="63">
        <f t="shared" si="4"/>
        <v>22</v>
      </c>
      <c r="G39" s="63">
        <f t="shared" si="4"/>
        <v>9</v>
      </c>
      <c r="H39" s="63">
        <f t="shared" si="4"/>
        <v>9</v>
      </c>
      <c r="I39" s="63">
        <f t="shared" si="4"/>
        <v>20</v>
      </c>
      <c r="J39" s="63">
        <f t="shared" si="4"/>
        <v>20</v>
      </c>
      <c r="K39" s="63">
        <f t="shared" si="4"/>
        <v>24</v>
      </c>
      <c r="L39" s="63">
        <f t="shared" si="4"/>
        <v>24</v>
      </c>
      <c r="M39" s="63">
        <f t="shared" si="4"/>
        <v>7</v>
      </c>
      <c r="N39" s="63">
        <f t="shared" si="4"/>
        <v>7</v>
      </c>
      <c r="O39" s="63">
        <f t="shared" si="4"/>
        <v>4</v>
      </c>
      <c r="P39" s="63">
        <f t="shared" si="4"/>
        <v>4</v>
      </c>
      <c r="Q39" s="63">
        <f t="shared" si="4"/>
        <v>7</v>
      </c>
      <c r="R39" s="63">
        <f t="shared" si="4"/>
        <v>7</v>
      </c>
      <c r="S39" s="63">
        <f t="shared" si="4"/>
        <v>13</v>
      </c>
      <c r="T39" s="63">
        <f t="shared" si="4"/>
        <v>0</v>
      </c>
      <c r="U39" s="63">
        <f t="shared" si="4"/>
        <v>18</v>
      </c>
      <c r="V39" s="63">
        <f t="shared" si="4"/>
        <v>0</v>
      </c>
      <c r="W39" s="63">
        <f t="shared" si="4"/>
        <v>4</v>
      </c>
      <c r="X39" s="63">
        <f t="shared" si="4"/>
        <v>0</v>
      </c>
      <c r="Y39" s="63">
        <f t="shared" si="4"/>
        <v>3</v>
      </c>
      <c r="Z39" s="63">
        <f t="shared" si="4"/>
        <v>0</v>
      </c>
      <c r="AA39" s="63">
        <f t="shared" si="4"/>
        <v>23</v>
      </c>
      <c r="AB39" s="63">
        <f t="shared" si="4"/>
        <v>0</v>
      </c>
      <c r="AC39" s="63">
        <f t="shared" si="4"/>
        <v>24</v>
      </c>
      <c r="AD39" s="63">
        <f t="shared" si="4"/>
        <v>0</v>
      </c>
      <c r="AE39" s="63">
        <f t="shared" si="4"/>
        <v>0</v>
      </c>
      <c r="AF39" s="63">
        <f t="shared" si="4"/>
        <v>0</v>
      </c>
      <c r="AK39" t="s">
        <v>157</v>
      </c>
      <c r="AL39">
        <f>(+C40+E40+G40+I40+K40+M40+O40+Q40+S40+U40+W40+Y40+AA40+AC40)</f>
        <v>21</v>
      </c>
      <c r="AM39">
        <f>+AL39/10</f>
        <v>2.1</v>
      </c>
    </row>
    <row r="40" spans="1:39" ht="27.75" customHeight="1">
      <c r="A40" s="148" t="s">
        <v>158</v>
      </c>
      <c r="B40" s="148"/>
      <c r="C40" s="63">
        <v>1</v>
      </c>
      <c r="D40" s="63"/>
      <c r="E40" s="63">
        <v>1</v>
      </c>
      <c r="F40" s="63"/>
      <c r="G40" s="63">
        <v>1</v>
      </c>
      <c r="H40" s="63"/>
      <c r="I40" s="63">
        <v>1</v>
      </c>
      <c r="J40" s="63"/>
      <c r="K40" s="63">
        <v>1</v>
      </c>
      <c r="L40" s="63"/>
      <c r="M40" s="63">
        <v>1</v>
      </c>
      <c r="N40" s="63"/>
      <c r="O40" s="63">
        <v>1</v>
      </c>
      <c r="P40" s="63"/>
      <c r="Q40" s="63">
        <v>1</v>
      </c>
      <c r="R40" s="63"/>
      <c r="S40" s="63">
        <v>8</v>
      </c>
      <c r="T40" s="63"/>
      <c r="U40" s="63">
        <v>1</v>
      </c>
      <c r="V40" s="63"/>
      <c r="W40" s="63">
        <v>1</v>
      </c>
      <c r="X40" s="63"/>
      <c r="Y40" s="63">
        <v>1</v>
      </c>
      <c r="Z40" s="63"/>
      <c r="AA40" s="63">
        <v>1</v>
      </c>
      <c r="AB40" s="63"/>
      <c r="AC40" s="63">
        <v>1</v>
      </c>
      <c r="AD40" s="63"/>
      <c r="AE40" s="63"/>
      <c r="AF40" s="63"/>
      <c r="AH40" s="42">
        <f>SUM(C40:AF40)</f>
        <v>21</v>
      </c>
      <c r="AK40" s="80" t="s">
        <v>159</v>
      </c>
      <c r="AL40" s="82">
        <f>+AL39/AL38</f>
        <v>1.8148148148148149</v>
      </c>
    </row>
    <row r="41" spans="1:39">
      <c r="A41" s="65"/>
      <c r="B41" s="65" t="s">
        <v>103</v>
      </c>
      <c r="C41" s="48">
        <f>C37/(SUM(C37:C39)-C39)*100</f>
        <v>100</v>
      </c>
      <c r="D41" s="48"/>
      <c r="E41" s="48">
        <f>E37/(SUM(E37:E39)-E39)*100</f>
        <v>100</v>
      </c>
      <c r="F41" s="48"/>
      <c r="G41" s="48">
        <f>G37/(SUM(G37:G39)-G39)*100</f>
        <v>100</v>
      </c>
      <c r="H41" s="48"/>
      <c r="I41" s="48">
        <f>I37/(SUM(I37:I39)-I39)*100</f>
        <v>100</v>
      </c>
      <c r="J41" s="48"/>
      <c r="K41" s="48">
        <f>K37/(SUM(K37:K39)-K39)*100</f>
        <v>100</v>
      </c>
      <c r="L41" s="48"/>
      <c r="M41" s="48">
        <f>M37/(SUM(M37:M39)-M39)*100</f>
        <v>100</v>
      </c>
      <c r="N41" s="48"/>
      <c r="O41" s="48">
        <f>O37/(SUM(O37:O39)-O39)*100</f>
        <v>78.260869565217391</v>
      </c>
      <c r="P41" s="48"/>
      <c r="Q41" s="48">
        <f>Q37/(SUM(Q37:Q39)-Q39)*100</f>
        <v>90</v>
      </c>
      <c r="R41" s="48"/>
      <c r="S41" s="48">
        <f>S37/(SUM(S37:S39)-S39)*100</f>
        <v>100</v>
      </c>
      <c r="T41" s="48"/>
      <c r="U41" s="48">
        <f>U37/(SUM(U37:U39)-U39)*100</f>
        <v>100</v>
      </c>
      <c r="V41" s="48"/>
      <c r="W41" s="48">
        <f>W37/(SUM(W37:W39)-W39)*100</f>
        <v>47.826086956521742</v>
      </c>
      <c r="X41" s="48"/>
      <c r="Y41" s="48">
        <f>Y37/(SUM(Y37:Y39)-Y39)*100</f>
        <v>70.833333333333343</v>
      </c>
      <c r="Z41" s="48"/>
      <c r="AA41" s="48">
        <f>AA37/(SUM(AA37:AA39)-AA39)*100</f>
        <v>100</v>
      </c>
      <c r="AB41" s="48"/>
      <c r="AC41" s="48">
        <f>AC37/(SUM(AC37:AC39)-AC39)*100</f>
        <v>100</v>
      </c>
      <c r="AD41" s="48"/>
      <c r="AE41" s="48" t="e">
        <f>AE37/(SUM(AE37:AE39)-AE39)*100</f>
        <v>#DIV/0!</v>
      </c>
      <c r="AF41" s="48"/>
      <c r="AH41" s="39" t="e">
        <f>AVERAGE(C41:AF41)</f>
        <v>#DIV/0!</v>
      </c>
      <c r="AJ41" s="43" t="e">
        <f>AVERAGE(D37+F37+H37+J37+L37+N37+P37+#REF!+R37+T37+V37+X37+#REF!+Z37+AB37+AD37+AF37)</f>
        <v>#REF!</v>
      </c>
      <c r="AK41" s="81" t="s">
        <v>160</v>
      </c>
      <c r="AL41" s="102">
        <f>AVERAGE(C41:AD41)</f>
        <v>91.922877846790897</v>
      </c>
      <c r="AM41" s="103">
        <f>AVERAGE(AL41:AL42)</f>
        <v>95.642986542443069</v>
      </c>
    </row>
    <row r="42" spans="1:39">
      <c r="A42" s="49"/>
      <c r="B42" s="65" t="s">
        <v>161</v>
      </c>
      <c r="C42" s="48"/>
      <c r="D42" s="48">
        <f>+D37</f>
        <v>100</v>
      </c>
      <c r="E42" s="48"/>
      <c r="F42" s="48">
        <f>+F37</f>
        <v>100</v>
      </c>
      <c r="G42" s="48"/>
      <c r="H42" s="48">
        <f>+H37</f>
        <v>99.444444444444443</v>
      </c>
      <c r="I42" s="48"/>
      <c r="J42" s="48">
        <f>+J37</f>
        <v>96.571428571428569</v>
      </c>
      <c r="K42" s="48"/>
      <c r="L42" s="48">
        <f>+L37</f>
        <v>100</v>
      </c>
      <c r="M42" s="48"/>
      <c r="N42" s="48">
        <f>+N37</f>
        <v>100</v>
      </c>
      <c r="O42" s="48"/>
      <c r="P42" s="48">
        <f>+P37</f>
        <v>99.444444444444443</v>
      </c>
      <c r="Q42" s="48"/>
      <c r="R42" s="48">
        <f>+R37</f>
        <v>99.444444444444443</v>
      </c>
      <c r="S42" s="48"/>
      <c r="T42" s="48" t="e">
        <f>+T37</f>
        <v>#DIV/0!</v>
      </c>
      <c r="U42" s="48"/>
      <c r="V42" s="48" t="e">
        <f>+V37</f>
        <v>#DIV/0!</v>
      </c>
      <c r="W42" s="48"/>
      <c r="X42" s="48" t="e">
        <f>+X37</f>
        <v>#DIV/0!</v>
      </c>
      <c r="Y42" s="48"/>
      <c r="Z42" s="48" t="e">
        <f>+Z37</f>
        <v>#DIV/0!</v>
      </c>
      <c r="AA42" s="48"/>
      <c r="AB42" s="48" t="e">
        <f>+AB37</f>
        <v>#DIV/0!</v>
      </c>
      <c r="AC42" s="48"/>
      <c r="AD42" s="48" t="e">
        <f>+AD37</f>
        <v>#DIV/0!</v>
      </c>
      <c r="AE42" s="48"/>
      <c r="AF42" s="48" t="e">
        <f>+AF37</f>
        <v>#DIV/0!</v>
      </c>
      <c r="AK42" s="81" t="s">
        <v>162</v>
      </c>
      <c r="AL42" s="104">
        <f>AVERAGE(C42:R42)</f>
        <v>99.363095238095241</v>
      </c>
      <c r="AM42" s="40"/>
    </row>
    <row r="43" spans="1:39">
      <c r="A43" s="49"/>
      <c r="B43" s="60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</row>
    <row r="44" spans="1:39">
      <c r="A44" s="49"/>
      <c r="B44" s="60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H44">
        <v>94.11</v>
      </c>
    </row>
    <row r="45" spans="1:39">
      <c r="A45" s="49"/>
      <c r="B45" s="60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</row>
    <row r="46" spans="1:39">
      <c r="A46" s="49"/>
      <c r="B46" s="60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</row>
    <row r="47" spans="1:39">
      <c r="A47" s="78" t="s">
        <v>163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</row>
    <row r="48" spans="1:39">
      <c r="A48" s="66" t="s">
        <v>164</v>
      </c>
      <c r="B48" s="67" t="s">
        <v>165</v>
      </c>
      <c r="C48" s="151" t="s">
        <v>166</v>
      </c>
      <c r="D48" s="152"/>
      <c r="E48" s="152"/>
      <c r="F48" s="152"/>
      <c r="G48" s="152"/>
      <c r="H48" s="152"/>
      <c r="I48" s="152"/>
      <c r="J48" s="153"/>
      <c r="K48" s="141" t="s">
        <v>167</v>
      </c>
      <c r="L48" s="142"/>
      <c r="M48" s="142"/>
      <c r="N48" s="142"/>
      <c r="O48" s="142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</row>
    <row r="49" spans="1:32">
      <c r="A49" s="52" t="s">
        <v>124</v>
      </c>
      <c r="B49" s="55" t="s">
        <v>168</v>
      </c>
      <c r="C49" s="143" t="s">
        <v>110</v>
      </c>
      <c r="D49" s="144"/>
      <c r="E49" s="144"/>
      <c r="F49" s="144"/>
      <c r="G49" s="144"/>
      <c r="H49" s="144"/>
      <c r="I49" s="144"/>
      <c r="J49" s="145"/>
      <c r="K49" s="149">
        <v>45919</v>
      </c>
      <c r="L49" s="150"/>
      <c r="M49" s="150"/>
      <c r="N49" s="150"/>
      <c r="O49" s="150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</row>
    <row r="50" spans="1:32">
      <c r="A50" s="52" t="s">
        <v>169</v>
      </c>
      <c r="B50" s="55" t="s">
        <v>168</v>
      </c>
      <c r="C50" s="143" t="s">
        <v>170</v>
      </c>
      <c r="D50" s="144"/>
      <c r="E50" s="144"/>
      <c r="F50" s="144"/>
      <c r="G50" s="144"/>
      <c r="H50" s="144"/>
      <c r="I50" s="144"/>
      <c r="J50" s="145"/>
      <c r="K50" s="149">
        <v>45947</v>
      </c>
      <c r="L50" s="150"/>
      <c r="M50" s="150"/>
      <c r="N50" s="150"/>
      <c r="O50" s="150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</row>
    <row r="51" spans="1:32">
      <c r="A51" s="52" t="s">
        <v>124</v>
      </c>
      <c r="B51" s="55" t="s">
        <v>168</v>
      </c>
      <c r="C51" s="143" t="s">
        <v>170</v>
      </c>
      <c r="D51" s="144"/>
      <c r="E51" s="144"/>
      <c r="F51" s="144"/>
      <c r="G51" s="144"/>
      <c r="H51" s="144"/>
      <c r="I51" s="144"/>
      <c r="J51" s="145"/>
      <c r="K51" s="149">
        <v>45947</v>
      </c>
      <c r="L51" s="150"/>
      <c r="M51" s="150"/>
      <c r="N51" s="150"/>
      <c r="O51" s="150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</row>
    <row r="52" spans="1:32">
      <c r="A52" s="52" t="s">
        <v>171</v>
      </c>
      <c r="B52" s="55" t="s">
        <v>135</v>
      </c>
      <c r="C52" s="143" t="s">
        <v>170</v>
      </c>
      <c r="D52" s="144"/>
      <c r="E52" s="144"/>
      <c r="F52" s="144"/>
      <c r="G52" s="144"/>
      <c r="H52" s="144"/>
      <c r="I52" s="144"/>
      <c r="J52" s="145"/>
      <c r="K52" s="149">
        <v>45947</v>
      </c>
      <c r="L52" s="150"/>
      <c r="M52" s="150"/>
      <c r="N52" s="150"/>
      <c r="O52" s="150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</row>
    <row r="53" spans="1:32">
      <c r="A53" s="52" t="s">
        <v>172</v>
      </c>
      <c r="B53" s="55" t="s">
        <v>135</v>
      </c>
      <c r="C53" s="143" t="s">
        <v>170</v>
      </c>
      <c r="D53" s="144"/>
      <c r="E53" s="144"/>
      <c r="F53" s="144"/>
      <c r="G53" s="144"/>
      <c r="H53" s="144"/>
      <c r="I53" s="144"/>
      <c r="J53" s="145"/>
      <c r="K53" s="149">
        <v>45947</v>
      </c>
      <c r="L53" s="150"/>
      <c r="M53" s="150"/>
      <c r="N53" s="150"/>
      <c r="O53" s="150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</row>
    <row r="54" spans="1:32">
      <c r="A54" s="52" t="s">
        <v>72</v>
      </c>
      <c r="B54" s="55" t="s">
        <v>138</v>
      </c>
      <c r="C54" s="143" t="s">
        <v>170</v>
      </c>
      <c r="D54" s="144"/>
      <c r="E54" s="144"/>
      <c r="F54" s="144"/>
      <c r="G54" s="144"/>
      <c r="H54" s="144"/>
      <c r="I54" s="144"/>
      <c r="J54" s="145"/>
      <c r="K54" s="149">
        <v>45947</v>
      </c>
      <c r="L54" s="150"/>
      <c r="M54" s="150"/>
      <c r="N54" s="150"/>
      <c r="O54" s="150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</row>
    <row r="55" spans="1:32">
      <c r="A55" s="52"/>
      <c r="B55" s="55"/>
      <c r="C55" s="143"/>
      <c r="D55" s="144"/>
      <c r="E55" s="144"/>
      <c r="F55" s="144"/>
      <c r="G55" s="144"/>
      <c r="H55" s="144"/>
      <c r="I55" s="144"/>
      <c r="J55" s="145"/>
      <c r="K55" s="150"/>
      <c r="L55" s="150"/>
      <c r="M55" s="150"/>
      <c r="N55" s="150"/>
      <c r="O55" s="150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</row>
    <row r="56" spans="1:32">
      <c r="A56" s="52"/>
      <c r="B56" s="55"/>
      <c r="C56" s="143"/>
      <c r="D56" s="144"/>
      <c r="E56" s="144"/>
      <c r="F56" s="144"/>
      <c r="G56" s="144"/>
      <c r="H56" s="144"/>
      <c r="I56" s="144"/>
      <c r="J56" s="145"/>
      <c r="K56" s="150"/>
      <c r="L56" s="150"/>
      <c r="M56" s="150"/>
      <c r="N56" s="150"/>
      <c r="O56" s="150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</row>
    <row r="57" spans="1:32">
      <c r="A57" s="52"/>
      <c r="B57" s="55"/>
      <c r="C57" s="143"/>
      <c r="D57" s="144"/>
      <c r="E57" s="144"/>
      <c r="F57" s="144"/>
      <c r="G57" s="144"/>
      <c r="H57" s="144"/>
      <c r="I57" s="144"/>
      <c r="J57" s="145"/>
      <c r="K57" s="150"/>
      <c r="L57" s="150"/>
      <c r="M57" s="150"/>
      <c r="N57" s="150"/>
      <c r="O57" s="150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</row>
    <row r="58" spans="1:32">
      <c r="A58" s="52"/>
      <c r="B58" s="55"/>
      <c r="C58" s="143"/>
      <c r="D58" s="144"/>
      <c r="E58" s="144"/>
      <c r="F58" s="144"/>
      <c r="G58" s="144"/>
      <c r="H58" s="144"/>
      <c r="I58" s="144"/>
      <c r="J58" s="145"/>
      <c r="K58" s="150"/>
      <c r="L58" s="150"/>
      <c r="M58" s="150"/>
      <c r="N58" s="150"/>
      <c r="O58" s="150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</row>
    <row r="59" spans="1:32">
      <c r="A59" s="52"/>
      <c r="B59" s="55"/>
      <c r="C59" s="143"/>
      <c r="D59" s="144"/>
      <c r="E59" s="144"/>
      <c r="F59" s="144"/>
      <c r="G59" s="144"/>
      <c r="H59" s="144"/>
      <c r="I59" s="144"/>
      <c r="J59" s="145"/>
      <c r="K59" s="150"/>
      <c r="L59" s="150"/>
      <c r="M59" s="150"/>
      <c r="N59" s="150"/>
      <c r="O59" s="150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</row>
    <row r="60" spans="1:32">
      <c r="A60" s="52"/>
      <c r="B60" s="55"/>
      <c r="C60" s="143"/>
      <c r="D60" s="144"/>
      <c r="E60" s="144"/>
      <c r="F60" s="144"/>
      <c r="G60" s="144"/>
      <c r="H60" s="144"/>
      <c r="I60" s="144"/>
      <c r="J60" s="145"/>
      <c r="K60" s="150"/>
      <c r="L60" s="150"/>
      <c r="M60" s="150"/>
      <c r="N60" s="150"/>
      <c r="O60" s="150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</row>
    <row r="61" spans="1:32">
      <c r="A61" s="52"/>
      <c r="B61" s="55"/>
      <c r="C61" s="143"/>
      <c r="D61" s="144"/>
      <c r="E61" s="144"/>
      <c r="F61" s="144"/>
      <c r="G61" s="144"/>
      <c r="H61" s="144"/>
      <c r="I61" s="144"/>
      <c r="J61" s="145"/>
      <c r="K61" s="150"/>
      <c r="L61" s="150"/>
      <c r="M61" s="150"/>
      <c r="N61" s="150"/>
      <c r="O61" s="150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</row>
    <row r="62" spans="1:32">
      <c r="A62" s="52"/>
      <c r="B62" s="55"/>
      <c r="C62" s="143"/>
      <c r="D62" s="144"/>
      <c r="E62" s="144"/>
      <c r="F62" s="144"/>
      <c r="G62" s="144"/>
      <c r="H62" s="144"/>
      <c r="I62" s="144"/>
      <c r="J62" s="145"/>
      <c r="K62" s="150"/>
      <c r="L62" s="150"/>
      <c r="M62" s="150"/>
      <c r="N62" s="150"/>
      <c r="O62" s="150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</row>
    <row r="63" spans="1:32">
      <c r="A63" s="52"/>
      <c r="B63" s="55"/>
      <c r="C63" s="143"/>
      <c r="D63" s="144"/>
      <c r="E63" s="144"/>
      <c r="F63" s="144"/>
      <c r="G63" s="144"/>
      <c r="H63" s="144"/>
      <c r="I63" s="144"/>
      <c r="J63" s="145"/>
      <c r="K63" s="150"/>
      <c r="L63" s="150"/>
      <c r="M63" s="150"/>
      <c r="N63" s="150"/>
      <c r="O63" s="150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</row>
    <row r="64" spans="1:32">
      <c r="A64" s="52"/>
      <c r="B64" s="55"/>
      <c r="C64" s="143"/>
      <c r="D64" s="144"/>
      <c r="E64" s="144"/>
      <c r="F64" s="144"/>
      <c r="G64" s="144"/>
      <c r="H64" s="144"/>
      <c r="I64" s="144"/>
      <c r="J64" s="145"/>
      <c r="K64" s="150"/>
      <c r="L64" s="150"/>
      <c r="M64" s="150"/>
      <c r="N64" s="150"/>
      <c r="O64" s="150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</row>
    <row r="65" spans="1:32">
      <c r="A65" s="52"/>
      <c r="B65" s="55"/>
      <c r="C65" s="143"/>
      <c r="D65" s="144"/>
      <c r="E65" s="144"/>
      <c r="F65" s="144"/>
      <c r="G65" s="144"/>
      <c r="H65" s="144"/>
      <c r="I65" s="144"/>
      <c r="J65" s="145"/>
      <c r="K65" s="150"/>
      <c r="L65" s="150"/>
      <c r="M65" s="150"/>
      <c r="N65" s="150"/>
      <c r="O65" s="150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</row>
    <row r="66" spans="1:32">
      <c r="A66" s="52"/>
      <c r="B66" s="55"/>
      <c r="C66" s="143"/>
      <c r="D66" s="144"/>
      <c r="E66" s="144"/>
      <c r="F66" s="144"/>
      <c r="G66" s="144"/>
      <c r="H66" s="144"/>
      <c r="I66" s="144"/>
      <c r="J66" s="145"/>
      <c r="K66" s="150"/>
      <c r="L66" s="150"/>
      <c r="M66" s="150"/>
      <c r="N66" s="150"/>
      <c r="O66" s="150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</row>
    <row r="67" spans="1:32">
      <c r="A67" s="52"/>
      <c r="B67" s="55"/>
      <c r="C67" s="143"/>
      <c r="D67" s="144"/>
      <c r="E67" s="144"/>
      <c r="F67" s="144"/>
      <c r="G67" s="144"/>
      <c r="H67" s="144"/>
      <c r="I67" s="144"/>
      <c r="J67" s="145"/>
      <c r="K67" s="150"/>
      <c r="L67" s="150"/>
      <c r="M67" s="150"/>
      <c r="N67" s="150"/>
      <c r="O67" s="150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</row>
    <row r="68" spans="1:32">
      <c r="A68" s="52"/>
      <c r="B68" s="55"/>
      <c r="C68" s="143"/>
      <c r="D68" s="144"/>
      <c r="E68" s="144"/>
      <c r="F68" s="144"/>
      <c r="G68" s="144"/>
      <c r="H68" s="144"/>
      <c r="I68" s="144"/>
      <c r="J68" s="145"/>
      <c r="K68" s="150"/>
      <c r="L68" s="150"/>
      <c r="M68" s="150"/>
      <c r="N68" s="150"/>
      <c r="O68" s="150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</row>
    <row r="69" spans="1:32">
      <c r="A69" s="52"/>
      <c r="B69" s="55"/>
      <c r="C69" s="143"/>
      <c r="D69" s="144"/>
      <c r="E69" s="144"/>
      <c r="F69" s="144"/>
      <c r="G69" s="144"/>
      <c r="H69" s="144"/>
      <c r="I69" s="144"/>
      <c r="J69" s="145"/>
      <c r="K69" s="150"/>
      <c r="L69" s="150"/>
      <c r="M69" s="150"/>
      <c r="N69" s="150"/>
      <c r="O69" s="150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</row>
    <row r="70" spans="1:32">
      <c r="A70" s="52"/>
      <c r="B70" s="55"/>
      <c r="C70" s="143"/>
      <c r="D70" s="144"/>
      <c r="E70" s="144"/>
      <c r="F70" s="144"/>
      <c r="G70" s="144"/>
      <c r="H70" s="144"/>
      <c r="I70" s="144"/>
      <c r="J70" s="145"/>
      <c r="K70" s="150"/>
      <c r="L70" s="150"/>
      <c r="M70" s="150"/>
      <c r="N70" s="150"/>
      <c r="O70" s="150"/>
    </row>
    <row r="71" spans="1:32">
      <c r="A71" s="52"/>
      <c r="B71" s="55"/>
      <c r="C71" s="143"/>
      <c r="D71" s="144"/>
      <c r="E71" s="144"/>
      <c r="F71" s="144"/>
      <c r="G71" s="144"/>
      <c r="H71" s="144"/>
      <c r="I71" s="144"/>
      <c r="J71" s="145"/>
      <c r="K71" s="150"/>
      <c r="L71" s="150"/>
      <c r="M71" s="150"/>
      <c r="N71" s="150"/>
      <c r="O71" s="150"/>
    </row>
    <row r="72" spans="1:32">
      <c r="A72" s="49"/>
      <c r="B72" s="60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</row>
  </sheetData>
  <autoFilter ref="A7:AF7" xr:uid="{00000000-0009-0000-0000-000001000000}">
    <sortState xmlns:xlrd2="http://schemas.microsoft.com/office/spreadsheetml/2017/richdata2" ref="A8:AF34">
      <sortCondition ref="D7"/>
    </sortState>
  </autoFilter>
  <mergeCells count="54">
    <mergeCell ref="K71:O71"/>
    <mergeCell ref="K64:O64"/>
    <mergeCell ref="K65:O65"/>
    <mergeCell ref="K66:O66"/>
    <mergeCell ref="K67:O67"/>
    <mergeCell ref="K68:O68"/>
    <mergeCell ref="K61:O61"/>
    <mergeCell ref="K62:O62"/>
    <mergeCell ref="K63:O63"/>
    <mergeCell ref="K69:O69"/>
    <mergeCell ref="K70:O70"/>
    <mergeCell ref="K56:O56"/>
    <mergeCell ref="K57:O57"/>
    <mergeCell ref="K58:O58"/>
    <mergeCell ref="K59:O59"/>
    <mergeCell ref="K60:O60"/>
    <mergeCell ref="C68:J68"/>
    <mergeCell ref="C69:J69"/>
    <mergeCell ref="C70:J70"/>
    <mergeCell ref="C71:J71"/>
    <mergeCell ref="C48:J48"/>
    <mergeCell ref="C63:J63"/>
    <mergeCell ref="C64:J64"/>
    <mergeCell ref="C65:J65"/>
    <mergeCell ref="C66:J66"/>
    <mergeCell ref="C67:J67"/>
    <mergeCell ref="C58:J58"/>
    <mergeCell ref="C59:J59"/>
    <mergeCell ref="C60:J60"/>
    <mergeCell ref="C61:J61"/>
    <mergeCell ref="C62:J62"/>
    <mergeCell ref="C53:J53"/>
    <mergeCell ref="C56:J56"/>
    <mergeCell ref="C57:J57"/>
    <mergeCell ref="C49:J49"/>
    <mergeCell ref="C50:J50"/>
    <mergeCell ref="C51:J51"/>
    <mergeCell ref="C52:J52"/>
    <mergeCell ref="A6:B6"/>
    <mergeCell ref="C6:AF6"/>
    <mergeCell ref="K48:O48"/>
    <mergeCell ref="C54:J54"/>
    <mergeCell ref="C55:J55"/>
    <mergeCell ref="A37:B37"/>
    <mergeCell ref="A38:B38"/>
    <mergeCell ref="A39:B39"/>
    <mergeCell ref="A40:B40"/>
    <mergeCell ref="K49:O49"/>
    <mergeCell ref="K50:O50"/>
    <mergeCell ref="K51:O51"/>
    <mergeCell ref="K52:O52"/>
    <mergeCell ref="K53:O53"/>
    <mergeCell ref="K54:O54"/>
    <mergeCell ref="K55:O55"/>
  </mergeCells>
  <pageMargins left="0.27559055118110237" right="0.27559055118110237" top="0.2265625" bottom="0.75" header="0.23622047244094491" footer="0.31496062992125984"/>
  <pageSetup scale="72" orientation="landscape" r:id="rId1"/>
  <headerFooter>
    <oddFooter>&amp;R&amp;"Abadi Extra Light,Normal"
RHF19 - Tercera - 01/03/2024                   Página &amp;P de &amp;N</oddFooter>
  </headerFooter>
  <rowBreaks count="1" manualBreakCount="1">
    <brk id="42" max="33" man="1"/>
  </rowBreaks>
  <drawing r:id="rId2"/>
  <legacyDrawing r:id="rId3"/>
  <oleObjects>
    <mc:AlternateContent xmlns:mc="http://schemas.openxmlformats.org/markup-compatibility/2006">
      <mc:Choice Requires="x14">
        <oleObject progId="PBrush" shapeId="6180" r:id="rId4">
          <objectPr defaultSize="0" autoPict="0" r:id="rId5">
            <anchor moveWithCells="1" sizeWithCells="1">
              <from>
                <xdr:col>27</xdr:col>
                <xdr:colOff>276225</xdr:colOff>
                <xdr:row>0</xdr:row>
                <xdr:rowOff>114300</xdr:rowOff>
              </from>
              <to>
                <xdr:col>31</xdr:col>
                <xdr:colOff>457200</xdr:colOff>
                <xdr:row>3</xdr:row>
                <xdr:rowOff>95250</xdr:rowOff>
              </to>
            </anchor>
          </objectPr>
        </oleObject>
      </mc:Choice>
      <mc:Fallback>
        <oleObject progId="PBrush" shapeId="6180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522E-0A41-41ED-8011-7C1DAF0B5D90}">
  <dimension ref="A1:AM82"/>
  <sheetViews>
    <sheetView zoomScaleNormal="100" workbookViewId="0">
      <pane xSplit="13" ySplit="2" topLeftCell="N3" activePane="bottomRight" state="frozen"/>
      <selection pane="bottomRight" activeCell="N43" sqref="N43"/>
      <selection pane="bottomLeft"/>
      <selection pane="topRight"/>
    </sheetView>
  </sheetViews>
  <sheetFormatPr defaultColWidth="11.42578125" defaultRowHeight="16.5"/>
  <cols>
    <col min="1" max="1" width="27.28515625" style="107" customWidth="1"/>
    <col min="2" max="2" width="37.7109375" style="130" customWidth="1"/>
    <col min="3" max="3" width="4.7109375" style="107" customWidth="1"/>
    <col min="4" max="9" width="3.7109375" style="107" customWidth="1"/>
    <col min="10" max="10" width="4.140625" style="107" customWidth="1"/>
    <col min="11" max="11" width="3.7109375" style="107" customWidth="1"/>
    <col min="12" max="12" width="4.140625" style="107" customWidth="1"/>
    <col min="13" max="22" width="3.7109375" style="107" customWidth="1"/>
    <col min="23" max="23" width="4.140625" style="107" customWidth="1"/>
    <col min="24" max="24" width="4.28515625" style="107" customWidth="1"/>
    <col min="25" max="25" width="3.7109375" style="107" customWidth="1"/>
    <col min="26" max="26" width="8" style="107" bestFit="1" customWidth="1"/>
    <col min="27" max="27" width="3.7109375" style="107" customWidth="1"/>
    <col min="28" max="28" width="6.42578125" style="107" customWidth="1"/>
    <col min="29" max="29" width="3.7109375" style="107" customWidth="1"/>
    <col min="30" max="30" width="6.28515625" style="107" customWidth="1"/>
    <col min="31" max="31" width="3.7109375" style="107" customWidth="1"/>
    <col min="32" max="32" width="6.7109375" style="107" customWidth="1"/>
    <col min="33" max="33" width="4" style="107" customWidth="1"/>
    <col min="34" max="36" width="0" style="107" hidden="1" customWidth="1"/>
    <col min="37" max="37" width="23.28515625" style="107" bestFit="1" customWidth="1"/>
    <col min="38" max="16384" width="11.42578125" style="107"/>
  </cols>
  <sheetData>
    <row r="1" spans="1:33">
      <c r="A1" s="105"/>
      <c r="B1" s="106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</row>
    <row r="2" spans="1:33">
      <c r="A2" s="105"/>
      <c r="B2" s="106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</row>
    <row r="3" spans="1:33">
      <c r="A3" s="105"/>
      <c r="B3" s="106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</row>
    <row r="4" spans="1:33" ht="25.5">
      <c r="A4" s="108" t="s">
        <v>104</v>
      </c>
      <c r="B4" s="106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</row>
    <row r="5" spans="1:33">
      <c r="A5" s="105"/>
      <c r="B5" s="106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</row>
    <row r="6" spans="1:33">
      <c r="A6" s="139" t="s">
        <v>0</v>
      </c>
      <c r="B6" s="139"/>
      <c r="C6" s="140" t="s">
        <v>173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</row>
    <row r="7" spans="1:33" ht="90.75" customHeight="1">
      <c r="A7" s="88" t="s">
        <v>4</v>
      </c>
      <c r="B7" s="89" t="s">
        <v>5</v>
      </c>
      <c r="C7" s="90"/>
      <c r="D7" s="90" t="s">
        <v>106</v>
      </c>
      <c r="E7" s="91"/>
      <c r="F7" s="91" t="s">
        <v>108</v>
      </c>
      <c r="G7" s="90"/>
      <c r="H7" s="90" t="s">
        <v>106</v>
      </c>
      <c r="I7" s="91"/>
      <c r="J7" s="91" t="s">
        <v>108</v>
      </c>
      <c r="K7" s="91"/>
      <c r="L7" s="90" t="s">
        <v>106</v>
      </c>
      <c r="M7" s="90"/>
      <c r="N7" s="91" t="s">
        <v>106</v>
      </c>
      <c r="O7" s="90"/>
      <c r="P7" s="90" t="s">
        <v>108</v>
      </c>
      <c r="Q7" s="91"/>
      <c r="R7" s="91" t="s">
        <v>108</v>
      </c>
      <c r="S7" s="90"/>
      <c r="T7" s="90" t="s">
        <v>106</v>
      </c>
      <c r="U7" s="91"/>
      <c r="V7" s="91" t="s">
        <v>108</v>
      </c>
      <c r="W7" s="90"/>
      <c r="X7" s="90" t="s">
        <v>106</v>
      </c>
      <c r="Y7" s="90"/>
      <c r="Z7" s="90" t="s">
        <v>106</v>
      </c>
      <c r="AA7" s="91"/>
      <c r="AB7" s="91" t="s">
        <v>108</v>
      </c>
      <c r="AC7" s="90"/>
      <c r="AD7" s="90" t="s">
        <v>106</v>
      </c>
      <c r="AE7" s="91"/>
      <c r="AF7" s="91" t="s">
        <v>108</v>
      </c>
    </row>
    <row r="8" spans="1:33">
      <c r="A8" s="109" t="s">
        <v>120</v>
      </c>
      <c r="B8" s="93" t="s">
        <v>121</v>
      </c>
      <c r="C8" s="131"/>
      <c r="D8" s="132"/>
      <c r="E8" s="132"/>
      <c r="F8" s="132"/>
      <c r="G8" s="132"/>
      <c r="H8" s="132"/>
      <c r="I8" s="132"/>
      <c r="J8" s="132"/>
      <c r="K8" s="132"/>
      <c r="L8" s="133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</row>
    <row r="9" spans="1:33" ht="24">
      <c r="A9" s="110" t="s">
        <v>122</v>
      </c>
      <c r="B9" s="98" t="s">
        <v>123</v>
      </c>
      <c r="C9" s="131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</row>
    <row r="10" spans="1:33" ht="24">
      <c r="A10" s="110" t="s">
        <v>124</v>
      </c>
      <c r="B10" s="98" t="s">
        <v>123</v>
      </c>
      <c r="C10" s="131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</row>
    <row r="11" spans="1:33" ht="15" customHeight="1">
      <c r="A11" s="110" t="s">
        <v>126</v>
      </c>
      <c r="B11" s="98" t="s">
        <v>127</v>
      </c>
      <c r="C11" s="131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</row>
    <row r="12" spans="1:33" ht="15" customHeight="1">
      <c r="A12" s="110" t="s">
        <v>174</v>
      </c>
      <c r="B12" s="98" t="s">
        <v>175</v>
      </c>
      <c r="C12" s="131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</row>
    <row r="13" spans="1:33">
      <c r="A13" s="110" t="s">
        <v>128</v>
      </c>
      <c r="B13" s="98" t="s">
        <v>129</v>
      </c>
      <c r="C13" s="131"/>
      <c r="D13" s="132"/>
      <c r="E13" s="132"/>
      <c r="F13" s="132"/>
      <c r="G13" s="132"/>
      <c r="H13" s="134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</row>
    <row r="14" spans="1:33">
      <c r="A14" s="110" t="s">
        <v>76</v>
      </c>
      <c r="B14" s="100" t="s">
        <v>130</v>
      </c>
      <c r="C14" s="131"/>
      <c r="D14" s="132"/>
      <c r="E14" s="132"/>
      <c r="F14" s="132"/>
      <c r="G14" s="132"/>
      <c r="H14" s="134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</row>
    <row r="15" spans="1:33">
      <c r="A15" s="110" t="s">
        <v>57</v>
      </c>
      <c r="B15" s="100" t="s">
        <v>131</v>
      </c>
      <c r="C15" s="131"/>
      <c r="D15" s="132"/>
      <c r="E15" s="132"/>
      <c r="F15" s="132"/>
      <c r="G15" s="132"/>
      <c r="H15" s="134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</row>
    <row r="16" spans="1:33">
      <c r="A16" s="110" t="s">
        <v>132</v>
      </c>
      <c r="B16" s="100" t="s">
        <v>131</v>
      </c>
      <c r="C16" s="131"/>
      <c r="D16" s="132"/>
      <c r="E16" s="132"/>
      <c r="F16" s="132"/>
      <c r="G16" s="132"/>
      <c r="H16" s="134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</row>
    <row r="17" spans="1:32">
      <c r="A17" s="110" t="s">
        <v>133</v>
      </c>
      <c r="B17" s="100" t="s">
        <v>134</v>
      </c>
      <c r="C17" s="131"/>
      <c r="D17" s="132"/>
      <c r="E17" s="132"/>
      <c r="F17" s="132"/>
      <c r="G17" s="132"/>
      <c r="H17" s="134"/>
      <c r="I17" s="132"/>
      <c r="J17" s="134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</row>
    <row r="18" spans="1:32">
      <c r="A18" s="110" t="s">
        <v>67</v>
      </c>
      <c r="B18" s="100" t="s">
        <v>135</v>
      </c>
      <c r="C18" s="131"/>
      <c r="D18" s="132"/>
      <c r="E18" s="132"/>
      <c r="F18" s="132"/>
      <c r="G18" s="132"/>
      <c r="H18" s="134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</row>
    <row r="19" spans="1:32">
      <c r="A19" s="110" t="s">
        <v>78</v>
      </c>
      <c r="B19" s="100" t="s">
        <v>68</v>
      </c>
      <c r="C19" s="131"/>
      <c r="D19" s="132"/>
      <c r="E19" s="132"/>
      <c r="F19" s="132"/>
      <c r="G19" s="132"/>
      <c r="H19" s="134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</row>
    <row r="20" spans="1:32">
      <c r="A20" s="110" t="s">
        <v>79</v>
      </c>
      <c r="B20" s="100" t="s">
        <v>68</v>
      </c>
      <c r="C20" s="131"/>
      <c r="D20" s="132"/>
      <c r="E20" s="132"/>
      <c r="F20" s="132"/>
      <c r="G20" s="132"/>
      <c r="H20" s="134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</row>
    <row r="21" spans="1:32">
      <c r="A21" s="110" t="s">
        <v>89</v>
      </c>
      <c r="B21" s="100" t="s">
        <v>68</v>
      </c>
      <c r="C21" s="131"/>
      <c r="D21" s="132"/>
      <c r="E21" s="132"/>
      <c r="F21" s="132"/>
      <c r="G21" s="132"/>
      <c r="H21" s="134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</row>
    <row r="22" spans="1:32">
      <c r="A22" s="110" t="s">
        <v>136</v>
      </c>
      <c r="B22" s="100" t="s">
        <v>68</v>
      </c>
      <c r="C22" s="131"/>
      <c r="D22" s="132"/>
      <c r="E22" s="132"/>
      <c r="F22" s="132"/>
      <c r="G22" s="132"/>
      <c r="H22" s="134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</row>
    <row r="23" spans="1:32">
      <c r="A23" s="110" t="s">
        <v>137</v>
      </c>
      <c r="B23" s="100" t="s">
        <v>68</v>
      </c>
      <c r="C23" s="131"/>
      <c r="D23" s="132"/>
      <c r="E23" s="132"/>
      <c r="F23" s="132"/>
      <c r="G23" s="132"/>
      <c r="H23" s="134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</row>
    <row r="24" spans="1:32">
      <c r="A24" s="110" t="s">
        <v>72</v>
      </c>
      <c r="B24" s="100" t="s">
        <v>138</v>
      </c>
      <c r="C24" s="131"/>
      <c r="D24" s="132"/>
      <c r="E24" s="132"/>
      <c r="F24" s="132"/>
      <c r="G24" s="132"/>
      <c r="H24" s="134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</row>
    <row r="25" spans="1:32">
      <c r="A25" s="110" t="s">
        <v>77</v>
      </c>
      <c r="B25" s="100" t="s">
        <v>138</v>
      </c>
      <c r="C25" s="131"/>
      <c r="D25" s="132"/>
      <c r="E25" s="132"/>
      <c r="F25" s="132"/>
      <c r="G25" s="132"/>
      <c r="H25" s="134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</row>
    <row r="26" spans="1:32">
      <c r="A26" s="110" t="s">
        <v>139</v>
      </c>
      <c r="B26" s="100" t="s">
        <v>140</v>
      </c>
      <c r="C26" s="131"/>
      <c r="D26" s="132"/>
      <c r="E26" s="132"/>
      <c r="F26" s="132"/>
      <c r="G26" s="132"/>
      <c r="H26" s="134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</row>
    <row r="27" spans="1:32">
      <c r="A27" s="110" t="s">
        <v>141</v>
      </c>
      <c r="B27" s="100" t="s">
        <v>142</v>
      </c>
      <c r="C27" s="131"/>
      <c r="D27" s="132"/>
      <c r="E27" s="132"/>
      <c r="F27" s="132"/>
      <c r="G27" s="132"/>
      <c r="H27" s="134"/>
      <c r="I27" s="132"/>
      <c r="J27" s="134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</row>
    <row r="28" spans="1:32">
      <c r="A28" s="110" t="s">
        <v>65</v>
      </c>
      <c r="B28" s="100" t="s">
        <v>66</v>
      </c>
      <c r="C28" s="131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</row>
    <row r="29" spans="1:32">
      <c r="A29" s="110" t="s">
        <v>143</v>
      </c>
      <c r="B29" s="100" t="s">
        <v>66</v>
      </c>
      <c r="C29" s="131"/>
      <c r="D29" s="131"/>
      <c r="E29" s="132"/>
      <c r="F29" s="132"/>
      <c r="G29" s="132"/>
      <c r="H29" s="134"/>
      <c r="I29" s="132"/>
      <c r="J29" s="134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</row>
    <row r="30" spans="1:32">
      <c r="A30" s="110" t="s">
        <v>144</v>
      </c>
      <c r="B30" s="100" t="s">
        <v>66</v>
      </c>
      <c r="C30" s="131"/>
      <c r="D30" s="131"/>
      <c r="E30" s="132"/>
      <c r="F30" s="132"/>
      <c r="G30" s="132"/>
      <c r="H30" s="134"/>
      <c r="I30" s="132"/>
      <c r="J30" s="134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</row>
    <row r="31" spans="1:32">
      <c r="A31" s="110" t="s">
        <v>145</v>
      </c>
      <c r="B31" s="100" t="s">
        <v>138</v>
      </c>
      <c r="C31" s="131"/>
      <c r="D31" s="131"/>
      <c r="E31" s="132"/>
      <c r="F31" s="132"/>
      <c r="G31" s="132"/>
      <c r="H31" s="134"/>
      <c r="I31" s="132"/>
      <c r="J31" s="134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</row>
    <row r="32" spans="1:32">
      <c r="A32" s="110" t="s">
        <v>80</v>
      </c>
      <c r="B32" s="98" t="s">
        <v>146</v>
      </c>
      <c r="C32" s="131"/>
      <c r="D32" s="132"/>
      <c r="E32" s="132"/>
      <c r="F32" s="132"/>
      <c r="G32" s="132"/>
      <c r="H32" s="134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</row>
    <row r="33" spans="1:38">
      <c r="A33" s="110" t="s">
        <v>147</v>
      </c>
      <c r="B33" s="100" t="s">
        <v>146</v>
      </c>
      <c r="C33" s="131"/>
      <c r="D33" s="132"/>
      <c r="E33" s="132"/>
      <c r="F33" s="132"/>
      <c r="G33" s="132"/>
      <c r="H33" s="134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</row>
    <row r="34" spans="1:38">
      <c r="A34" s="110" t="s">
        <v>176</v>
      </c>
      <c r="B34" s="100" t="s">
        <v>177</v>
      </c>
      <c r="C34" s="131"/>
      <c r="D34" s="132"/>
      <c r="E34" s="132"/>
      <c r="F34" s="132"/>
      <c r="G34" s="132"/>
      <c r="H34" s="134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</row>
    <row r="35" spans="1:38">
      <c r="A35" s="110" t="s">
        <v>178</v>
      </c>
      <c r="B35" s="100" t="s">
        <v>179</v>
      </c>
      <c r="C35" s="131" t="s">
        <v>51</v>
      </c>
      <c r="D35" s="132"/>
      <c r="E35" s="132"/>
      <c r="F35" s="132"/>
      <c r="G35" s="132"/>
      <c r="H35" s="134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</row>
    <row r="36" spans="1:38">
      <c r="A36" s="110" t="s">
        <v>180</v>
      </c>
      <c r="B36" s="100" t="s">
        <v>181</v>
      </c>
      <c r="C36" s="131" t="s">
        <v>51</v>
      </c>
      <c r="D36" s="132"/>
      <c r="E36" s="132"/>
      <c r="F36" s="132"/>
      <c r="G36" s="132"/>
      <c r="H36" s="134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</row>
    <row r="37" spans="1:38">
      <c r="A37" s="110" t="s">
        <v>182</v>
      </c>
      <c r="B37" s="100" t="s">
        <v>183</v>
      </c>
      <c r="C37" s="131" t="s">
        <v>51</v>
      </c>
      <c r="D37" s="132"/>
      <c r="E37" s="132"/>
      <c r="F37" s="132"/>
      <c r="G37" s="132"/>
      <c r="H37" s="134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</row>
    <row r="38" spans="1:38">
      <c r="A38" s="110" t="s">
        <v>184</v>
      </c>
      <c r="B38" s="100" t="s">
        <v>185</v>
      </c>
      <c r="C38" s="131" t="s">
        <v>51</v>
      </c>
      <c r="D38" s="132"/>
      <c r="E38" s="132"/>
      <c r="F38" s="132"/>
      <c r="G38" s="132"/>
      <c r="H38" s="134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</row>
    <row r="39" spans="1:38">
      <c r="A39" s="110" t="s">
        <v>151</v>
      </c>
      <c r="B39" s="100" t="s">
        <v>181</v>
      </c>
      <c r="C39" s="131" t="s">
        <v>51</v>
      </c>
      <c r="D39" s="132"/>
      <c r="E39" s="132"/>
      <c r="F39" s="132"/>
      <c r="G39" s="132"/>
      <c r="H39" s="134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</row>
    <row r="40" spans="1:38">
      <c r="A40" s="110" t="s">
        <v>98</v>
      </c>
      <c r="B40" s="100" t="s">
        <v>148</v>
      </c>
      <c r="C40" s="131" t="s">
        <v>51</v>
      </c>
      <c r="D40" s="132"/>
      <c r="E40" s="132"/>
      <c r="F40" s="132"/>
      <c r="G40" s="132"/>
      <c r="H40" s="1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</row>
    <row r="41" spans="1:38">
      <c r="A41" s="110" t="s">
        <v>186</v>
      </c>
      <c r="B41" s="100" t="s">
        <v>187</v>
      </c>
      <c r="C41" s="131"/>
      <c r="D41" s="132"/>
      <c r="E41" s="132"/>
      <c r="F41" s="132"/>
      <c r="G41" s="132"/>
      <c r="H41" s="134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</row>
    <row r="42" spans="1:38">
      <c r="A42" s="110" t="s">
        <v>149</v>
      </c>
      <c r="B42" s="100" t="s">
        <v>188</v>
      </c>
      <c r="C42" s="131" t="s">
        <v>51</v>
      </c>
      <c r="D42" s="132"/>
      <c r="E42" s="132"/>
      <c r="F42" s="132"/>
      <c r="G42" s="132"/>
      <c r="H42" s="134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</row>
    <row r="43" spans="1:38">
      <c r="A43" s="111" t="s">
        <v>189</v>
      </c>
      <c r="B43" s="112" t="s">
        <v>190</v>
      </c>
      <c r="C43" s="131" t="s">
        <v>51</v>
      </c>
      <c r="D43" s="132"/>
      <c r="E43" s="132"/>
      <c r="F43" s="132"/>
      <c r="G43" s="132"/>
      <c r="H43" s="134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</row>
    <row r="44" spans="1:38">
      <c r="A44" s="111" t="s">
        <v>191</v>
      </c>
      <c r="B44" s="100" t="s">
        <v>146</v>
      </c>
      <c r="C44" s="131"/>
      <c r="D44" s="132"/>
      <c r="E44" s="132"/>
      <c r="F44" s="132"/>
      <c r="G44" s="132"/>
      <c r="H44" s="134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</row>
    <row r="45" spans="1:38">
      <c r="A45" s="113" t="s">
        <v>192</v>
      </c>
      <c r="B45" s="112" t="s">
        <v>193</v>
      </c>
      <c r="C45" s="131" t="s">
        <v>51</v>
      </c>
      <c r="D45" s="132"/>
      <c r="E45" s="132"/>
      <c r="F45" s="132"/>
      <c r="G45" s="132"/>
      <c r="H45" s="134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</row>
    <row r="46" spans="1:38">
      <c r="A46" s="113"/>
      <c r="B46" s="112"/>
      <c r="C46" s="131"/>
      <c r="D46" s="131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</row>
    <row r="47" spans="1:38">
      <c r="A47" s="155" t="s">
        <v>100</v>
      </c>
      <c r="B47" s="155"/>
      <c r="C47" s="114">
        <f>COUNTIF(C8:C46,"X")</f>
        <v>9</v>
      </c>
      <c r="D47" s="114" t="e">
        <f>AVERAGE(D8:D45)</f>
        <v>#DIV/0!</v>
      </c>
      <c r="E47" s="114">
        <f>COUNTIF(E8:E42,"X")</f>
        <v>0</v>
      </c>
      <c r="F47" s="114" t="e">
        <f>AVERAGE(F8:F42)</f>
        <v>#DIV/0!</v>
      </c>
      <c r="G47" s="114">
        <f>COUNTIF(G8:G42,"X")</f>
        <v>0</v>
      </c>
      <c r="H47" s="114" t="e">
        <f>AVERAGE(H8:H42)</f>
        <v>#DIV/0!</v>
      </c>
      <c r="I47" s="114">
        <f>COUNTIF(I8:I42,"X")</f>
        <v>0</v>
      </c>
      <c r="J47" s="114" t="e">
        <f>AVERAGE(J8:J42)</f>
        <v>#DIV/0!</v>
      </c>
      <c r="K47" s="114">
        <f>COUNTIF(K8:K42,"X")</f>
        <v>0</v>
      </c>
      <c r="L47" s="114" t="e">
        <f>AVERAGE(L8:L42)</f>
        <v>#DIV/0!</v>
      </c>
      <c r="M47" s="114">
        <f>COUNTIF(M8:M42,"X")</f>
        <v>0</v>
      </c>
      <c r="N47" s="114" t="e">
        <f>AVERAGE(N8:N42)</f>
        <v>#DIV/0!</v>
      </c>
      <c r="O47" s="114">
        <f>COUNTIF(O8:O42,"X")</f>
        <v>0</v>
      </c>
      <c r="P47" s="114" t="e">
        <f>AVERAGE(P8:P42)</f>
        <v>#DIV/0!</v>
      </c>
      <c r="Q47" s="114">
        <f>COUNTIF(Q8:Q42,"X")</f>
        <v>0</v>
      </c>
      <c r="R47" s="114" t="e">
        <f>AVERAGE(R8:R42)</f>
        <v>#DIV/0!</v>
      </c>
      <c r="S47" s="114">
        <f>COUNTIF(S8:S42,"X")</f>
        <v>0</v>
      </c>
      <c r="T47" s="114" t="e">
        <f>AVERAGE(T8:T42)</f>
        <v>#DIV/0!</v>
      </c>
      <c r="U47" s="114">
        <f>COUNTIF(U8:U42,"X")</f>
        <v>0</v>
      </c>
      <c r="V47" s="114" t="e">
        <f>AVERAGE(V8:V42)</f>
        <v>#DIV/0!</v>
      </c>
      <c r="W47" s="114">
        <f>COUNTIF(W8:W42,"X")</f>
        <v>0</v>
      </c>
      <c r="X47" s="114" t="e">
        <f>AVERAGE(X8:X42)</f>
        <v>#DIV/0!</v>
      </c>
      <c r="Y47" s="114">
        <f>COUNTIF(Y8:Y42,"X")</f>
        <v>0</v>
      </c>
      <c r="Z47" s="114" t="e">
        <f>AVERAGE(Z8:Z42)</f>
        <v>#DIV/0!</v>
      </c>
      <c r="AA47" s="114">
        <f>COUNTIF(AA8:AA42,"X")</f>
        <v>0</v>
      </c>
      <c r="AB47" s="114" t="e">
        <f>AVERAGE(AB8:AB42)</f>
        <v>#DIV/0!</v>
      </c>
      <c r="AC47" s="114"/>
      <c r="AD47" s="114"/>
      <c r="AE47" s="114"/>
      <c r="AF47" s="114"/>
      <c r="AH47" s="115" t="e">
        <f>AVERAGE(C47+E47+G47+I47+K47+M47+O47+#REF!+Q47+S47+U47+W47+#REF!+Y47+AA47+AC47+AE47)</f>
        <v>#REF!</v>
      </c>
      <c r="AK47" s="107">
        <f>+(C47+E47+G47+I47+K47+M47+O47+Q47+S47+U47+W47+Y47+AA47)/13</f>
        <v>0.69230769230769229</v>
      </c>
      <c r="AL47" s="107">
        <f>+C47+E47+G47+I47+K47+M47+O47+Q47+S47+U47+W47+Y47+AA47</f>
        <v>9</v>
      </c>
    </row>
    <row r="48" spans="1:38">
      <c r="A48" s="156" t="s">
        <v>155</v>
      </c>
      <c r="B48" s="156"/>
      <c r="C48" s="114">
        <f>COUNTIF(C8:C40,"S/C")</f>
        <v>0</v>
      </c>
      <c r="D48" s="114">
        <f>C48</f>
        <v>0</v>
      </c>
      <c r="E48" s="114">
        <f>COUNTIF(E8:E40,"S/C")</f>
        <v>0</v>
      </c>
      <c r="F48" s="114">
        <f>COUNTIF(F8:F40,"&lt;80")</f>
        <v>0</v>
      </c>
      <c r="G48" s="114">
        <f>COUNTIF(G8:G40,"S/C")</f>
        <v>0</v>
      </c>
      <c r="H48" s="114">
        <f>COUNTIF(H8:H40,"&lt;80")</f>
        <v>0</v>
      </c>
      <c r="I48" s="114">
        <f>COUNTIF(I8:I40,"S/C")</f>
        <v>0</v>
      </c>
      <c r="J48" s="114">
        <f>COUNTIF(J8:J40,"&lt;80")</f>
        <v>0</v>
      </c>
      <c r="K48" s="114">
        <f>COUNTIF(K8:K40,"S/C")</f>
        <v>0</v>
      </c>
      <c r="L48" s="114">
        <f>COUNTIF(L8:L40,"&lt;80")</f>
        <v>0</v>
      </c>
      <c r="M48" s="114">
        <f>COUNTIF(M8:M40,"S/C")</f>
        <v>0</v>
      </c>
      <c r="N48" s="114">
        <f>COUNTIF(N8:N40,"&lt;80")</f>
        <v>0</v>
      </c>
      <c r="O48" s="114">
        <f>COUNTIF(O8:O40,"S/C")</f>
        <v>0</v>
      </c>
      <c r="P48" s="114">
        <f>COUNTIF(P8:P40,"&lt;80")</f>
        <v>0</v>
      </c>
      <c r="Q48" s="114">
        <f>COUNTIF(Q8:Q40,"S/C")</f>
        <v>0</v>
      </c>
      <c r="R48" s="114">
        <f>COUNTIF(R8:R40,"&lt;80")</f>
        <v>0</v>
      </c>
      <c r="S48" s="114">
        <f>COUNTIF(S8:S40,"S/C")</f>
        <v>0</v>
      </c>
      <c r="T48" s="114">
        <f>COUNTIF(T8:T40,"&lt;80")</f>
        <v>0</v>
      </c>
      <c r="U48" s="114">
        <f>COUNTIF(U8:U40,"S/C")</f>
        <v>0</v>
      </c>
      <c r="V48" s="114">
        <f>COUNTIF(V8:V40,"&lt;80")</f>
        <v>0</v>
      </c>
      <c r="W48" s="114">
        <f>COUNTIF(W8:W40,"S/C")</f>
        <v>0</v>
      </c>
      <c r="X48" s="114">
        <f>COUNTIF(X8:X40,"&lt;80")</f>
        <v>0</v>
      </c>
      <c r="Y48" s="114">
        <f>COUNTIF(Y8:Y40,"S/C")</f>
        <v>0</v>
      </c>
      <c r="Z48" s="114">
        <f>COUNTIF(Z8:Z40,"&lt;80")</f>
        <v>0</v>
      </c>
      <c r="AA48" s="114">
        <f>COUNTIF(AA8:AA40,"S/C")</f>
        <v>0</v>
      </c>
      <c r="AB48" s="114">
        <f>COUNTIF(AB8:AB40,"&lt;80")</f>
        <v>0</v>
      </c>
      <c r="AC48" s="114">
        <f>COUNTIF(AC8:AC40,"S/C")</f>
        <v>0</v>
      </c>
      <c r="AD48" s="114">
        <f>COUNTIF(AD8:AD40,"&lt;80")</f>
        <v>0</v>
      </c>
      <c r="AE48" s="114">
        <f>COUNTIF(AE8:AE40,"S/C")</f>
        <v>0</v>
      </c>
      <c r="AF48" s="114">
        <f>COUNTIF(AF8:AF40,"&lt;80")</f>
        <v>0</v>
      </c>
      <c r="AH48" s="107">
        <f>SUM(C48:AF48)</f>
        <v>0</v>
      </c>
      <c r="AK48" s="107" t="s">
        <v>156</v>
      </c>
      <c r="AL48" s="107">
        <f>+AL47/13</f>
        <v>0.69230769230769229</v>
      </c>
    </row>
    <row r="49" spans="1:39">
      <c r="A49" s="156" t="s">
        <v>102</v>
      </c>
      <c r="B49" s="156"/>
      <c r="C49" s="114">
        <f t="shared" ref="C49:AF49" si="0">COUNTIF(C8:C42,"NA")</f>
        <v>0</v>
      </c>
      <c r="D49" s="114">
        <f t="shared" si="0"/>
        <v>0</v>
      </c>
      <c r="E49" s="114">
        <f t="shared" si="0"/>
        <v>0</v>
      </c>
      <c r="F49" s="114">
        <f t="shared" si="0"/>
        <v>0</v>
      </c>
      <c r="G49" s="114">
        <f t="shared" si="0"/>
        <v>0</v>
      </c>
      <c r="H49" s="114">
        <f t="shared" si="0"/>
        <v>0</v>
      </c>
      <c r="I49" s="114">
        <f t="shared" si="0"/>
        <v>0</v>
      </c>
      <c r="J49" s="114">
        <f t="shared" si="0"/>
        <v>0</v>
      </c>
      <c r="K49" s="114">
        <f t="shared" si="0"/>
        <v>0</v>
      </c>
      <c r="L49" s="114">
        <f t="shared" si="0"/>
        <v>0</v>
      </c>
      <c r="M49" s="114">
        <f t="shared" si="0"/>
        <v>0</v>
      </c>
      <c r="N49" s="114">
        <f t="shared" si="0"/>
        <v>0</v>
      </c>
      <c r="O49" s="114">
        <f t="shared" si="0"/>
        <v>0</v>
      </c>
      <c r="P49" s="114">
        <f t="shared" si="0"/>
        <v>0</v>
      </c>
      <c r="Q49" s="114">
        <f t="shared" si="0"/>
        <v>0</v>
      </c>
      <c r="R49" s="114">
        <f t="shared" si="0"/>
        <v>0</v>
      </c>
      <c r="S49" s="114">
        <f t="shared" si="0"/>
        <v>0</v>
      </c>
      <c r="T49" s="114">
        <f t="shared" si="0"/>
        <v>0</v>
      </c>
      <c r="U49" s="114">
        <f t="shared" si="0"/>
        <v>0</v>
      </c>
      <c r="V49" s="114">
        <f t="shared" si="0"/>
        <v>0</v>
      </c>
      <c r="W49" s="114">
        <f t="shared" si="0"/>
        <v>0</v>
      </c>
      <c r="X49" s="114">
        <f t="shared" si="0"/>
        <v>0</v>
      </c>
      <c r="Y49" s="114">
        <f t="shared" si="0"/>
        <v>0</v>
      </c>
      <c r="Z49" s="114">
        <f t="shared" si="0"/>
        <v>0</v>
      </c>
      <c r="AA49" s="114">
        <f t="shared" si="0"/>
        <v>0</v>
      </c>
      <c r="AB49" s="114">
        <f t="shared" si="0"/>
        <v>0</v>
      </c>
      <c r="AC49" s="114">
        <f t="shared" si="0"/>
        <v>0</v>
      </c>
      <c r="AD49" s="114">
        <f t="shared" si="0"/>
        <v>0</v>
      </c>
      <c r="AE49" s="114">
        <f t="shared" si="0"/>
        <v>0</v>
      </c>
      <c r="AF49" s="114">
        <f t="shared" si="0"/>
        <v>0</v>
      </c>
      <c r="AK49" s="107" t="s">
        <v>157</v>
      </c>
      <c r="AL49" s="107">
        <f>(+C50+E50+G50+I50+K50+M50+O50+Q50+S50+U50+W50+Y50+AA50)</f>
        <v>0</v>
      </c>
      <c r="AM49" s="107">
        <f>+AL49/13</f>
        <v>0</v>
      </c>
    </row>
    <row r="50" spans="1:39" ht="17.25" customHeight="1">
      <c r="A50" s="154" t="s">
        <v>158</v>
      </c>
      <c r="B50" s="15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H50" s="116">
        <f>SUM(C50:AF50)</f>
        <v>0</v>
      </c>
      <c r="AK50" s="117" t="s">
        <v>159</v>
      </c>
      <c r="AL50" s="118">
        <f>+AL49/AL48</f>
        <v>0</v>
      </c>
    </row>
    <row r="51" spans="1:39">
      <c r="A51" s="119"/>
      <c r="B51" s="119" t="s">
        <v>103</v>
      </c>
      <c r="C51" s="120">
        <f>C47/(SUM(C47:C49)-C49)*100</f>
        <v>100</v>
      </c>
      <c r="D51" s="120"/>
      <c r="E51" s="120" t="e">
        <f>E47/(SUM(E47:E49)-E49)*100</f>
        <v>#DIV/0!</v>
      </c>
      <c r="F51" s="120"/>
      <c r="G51" s="120" t="e">
        <f>G47/(SUM(G47:G49)-G49)*100</f>
        <v>#DIV/0!</v>
      </c>
      <c r="H51" s="120"/>
      <c r="I51" s="120" t="e">
        <f>I47/(SUM(I47:I49)-I49)*100</f>
        <v>#DIV/0!</v>
      </c>
      <c r="J51" s="120"/>
      <c r="K51" s="120" t="e">
        <f>K47/(SUM(K47:K49)-K49)*100</f>
        <v>#DIV/0!</v>
      </c>
      <c r="L51" s="120"/>
      <c r="M51" s="120" t="e">
        <f>M47/(SUM(M47:M49)-M49)*100</f>
        <v>#DIV/0!</v>
      </c>
      <c r="N51" s="120"/>
      <c r="O51" s="120" t="e">
        <f>O47/(SUM(O47:O49)-O49)*100</f>
        <v>#DIV/0!</v>
      </c>
      <c r="P51" s="120"/>
      <c r="Q51" s="120" t="e">
        <f>Q47/(SUM(Q47:Q49)-Q49)*100</f>
        <v>#DIV/0!</v>
      </c>
      <c r="R51" s="120"/>
      <c r="S51" s="120" t="e">
        <f>S47/(SUM(S47:S49)-S49)*100</f>
        <v>#DIV/0!</v>
      </c>
      <c r="T51" s="120"/>
      <c r="U51" s="120" t="e">
        <f>U47/(SUM(U47:U49)-U49)*100</f>
        <v>#DIV/0!</v>
      </c>
      <c r="V51" s="120"/>
      <c r="W51" s="120" t="e">
        <f>W47/(SUM(W47:W49)-W49)*100</f>
        <v>#DIV/0!</v>
      </c>
      <c r="X51" s="120"/>
      <c r="Y51" s="120" t="e">
        <f>Y47/(SUM(Y47:Y49)-Y49)*100</f>
        <v>#DIV/0!</v>
      </c>
      <c r="Z51" s="120"/>
      <c r="AA51" s="120" t="e">
        <f>AA47/(SUM(AA47:AA49)-AA49)*100</f>
        <v>#DIV/0!</v>
      </c>
      <c r="AB51" s="120"/>
      <c r="AC51" s="120"/>
      <c r="AD51" s="120"/>
      <c r="AE51" s="120"/>
      <c r="AF51" s="120"/>
      <c r="AH51" s="115" t="e">
        <f>AVERAGE(C51:AF51)</f>
        <v>#DIV/0!</v>
      </c>
      <c r="AJ51" s="121" t="e">
        <f>AVERAGE(D47+F47+H47+J47+L47+N47+P47+#REF!+R47+T47+V47+X47+#REF!+Z47+AB47+AD47+AF47)</f>
        <v>#DIV/0!</v>
      </c>
      <c r="AK51" s="122" t="s">
        <v>160</v>
      </c>
      <c r="AL51" s="118" t="e">
        <f>AVERAGE(C51:AA51)</f>
        <v>#DIV/0!</v>
      </c>
      <c r="AM51" s="123" t="e">
        <f>AVERAGE(AL51:AL52)</f>
        <v>#DIV/0!</v>
      </c>
    </row>
    <row r="52" spans="1:39">
      <c r="A52" s="124"/>
      <c r="B52" s="119" t="s">
        <v>161</v>
      </c>
      <c r="C52" s="120"/>
      <c r="D52" s="120" t="e">
        <f>+D47</f>
        <v>#DIV/0!</v>
      </c>
      <c r="E52" s="120"/>
      <c r="F52" s="120" t="e">
        <f>+F47</f>
        <v>#DIV/0!</v>
      </c>
      <c r="G52" s="120"/>
      <c r="H52" s="120" t="e">
        <f>+H47</f>
        <v>#DIV/0!</v>
      </c>
      <c r="I52" s="120"/>
      <c r="J52" s="120" t="e">
        <f>+J47</f>
        <v>#DIV/0!</v>
      </c>
      <c r="K52" s="120"/>
      <c r="L52" s="120" t="e">
        <f>+L47</f>
        <v>#DIV/0!</v>
      </c>
      <c r="M52" s="120"/>
      <c r="N52" s="120" t="e">
        <f>+N47</f>
        <v>#DIV/0!</v>
      </c>
      <c r="O52" s="120"/>
      <c r="P52" s="120" t="e">
        <f>+P47</f>
        <v>#DIV/0!</v>
      </c>
      <c r="Q52" s="120"/>
      <c r="R52" s="120" t="e">
        <f>+R47</f>
        <v>#DIV/0!</v>
      </c>
      <c r="S52" s="120"/>
      <c r="T52" s="120" t="e">
        <f>+T47</f>
        <v>#DIV/0!</v>
      </c>
      <c r="U52" s="120"/>
      <c r="V52" s="120" t="e">
        <f>+V47</f>
        <v>#DIV/0!</v>
      </c>
      <c r="W52" s="120"/>
      <c r="X52" s="120" t="e">
        <f>+X47</f>
        <v>#DIV/0!</v>
      </c>
      <c r="Y52" s="120"/>
      <c r="Z52" s="120" t="e">
        <f>+Z47</f>
        <v>#DIV/0!</v>
      </c>
      <c r="AA52" s="120"/>
      <c r="AB52" s="120" t="e">
        <f>+AB47</f>
        <v>#DIV/0!</v>
      </c>
      <c r="AC52" s="120"/>
      <c r="AD52" s="120"/>
      <c r="AE52" s="120"/>
      <c r="AF52" s="120"/>
      <c r="AK52" s="122" t="s">
        <v>162</v>
      </c>
      <c r="AL52" s="125" t="e">
        <f>AVERAGE(C52:AF52)</f>
        <v>#DIV/0!</v>
      </c>
    </row>
    <row r="53" spans="1:39">
      <c r="A53" s="124"/>
      <c r="B53" s="126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</row>
    <row r="54" spans="1:39">
      <c r="A54" s="124"/>
      <c r="B54" s="126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H54" s="107">
        <v>94.11</v>
      </c>
    </row>
    <row r="55" spans="1:39">
      <c r="A55" s="124"/>
      <c r="B55" s="126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</row>
    <row r="56" spans="1:39">
      <c r="A56" s="124"/>
      <c r="B56" s="126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</row>
    <row r="57" spans="1:39">
      <c r="A57" s="127" t="s">
        <v>163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</row>
    <row r="58" spans="1:39">
      <c r="A58" s="128" t="s">
        <v>164</v>
      </c>
      <c r="B58" s="129" t="s">
        <v>165</v>
      </c>
      <c r="C58" s="157" t="s">
        <v>166</v>
      </c>
      <c r="D58" s="158"/>
      <c r="E58" s="158"/>
      <c r="F58" s="158"/>
      <c r="G58" s="158"/>
      <c r="H58" s="158"/>
      <c r="I58" s="158"/>
      <c r="J58" s="159"/>
      <c r="K58" s="160" t="s">
        <v>167</v>
      </c>
      <c r="L58" s="161"/>
      <c r="M58" s="161"/>
      <c r="N58" s="161"/>
      <c r="O58" s="161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</row>
    <row r="59" spans="1:39">
      <c r="A59" s="99"/>
      <c r="B59" s="100"/>
      <c r="C59" s="162"/>
      <c r="D59" s="163"/>
      <c r="E59" s="163"/>
      <c r="F59" s="163"/>
      <c r="G59" s="163"/>
      <c r="H59" s="163"/>
      <c r="I59" s="163"/>
      <c r="J59" s="164"/>
      <c r="K59" s="165"/>
      <c r="L59" s="166"/>
      <c r="M59" s="166"/>
      <c r="N59" s="166"/>
      <c r="O59" s="166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</row>
    <row r="60" spans="1:39">
      <c r="A60" s="99"/>
      <c r="B60" s="100"/>
      <c r="C60" s="162"/>
      <c r="D60" s="163"/>
      <c r="E60" s="163"/>
      <c r="F60" s="163"/>
      <c r="G60" s="163"/>
      <c r="H60" s="163"/>
      <c r="I60" s="163"/>
      <c r="J60" s="164"/>
      <c r="K60" s="166"/>
      <c r="L60" s="166"/>
      <c r="M60" s="166"/>
      <c r="N60" s="166"/>
      <c r="O60" s="166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</row>
    <row r="61" spans="1:39">
      <c r="A61" s="99"/>
      <c r="B61" s="100"/>
      <c r="C61" s="162"/>
      <c r="D61" s="163"/>
      <c r="E61" s="163"/>
      <c r="F61" s="163"/>
      <c r="G61" s="163"/>
      <c r="H61" s="163"/>
      <c r="I61" s="163"/>
      <c r="J61" s="164"/>
      <c r="K61" s="166"/>
      <c r="L61" s="166"/>
      <c r="M61" s="166"/>
      <c r="N61" s="166"/>
      <c r="O61" s="166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</row>
    <row r="62" spans="1:39">
      <c r="A62" s="99"/>
      <c r="B62" s="100"/>
      <c r="C62" s="162"/>
      <c r="D62" s="163"/>
      <c r="E62" s="163"/>
      <c r="F62" s="163"/>
      <c r="G62" s="163"/>
      <c r="H62" s="163"/>
      <c r="I62" s="163"/>
      <c r="J62" s="164"/>
      <c r="K62" s="166"/>
      <c r="L62" s="166"/>
      <c r="M62" s="166"/>
      <c r="N62" s="166"/>
      <c r="O62" s="166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</row>
    <row r="63" spans="1:39">
      <c r="A63" s="99"/>
      <c r="B63" s="100"/>
      <c r="C63" s="162"/>
      <c r="D63" s="163"/>
      <c r="E63" s="163"/>
      <c r="F63" s="163"/>
      <c r="G63" s="163"/>
      <c r="H63" s="163"/>
      <c r="I63" s="163"/>
      <c r="J63" s="164"/>
      <c r="K63" s="166"/>
      <c r="L63" s="166"/>
      <c r="M63" s="166"/>
      <c r="N63" s="166"/>
      <c r="O63" s="166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</row>
    <row r="64" spans="1:39">
      <c r="A64" s="99"/>
      <c r="B64" s="100"/>
      <c r="C64" s="162"/>
      <c r="D64" s="163"/>
      <c r="E64" s="163"/>
      <c r="F64" s="163"/>
      <c r="G64" s="163"/>
      <c r="H64" s="163"/>
      <c r="I64" s="163"/>
      <c r="J64" s="164"/>
      <c r="K64" s="166"/>
      <c r="L64" s="166"/>
      <c r="M64" s="166"/>
      <c r="N64" s="166"/>
      <c r="O64" s="166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</row>
    <row r="65" spans="1:32">
      <c r="A65" s="99"/>
      <c r="B65" s="100"/>
      <c r="C65" s="162"/>
      <c r="D65" s="163"/>
      <c r="E65" s="163"/>
      <c r="F65" s="163"/>
      <c r="G65" s="163"/>
      <c r="H65" s="163"/>
      <c r="I65" s="163"/>
      <c r="J65" s="164"/>
      <c r="K65" s="166"/>
      <c r="L65" s="166"/>
      <c r="M65" s="166"/>
      <c r="N65" s="166"/>
      <c r="O65" s="166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</row>
    <row r="66" spans="1:32">
      <c r="A66" s="99"/>
      <c r="B66" s="100"/>
      <c r="C66" s="162"/>
      <c r="D66" s="163"/>
      <c r="E66" s="163"/>
      <c r="F66" s="163"/>
      <c r="G66" s="163"/>
      <c r="H66" s="163"/>
      <c r="I66" s="163"/>
      <c r="J66" s="164"/>
      <c r="K66" s="166"/>
      <c r="L66" s="166"/>
      <c r="M66" s="166"/>
      <c r="N66" s="166"/>
      <c r="O66" s="166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</row>
    <row r="67" spans="1:32">
      <c r="A67" s="99"/>
      <c r="B67" s="100"/>
      <c r="C67" s="162"/>
      <c r="D67" s="163"/>
      <c r="E67" s="163"/>
      <c r="F67" s="163"/>
      <c r="G67" s="163"/>
      <c r="H67" s="163"/>
      <c r="I67" s="163"/>
      <c r="J67" s="164"/>
      <c r="K67" s="166"/>
      <c r="L67" s="166"/>
      <c r="M67" s="166"/>
      <c r="N67" s="166"/>
      <c r="O67" s="166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</row>
    <row r="68" spans="1:32">
      <c r="A68" s="99"/>
      <c r="B68" s="100"/>
      <c r="C68" s="162"/>
      <c r="D68" s="163"/>
      <c r="E68" s="163"/>
      <c r="F68" s="163"/>
      <c r="G68" s="163"/>
      <c r="H68" s="163"/>
      <c r="I68" s="163"/>
      <c r="J68" s="164"/>
      <c r="K68" s="166"/>
      <c r="L68" s="166"/>
      <c r="M68" s="166"/>
      <c r="N68" s="166"/>
      <c r="O68" s="166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</row>
    <row r="69" spans="1:32">
      <c r="A69" s="99"/>
      <c r="B69" s="100"/>
      <c r="C69" s="162"/>
      <c r="D69" s="163"/>
      <c r="E69" s="163"/>
      <c r="F69" s="163"/>
      <c r="G69" s="163"/>
      <c r="H69" s="163"/>
      <c r="I69" s="163"/>
      <c r="J69" s="164"/>
      <c r="K69" s="166"/>
      <c r="L69" s="166"/>
      <c r="M69" s="166"/>
      <c r="N69" s="166"/>
      <c r="O69" s="166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</row>
    <row r="70" spans="1:32">
      <c r="A70" s="99"/>
      <c r="B70" s="100"/>
      <c r="C70" s="162"/>
      <c r="D70" s="163"/>
      <c r="E70" s="163"/>
      <c r="F70" s="163"/>
      <c r="G70" s="163"/>
      <c r="H70" s="163"/>
      <c r="I70" s="163"/>
      <c r="J70" s="164"/>
      <c r="K70" s="166"/>
      <c r="L70" s="166"/>
      <c r="M70" s="166"/>
      <c r="N70" s="166"/>
      <c r="O70" s="166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</row>
    <row r="71" spans="1:32">
      <c r="A71" s="99"/>
      <c r="B71" s="100"/>
      <c r="C71" s="162"/>
      <c r="D71" s="163"/>
      <c r="E71" s="163"/>
      <c r="F71" s="163"/>
      <c r="G71" s="163"/>
      <c r="H71" s="163"/>
      <c r="I71" s="163"/>
      <c r="J71" s="164"/>
      <c r="K71" s="166"/>
      <c r="L71" s="166"/>
      <c r="M71" s="166"/>
      <c r="N71" s="166"/>
      <c r="O71" s="166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</row>
    <row r="72" spans="1:32">
      <c r="A72" s="99"/>
      <c r="B72" s="100"/>
      <c r="C72" s="162"/>
      <c r="D72" s="163"/>
      <c r="E72" s="163"/>
      <c r="F72" s="163"/>
      <c r="G72" s="163"/>
      <c r="H72" s="163"/>
      <c r="I72" s="163"/>
      <c r="J72" s="164"/>
      <c r="K72" s="166"/>
      <c r="L72" s="166"/>
      <c r="M72" s="166"/>
      <c r="N72" s="166"/>
      <c r="O72" s="166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</row>
    <row r="73" spans="1:32">
      <c r="A73" s="99"/>
      <c r="B73" s="100"/>
      <c r="C73" s="162"/>
      <c r="D73" s="163"/>
      <c r="E73" s="163"/>
      <c r="F73" s="163"/>
      <c r="G73" s="163"/>
      <c r="H73" s="163"/>
      <c r="I73" s="163"/>
      <c r="J73" s="164"/>
      <c r="K73" s="166"/>
      <c r="L73" s="166"/>
      <c r="M73" s="166"/>
      <c r="N73" s="166"/>
      <c r="O73" s="166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</row>
    <row r="74" spans="1:32">
      <c r="A74" s="99"/>
      <c r="B74" s="100"/>
      <c r="C74" s="162"/>
      <c r="D74" s="163"/>
      <c r="E74" s="163"/>
      <c r="F74" s="163"/>
      <c r="G74" s="163"/>
      <c r="H74" s="163"/>
      <c r="I74" s="163"/>
      <c r="J74" s="164"/>
      <c r="K74" s="166"/>
      <c r="L74" s="166"/>
      <c r="M74" s="166"/>
      <c r="N74" s="166"/>
      <c r="O74" s="166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</row>
    <row r="75" spans="1:32">
      <c r="A75" s="99"/>
      <c r="B75" s="100"/>
      <c r="C75" s="162"/>
      <c r="D75" s="163"/>
      <c r="E75" s="163"/>
      <c r="F75" s="163"/>
      <c r="G75" s="163"/>
      <c r="H75" s="163"/>
      <c r="I75" s="163"/>
      <c r="J75" s="164"/>
      <c r="K75" s="166"/>
      <c r="L75" s="166"/>
      <c r="M75" s="166"/>
      <c r="N75" s="166"/>
      <c r="O75" s="166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</row>
    <row r="76" spans="1:32">
      <c r="A76" s="99"/>
      <c r="B76" s="100"/>
      <c r="C76" s="162"/>
      <c r="D76" s="163"/>
      <c r="E76" s="163"/>
      <c r="F76" s="163"/>
      <c r="G76" s="163"/>
      <c r="H76" s="163"/>
      <c r="I76" s="163"/>
      <c r="J76" s="164"/>
      <c r="K76" s="166"/>
      <c r="L76" s="166"/>
      <c r="M76" s="166"/>
      <c r="N76" s="166"/>
      <c r="O76" s="166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</row>
    <row r="77" spans="1:32">
      <c r="A77" s="99"/>
      <c r="B77" s="100"/>
      <c r="C77" s="162"/>
      <c r="D77" s="163"/>
      <c r="E77" s="163"/>
      <c r="F77" s="163"/>
      <c r="G77" s="163"/>
      <c r="H77" s="163"/>
      <c r="I77" s="163"/>
      <c r="J77" s="164"/>
      <c r="K77" s="166"/>
      <c r="L77" s="166"/>
      <c r="M77" s="166"/>
      <c r="N77" s="166"/>
      <c r="O77" s="166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</row>
    <row r="78" spans="1:32">
      <c r="A78" s="99"/>
      <c r="B78" s="100"/>
      <c r="C78" s="162"/>
      <c r="D78" s="163"/>
      <c r="E78" s="163"/>
      <c r="F78" s="163"/>
      <c r="G78" s="163"/>
      <c r="H78" s="163"/>
      <c r="I78" s="163"/>
      <c r="J78" s="164"/>
      <c r="K78" s="166"/>
      <c r="L78" s="166"/>
      <c r="M78" s="166"/>
      <c r="N78" s="166"/>
      <c r="O78" s="166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</row>
    <row r="79" spans="1:32">
      <c r="A79" s="99"/>
      <c r="B79" s="100"/>
      <c r="C79" s="162"/>
      <c r="D79" s="163"/>
      <c r="E79" s="163"/>
      <c r="F79" s="163"/>
      <c r="G79" s="163"/>
      <c r="H79" s="163"/>
      <c r="I79" s="163"/>
      <c r="J79" s="164"/>
      <c r="K79" s="166"/>
      <c r="L79" s="166"/>
      <c r="M79" s="166"/>
      <c r="N79" s="166"/>
      <c r="O79" s="166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</row>
    <row r="80" spans="1:32">
      <c r="A80" s="99"/>
      <c r="B80" s="100"/>
      <c r="C80" s="162"/>
      <c r="D80" s="163"/>
      <c r="E80" s="163"/>
      <c r="F80" s="163"/>
      <c r="G80" s="163"/>
      <c r="H80" s="163"/>
      <c r="I80" s="163"/>
      <c r="J80" s="164"/>
      <c r="K80" s="166"/>
      <c r="L80" s="166"/>
      <c r="M80" s="166"/>
      <c r="N80" s="166"/>
      <c r="O80" s="166"/>
    </row>
    <row r="81" spans="1:15">
      <c r="A81" s="99"/>
      <c r="B81" s="100"/>
      <c r="C81" s="162"/>
      <c r="D81" s="163"/>
      <c r="E81" s="163"/>
      <c r="F81" s="163"/>
      <c r="G81" s="163"/>
      <c r="H81" s="163"/>
      <c r="I81" s="163"/>
      <c r="J81" s="164"/>
      <c r="K81" s="166"/>
      <c r="L81" s="166"/>
      <c r="M81" s="166"/>
      <c r="N81" s="166"/>
      <c r="O81" s="166"/>
    </row>
    <row r="82" spans="1:15">
      <c r="A82" s="124"/>
      <c r="B82" s="126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</row>
  </sheetData>
  <autoFilter ref="A7:AF7" xr:uid="{00000000-0009-0000-0000-000001000000}"/>
  <mergeCells count="54">
    <mergeCell ref="C79:J79"/>
    <mergeCell ref="K79:O79"/>
    <mergeCell ref="C80:J80"/>
    <mergeCell ref="K80:O80"/>
    <mergeCell ref="C81:J81"/>
    <mergeCell ref="K81:O81"/>
    <mergeCell ref="C76:J76"/>
    <mergeCell ref="K76:O76"/>
    <mergeCell ref="C77:J77"/>
    <mergeCell ref="K77:O77"/>
    <mergeCell ref="C78:J78"/>
    <mergeCell ref="K78:O78"/>
    <mergeCell ref="C73:J73"/>
    <mergeCell ref="K73:O73"/>
    <mergeCell ref="C74:J74"/>
    <mergeCell ref="K74:O74"/>
    <mergeCell ref="C75:J75"/>
    <mergeCell ref="K75:O75"/>
    <mergeCell ref="C70:J70"/>
    <mergeCell ref="K70:O70"/>
    <mergeCell ref="C71:J71"/>
    <mergeCell ref="K71:O71"/>
    <mergeCell ref="C72:J72"/>
    <mergeCell ref="K72:O72"/>
    <mergeCell ref="C67:J67"/>
    <mergeCell ref="K67:O67"/>
    <mergeCell ref="C68:J68"/>
    <mergeCell ref="K68:O68"/>
    <mergeCell ref="C69:J69"/>
    <mergeCell ref="K69:O69"/>
    <mergeCell ref="C64:J64"/>
    <mergeCell ref="K64:O64"/>
    <mergeCell ref="C65:J65"/>
    <mergeCell ref="K65:O65"/>
    <mergeCell ref="C66:J66"/>
    <mergeCell ref="K66:O66"/>
    <mergeCell ref="C61:J61"/>
    <mergeCell ref="K61:O61"/>
    <mergeCell ref="C62:J62"/>
    <mergeCell ref="K62:O62"/>
    <mergeCell ref="C63:J63"/>
    <mergeCell ref="K63:O63"/>
    <mergeCell ref="C58:J58"/>
    <mergeCell ref="K58:O58"/>
    <mergeCell ref="C59:J59"/>
    <mergeCell ref="K59:O59"/>
    <mergeCell ref="C60:J60"/>
    <mergeCell ref="K60:O60"/>
    <mergeCell ref="A50:B50"/>
    <mergeCell ref="A6:B6"/>
    <mergeCell ref="C6:AF6"/>
    <mergeCell ref="A47:B47"/>
    <mergeCell ref="A48:B48"/>
    <mergeCell ref="A49:B49"/>
  </mergeCells>
  <pageMargins left="0.27559055118110237" right="0.27559055118110237" top="0.2265625" bottom="0.75" header="0.23622047244094491" footer="0.31496062992125984"/>
  <pageSetup scale="72" orientation="landscape" r:id="rId1"/>
  <headerFooter>
    <oddFooter>&amp;R&amp;"Abadi Extra Light,Normal"
RHF19 - Tercera - 01/03/2024                   Página &amp;P de &amp;N</oddFooter>
  </headerFooter>
  <rowBreaks count="1" manualBreakCount="1">
    <brk id="52" max="33" man="1"/>
  </rowBreaks>
  <drawing r:id="rId2"/>
  <legacyDrawing r:id="rId3"/>
  <oleObjects>
    <mc:AlternateContent xmlns:mc="http://schemas.openxmlformats.org/markup-compatibility/2006">
      <mc:Choice Requires="x14">
        <oleObject progId="PBrush" shapeId="14337" r:id="rId4">
          <objectPr defaultSize="0" autoPict="0" r:id="rId5">
            <anchor moveWithCells="1" sizeWithCells="1">
              <from>
                <xdr:col>27</xdr:col>
                <xdr:colOff>276225</xdr:colOff>
                <xdr:row>0</xdr:row>
                <xdr:rowOff>114300</xdr:rowOff>
              </from>
              <to>
                <xdr:col>31</xdr:col>
                <xdr:colOff>457200</xdr:colOff>
                <xdr:row>3</xdr:row>
                <xdr:rowOff>95250</xdr:rowOff>
              </to>
            </anchor>
          </objectPr>
        </oleObject>
      </mc:Choice>
      <mc:Fallback>
        <oleObject progId="PBrush" shapeId="1433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038E-D213-4CEC-8E1C-E329609D28BC}">
  <dimension ref="A1:AM71"/>
  <sheetViews>
    <sheetView zoomScaleNormal="100" workbookViewId="0">
      <pane ySplit="1" topLeftCell="A17" activePane="bottomLeft" state="frozen"/>
      <selection pane="bottomLeft" activeCell="I21" sqref="I21"/>
    </sheetView>
  </sheetViews>
  <sheetFormatPr defaultColWidth="11.42578125" defaultRowHeight="15"/>
  <cols>
    <col min="1" max="1" width="27.28515625" customWidth="1"/>
    <col min="2" max="2" width="32.5703125" style="5" customWidth="1"/>
    <col min="3" max="3" width="4.7109375" customWidth="1"/>
    <col min="4" max="4" width="3.7109375" customWidth="1"/>
    <col min="5" max="5" width="4.85546875" customWidth="1"/>
    <col min="6" max="6" width="3.7109375" customWidth="1"/>
    <col min="7" max="7" width="5.28515625" customWidth="1"/>
    <col min="8" max="8" width="3.7109375" customWidth="1"/>
    <col min="9" max="9" width="6.28515625" customWidth="1"/>
    <col min="10" max="10" width="4.140625" customWidth="1"/>
    <col min="11" max="11" width="3.7109375" customWidth="1"/>
    <col min="12" max="12" width="4.140625" customWidth="1"/>
    <col min="13" max="22" width="3.7109375" customWidth="1"/>
    <col min="23" max="23" width="4.140625" customWidth="1"/>
    <col min="24" max="24" width="4.28515625" customWidth="1"/>
    <col min="25" max="25" width="3.7109375" customWidth="1"/>
    <col min="26" max="26" width="6.7109375" bestFit="1" customWidth="1"/>
    <col min="27" max="27" width="3.7109375" customWidth="1"/>
    <col min="28" max="28" width="6.42578125" customWidth="1"/>
    <col min="29" max="29" width="3.7109375" customWidth="1"/>
    <col min="30" max="30" width="6.28515625" customWidth="1"/>
    <col min="31" max="31" width="3.7109375" customWidth="1"/>
    <col min="32" max="32" width="6.7109375" customWidth="1"/>
    <col min="33" max="33" width="4" customWidth="1"/>
    <col min="34" max="36" width="0" hidden="1" customWidth="1"/>
    <col min="37" max="37" width="23.28515625" bestFit="1" customWidth="1"/>
  </cols>
  <sheetData>
    <row r="1" spans="1:33">
      <c r="A1" s="44"/>
      <c r="B1" s="45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</row>
    <row r="2" spans="1:33">
      <c r="A2" s="44"/>
      <c r="B2" s="45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</row>
    <row r="3" spans="1:33">
      <c r="A3" s="44"/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</row>
    <row r="4" spans="1:33" ht="26.25">
      <c r="A4" s="46" t="s">
        <v>104</v>
      </c>
      <c r="B4" s="45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</row>
    <row r="5" spans="1:33">
      <c r="A5" s="44"/>
      <c r="B5" s="45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</row>
    <row r="6" spans="1:33" ht="15.75" thickBot="1">
      <c r="A6" s="167" t="s">
        <v>0</v>
      </c>
      <c r="B6" s="167"/>
      <c r="C6" s="168" t="s">
        <v>1</v>
      </c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</row>
    <row r="7" spans="1:33" ht="90.75" customHeight="1" thickBot="1">
      <c r="A7" s="68" t="s">
        <v>4</v>
      </c>
      <c r="B7" s="69" t="s">
        <v>5</v>
      </c>
      <c r="C7" s="70" t="s">
        <v>194</v>
      </c>
      <c r="D7" s="70" t="s">
        <v>106</v>
      </c>
      <c r="E7" s="71" t="s">
        <v>195</v>
      </c>
      <c r="F7" s="71" t="s">
        <v>108</v>
      </c>
      <c r="G7" s="70" t="s">
        <v>196</v>
      </c>
      <c r="H7" s="70" t="s">
        <v>106</v>
      </c>
      <c r="I7" s="71" t="s">
        <v>197</v>
      </c>
      <c r="J7" s="71" t="s">
        <v>108</v>
      </c>
      <c r="K7" s="71"/>
      <c r="L7" s="70" t="s">
        <v>106</v>
      </c>
      <c r="M7" s="70"/>
      <c r="N7" s="71" t="s">
        <v>106</v>
      </c>
      <c r="O7" s="70"/>
      <c r="P7" s="70" t="s">
        <v>108</v>
      </c>
      <c r="Q7" s="71"/>
      <c r="R7" s="71" t="s">
        <v>108</v>
      </c>
      <c r="S7" s="70"/>
      <c r="T7" s="70" t="s">
        <v>106</v>
      </c>
      <c r="U7" s="71"/>
      <c r="V7" s="71" t="s">
        <v>108</v>
      </c>
      <c r="W7" s="70"/>
      <c r="X7" s="70" t="s">
        <v>106</v>
      </c>
      <c r="Y7" s="70"/>
      <c r="Z7" s="70" t="s">
        <v>106</v>
      </c>
      <c r="AA7" s="71"/>
      <c r="AB7" s="71" t="s">
        <v>108</v>
      </c>
      <c r="AC7" s="70"/>
      <c r="AD7" s="70" t="s">
        <v>106</v>
      </c>
      <c r="AE7" s="71"/>
      <c r="AF7" s="71" t="s">
        <v>108</v>
      </c>
    </row>
    <row r="8" spans="1:33">
      <c r="A8" s="50" t="s">
        <v>120</v>
      </c>
      <c r="B8" s="51" t="s">
        <v>121</v>
      </c>
      <c r="C8" s="74"/>
      <c r="D8" s="86"/>
      <c r="E8" s="47"/>
      <c r="F8" s="86"/>
      <c r="G8" s="47"/>
      <c r="H8" s="47"/>
      <c r="I8" s="47"/>
      <c r="J8" s="47"/>
      <c r="K8" s="47"/>
      <c r="L8" s="8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86"/>
      <c r="Y8" s="47"/>
      <c r="Z8" s="47"/>
      <c r="AA8" s="47"/>
      <c r="AB8" s="47"/>
      <c r="AC8" s="47"/>
      <c r="AD8" s="47"/>
      <c r="AE8" s="47"/>
      <c r="AF8" s="47"/>
    </row>
    <row r="9" spans="1:33" ht="24">
      <c r="A9" s="53" t="s">
        <v>122</v>
      </c>
      <c r="B9" s="54" t="s">
        <v>123</v>
      </c>
      <c r="C9" s="75"/>
      <c r="D9" s="86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86"/>
      <c r="Q9" s="47"/>
      <c r="R9" s="47"/>
      <c r="S9" s="47"/>
      <c r="T9" s="47"/>
      <c r="U9" s="47"/>
      <c r="V9" s="47"/>
      <c r="W9" s="47"/>
      <c r="X9" s="86"/>
      <c r="Y9" s="47"/>
      <c r="Z9" s="47"/>
      <c r="AA9" s="47"/>
      <c r="AB9" s="47"/>
      <c r="AC9" s="47"/>
      <c r="AD9" s="47"/>
      <c r="AE9" s="47"/>
      <c r="AF9" s="47"/>
    </row>
    <row r="10" spans="1:33" ht="15" customHeight="1">
      <c r="A10" s="53" t="s">
        <v>124</v>
      </c>
      <c r="B10" s="54" t="s">
        <v>123</v>
      </c>
      <c r="C10" s="75"/>
      <c r="D10" s="86"/>
      <c r="E10" s="47"/>
      <c r="F10" s="47"/>
      <c r="G10" s="47"/>
      <c r="H10" s="47"/>
      <c r="I10" s="47"/>
      <c r="J10" s="47"/>
      <c r="K10" s="47"/>
      <c r="L10" s="86"/>
      <c r="M10" s="47"/>
      <c r="N10" s="47"/>
      <c r="O10" s="47"/>
      <c r="P10" s="86"/>
      <c r="Q10" s="47"/>
      <c r="R10" s="47"/>
      <c r="S10" s="47"/>
      <c r="T10" s="47"/>
      <c r="U10" s="47"/>
      <c r="V10" s="47"/>
      <c r="W10" s="47"/>
      <c r="X10" s="86"/>
      <c r="Y10" s="47"/>
      <c r="Z10" s="47"/>
      <c r="AA10" s="47"/>
      <c r="AB10" s="47"/>
      <c r="AC10" s="47"/>
      <c r="AD10" s="47"/>
      <c r="AE10" s="47"/>
      <c r="AF10" s="47"/>
    </row>
    <row r="11" spans="1:33" ht="15" customHeight="1">
      <c r="A11" s="53" t="s">
        <v>126</v>
      </c>
      <c r="B11" s="54" t="s">
        <v>127</v>
      </c>
      <c r="C11" s="75"/>
      <c r="D11" s="86"/>
      <c r="E11" s="47"/>
      <c r="F11" s="47"/>
      <c r="G11" s="47"/>
      <c r="H11" s="47"/>
      <c r="I11" s="47"/>
      <c r="J11" s="47"/>
      <c r="K11" s="47"/>
      <c r="L11" s="86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86"/>
      <c r="Y11" s="47"/>
      <c r="Z11" s="47"/>
      <c r="AA11" s="47"/>
      <c r="AB11" s="47"/>
      <c r="AC11" s="47"/>
      <c r="AD11" s="47"/>
      <c r="AE11" s="47"/>
      <c r="AF11" s="47"/>
    </row>
    <row r="12" spans="1:33">
      <c r="A12" s="53" t="s">
        <v>128</v>
      </c>
      <c r="B12" s="54" t="s">
        <v>129</v>
      </c>
      <c r="C12" s="75"/>
      <c r="D12" s="47"/>
      <c r="E12" s="47"/>
      <c r="F12" s="47"/>
      <c r="G12" s="47"/>
      <c r="H12" s="52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</row>
    <row r="13" spans="1:33">
      <c r="A13" s="53" t="s">
        <v>76</v>
      </c>
      <c r="B13" s="55" t="s">
        <v>130</v>
      </c>
      <c r="C13" s="75"/>
      <c r="D13" s="47"/>
      <c r="E13" s="47"/>
      <c r="F13" s="47"/>
      <c r="G13" s="47"/>
      <c r="H13" s="52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</row>
    <row r="14" spans="1:33">
      <c r="A14" s="53" t="s">
        <v>57</v>
      </c>
      <c r="B14" s="55" t="s">
        <v>131</v>
      </c>
      <c r="C14" s="75"/>
      <c r="D14" s="86"/>
      <c r="E14" s="47"/>
      <c r="F14" s="47"/>
      <c r="G14" s="47"/>
      <c r="H14" s="52"/>
      <c r="I14" s="47"/>
      <c r="J14" s="47"/>
      <c r="K14" s="47"/>
      <c r="L14" s="86"/>
      <c r="M14" s="47"/>
      <c r="N14" s="86"/>
      <c r="O14" s="47"/>
      <c r="P14" s="86"/>
      <c r="Q14" s="47"/>
      <c r="R14" s="47"/>
      <c r="S14" s="47"/>
      <c r="T14" s="47"/>
      <c r="U14" s="47"/>
      <c r="V14" s="47"/>
      <c r="W14" s="47"/>
      <c r="X14" s="86"/>
      <c r="Y14" s="47"/>
      <c r="Z14" s="47"/>
      <c r="AA14" s="47"/>
      <c r="AB14" s="47"/>
      <c r="AC14" s="47"/>
      <c r="AD14" s="47"/>
      <c r="AE14" s="47"/>
      <c r="AF14" s="47"/>
    </row>
    <row r="15" spans="1:33">
      <c r="A15" s="53" t="s">
        <v>132</v>
      </c>
      <c r="B15" s="55" t="s">
        <v>131</v>
      </c>
      <c r="C15" s="75"/>
      <c r="D15" s="47"/>
      <c r="E15" s="47"/>
      <c r="F15" s="47"/>
      <c r="G15" s="47"/>
      <c r="H15" s="52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</row>
    <row r="16" spans="1:33">
      <c r="A16" s="53" t="s">
        <v>133</v>
      </c>
      <c r="B16" s="55" t="s">
        <v>134</v>
      </c>
      <c r="C16" s="75"/>
      <c r="D16" s="47"/>
      <c r="E16" s="47"/>
      <c r="F16" s="47"/>
      <c r="G16" s="47"/>
      <c r="H16" s="52"/>
      <c r="I16" s="47"/>
      <c r="J16" s="52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</row>
    <row r="17" spans="1:32">
      <c r="A17" s="53" t="s">
        <v>67</v>
      </c>
      <c r="B17" s="55" t="s">
        <v>135</v>
      </c>
      <c r="C17" s="75"/>
      <c r="D17" s="86"/>
      <c r="E17" s="47"/>
      <c r="F17" s="47"/>
      <c r="G17" s="47"/>
      <c r="H17" s="52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</row>
    <row r="18" spans="1:32">
      <c r="A18" s="53" t="s">
        <v>78</v>
      </c>
      <c r="B18" s="55" t="s">
        <v>68</v>
      </c>
      <c r="C18" s="75"/>
      <c r="D18" s="86"/>
      <c r="E18" s="47"/>
      <c r="F18" s="47"/>
      <c r="G18" s="47"/>
      <c r="H18" s="52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</row>
    <row r="19" spans="1:32">
      <c r="A19" s="53" t="s">
        <v>79</v>
      </c>
      <c r="B19" s="55" t="s">
        <v>68</v>
      </c>
      <c r="C19" s="75"/>
      <c r="D19" s="86"/>
      <c r="E19" s="47"/>
      <c r="F19" s="47"/>
      <c r="G19" s="47"/>
      <c r="H19" s="52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</row>
    <row r="20" spans="1:32">
      <c r="A20" s="53" t="s">
        <v>89</v>
      </c>
      <c r="B20" s="55" t="s">
        <v>68</v>
      </c>
      <c r="C20" s="75"/>
      <c r="D20" s="86"/>
      <c r="E20" s="47"/>
      <c r="F20" s="47"/>
      <c r="G20" s="47"/>
      <c r="H20" s="52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</row>
    <row r="21" spans="1:32">
      <c r="A21" s="53" t="s">
        <v>136</v>
      </c>
      <c r="B21" s="55" t="s">
        <v>68</v>
      </c>
      <c r="C21" s="75"/>
      <c r="D21" s="86"/>
      <c r="E21" s="47"/>
      <c r="F21" s="47"/>
      <c r="G21" s="47"/>
      <c r="H21" s="52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</row>
    <row r="22" spans="1:32">
      <c r="A22" s="53" t="s">
        <v>137</v>
      </c>
      <c r="B22" s="55" t="s">
        <v>68</v>
      </c>
      <c r="C22" s="75"/>
      <c r="D22" s="86"/>
      <c r="E22" s="47"/>
      <c r="F22" s="47"/>
      <c r="G22" s="47"/>
      <c r="H22" s="52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</row>
    <row r="23" spans="1:32">
      <c r="A23" s="53" t="s">
        <v>72</v>
      </c>
      <c r="B23" s="55" t="s">
        <v>138</v>
      </c>
      <c r="C23" s="75"/>
      <c r="D23" s="86"/>
      <c r="E23" s="47"/>
      <c r="F23" s="47"/>
      <c r="G23" s="47"/>
      <c r="H23" s="52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</row>
    <row r="24" spans="1:32">
      <c r="A24" s="53" t="s">
        <v>77</v>
      </c>
      <c r="B24" s="55" t="s">
        <v>138</v>
      </c>
      <c r="C24" s="75"/>
      <c r="D24" s="86"/>
      <c r="E24" s="47"/>
      <c r="F24" s="47"/>
      <c r="G24" s="47"/>
      <c r="H24" s="52"/>
      <c r="I24" s="47"/>
      <c r="J24" s="47"/>
      <c r="K24" s="47"/>
      <c r="L24" s="47"/>
      <c r="M24" s="47"/>
      <c r="N24" s="47"/>
      <c r="O24" s="47"/>
      <c r="P24" s="86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</row>
    <row r="25" spans="1:32">
      <c r="A25" s="53" t="s">
        <v>139</v>
      </c>
      <c r="B25" s="55" t="s">
        <v>140</v>
      </c>
      <c r="C25" s="75"/>
      <c r="D25" s="86"/>
      <c r="E25" s="47"/>
      <c r="F25" s="47"/>
      <c r="G25" s="47"/>
      <c r="H25" s="52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</row>
    <row r="26" spans="1:32">
      <c r="A26" s="53" t="s">
        <v>141</v>
      </c>
      <c r="B26" s="55" t="s">
        <v>142</v>
      </c>
      <c r="C26" s="75"/>
      <c r="D26" s="47"/>
      <c r="E26" s="47"/>
      <c r="F26" s="47"/>
      <c r="G26" s="47"/>
      <c r="H26" s="52"/>
      <c r="I26" s="47"/>
      <c r="J26" s="52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</row>
    <row r="27" spans="1:32">
      <c r="A27" s="53" t="s">
        <v>65</v>
      </c>
      <c r="B27" s="55" t="s">
        <v>66</v>
      </c>
      <c r="C27" s="75"/>
      <c r="D27" s="86"/>
      <c r="E27" s="47"/>
      <c r="F27" s="47"/>
      <c r="G27" s="47"/>
      <c r="H27" s="47"/>
      <c r="I27" s="47"/>
      <c r="J27" s="47"/>
      <c r="K27" s="47"/>
      <c r="L27" s="86"/>
      <c r="M27" s="47"/>
      <c r="N27" s="47"/>
      <c r="O27" s="47"/>
      <c r="P27" s="86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</row>
    <row r="28" spans="1:32">
      <c r="A28" s="53" t="s">
        <v>143</v>
      </c>
      <c r="B28" s="55" t="s">
        <v>66</v>
      </c>
      <c r="C28" s="75"/>
      <c r="D28" s="75"/>
      <c r="E28" s="47"/>
      <c r="F28" s="47"/>
      <c r="G28" s="47"/>
      <c r="H28" s="52"/>
      <c r="I28" s="47"/>
      <c r="J28" s="52"/>
      <c r="K28" s="47"/>
      <c r="L28" s="47"/>
      <c r="M28" s="47"/>
      <c r="N28" s="47"/>
      <c r="O28" s="47"/>
      <c r="P28" s="86"/>
      <c r="Q28" s="47"/>
      <c r="R28" s="47"/>
      <c r="S28" s="47"/>
      <c r="T28" s="47"/>
      <c r="U28" s="47"/>
      <c r="V28" s="47"/>
      <c r="W28" s="47"/>
      <c r="X28" s="86"/>
      <c r="Y28" s="47"/>
      <c r="Z28" s="47"/>
      <c r="AA28" s="47"/>
      <c r="AB28" s="47"/>
      <c r="AC28" s="47"/>
      <c r="AD28" s="47"/>
      <c r="AE28" s="47"/>
      <c r="AF28" s="47"/>
    </row>
    <row r="29" spans="1:32">
      <c r="A29" s="53" t="s">
        <v>144</v>
      </c>
      <c r="B29" s="55" t="s">
        <v>66</v>
      </c>
      <c r="C29" s="75"/>
      <c r="D29" s="75"/>
      <c r="E29" s="47"/>
      <c r="F29" s="47"/>
      <c r="G29" s="47"/>
      <c r="H29" s="52"/>
      <c r="I29" s="47"/>
      <c r="J29" s="52"/>
      <c r="K29" s="47"/>
      <c r="L29" s="86"/>
      <c r="M29" s="47"/>
      <c r="N29" s="47"/>
      <c r="O29" s="47"/>
      <c r="P29" s="86"/>
      <c r="Q29" s="47"/>
      <c r="R29" s="47"/>
      <c r="S29" s="47"/>
      <c r="T29" s="47"/>
      <c r="U29" s="47"/>
      <c r="V29" s="47"/>
      <c r="W29" s="47"/>
      <c r="X29" s="86"/>
      <c r="Y29" s="47"/>
      <c r="Z29" s="47"/>
      <c r="AA29" s="47"/>
      <c r="AB29" s="47"/>
      <c r="AC29" s="47"/>
      <c r="AD29" s="47"/>
      <c r="AE29" s="47"/>
      <c r="AF29" s="47"/>
    </row>
    <row r="30" spans="1:32">
      <c r="A30" s="53" t="s">
        <v>145</v>
      </c>
      <c r="B30" s="55" t="s">
        <v>138</v>
      </c>
      <c r="C30" s="75"/>
      <c r="D30" s="75"/>
      <c r="E30" s="47"/>
      <c r="F30" s="47"/>
      <c r="G30" s="47"/>
      <c r="H30" s="52"/>
      <c r="I30" s="47"/>
      <c r="J30" s="52"/>
      <c r="K30" s="47"/>
      <c r="L30" s="86"/>
      <c r="M30" s="47"/>
      <c r="N30" s="47"/>
      <c r="O30" s="47"/>
      <c r="P30" s="86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</row>
    <row r="31" spans="1:32">
      <c r="A31" s="53" t="s">
        <v>80</v>
      </c>
      <c r="B31" s="54" t="s">
        <v>146</v>
      </c>
      <c r="C31" s="75"/>
      <c r="D31" s="86"/>
      <c r="E31" s="47"/>
      <c r="F31" s="47"/>
      <c r="G31" s="47"/>
      <c r="H31" s="52"/>
      <c r="I31" s="47"/>
      <c r="J31" s="47"/>
      <c r="K31" s="47"/>
      <c r="L31" s="86"/>
      <c r="M31" s="47"/>
      <c r="N31" s="47"/>
      <c r="O31" s="47"/>
      <c r="P31" s="86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</row>
    <row r="32" spans="1:32">
      <c r="A32" s="53" t="s">
        <v>147</v>
      </c>
      <c r="B32" s="55" t="s">
        <v>146</v>
      </c>
      <c r="C32" s="75"/>
      <c r="D32" s="86"/>
      <c r="E32" s="47"/>
      <c r="F32" s="47"/>
      <c r="G32" s="47"/>
      <c r="H32" s="52"/>
      <c r="I32" s="47"/>
      <c r="J32" s="47"/>
      <c r="K32" s="47"/>
      <c r="L32" s="47"/>
      <c r="M32" s="47"/>
      <c r="N32" s="47"/>
      <c r="O32" s="47"/>
      <c r="P32" s="86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</row>
    <row r="33" spans="1:39">
      <c r="A33" s="53" t="s">
        <v>98</v>
      </c>
      <c r="B33" s="55" t="s">
        <v>148</v>
      </c>
      <c r="C33" s="75"/>
      <c r="D33" s="86"/>
      <c r="E33" s="47"/>
      <c r="F33" s="47"/>
      <c r="G33" s="47"/>
      <c r="H33" s="52"/>
      <c r="I33" s="47"/>
      <c r="J33" s="47"/>
      <c r="K33" s="47"/>
      <c r="L33" s="47"/>
      <c r="M33" s="47"/>
      <c r="N33" s="47"/>
      <c r="O33" s="47"/>
      <c r="P33" s="86"/>
      <c r="Q33" s="47"/>
      <c r="R33" s="47"/>
      <c r="S33" s="47"/>
      <c r="T33" s="47"/>
      <c r="U33" s="47"/>
      <c r="V33" s="47"/>
      <c r="W33" s="47"/>
      <c r="X33" s="86"/>
      <c r="Y33" s="47"/>
      <c r="Z33" s="47"/>
      <c r="AA33" s="47"/>
      <c r="AB33" s="47"/>
      <c r="AC33" s="47"/>
      <c r="AD33" s="47"/>
      <c r="AE33" s="47"/>
      <c r="AF33" s="47"/>
    </row>
    <row r="34" spans="1:39">
      <c r="A34" s="53" t="s">
        <v>149</v>
      </c>
      <c r="B34" s="55" t="s">
        <v>188</v>
      </c>
      <c r="C34" s="75"/>
      <c r="D34" s="86"/>
      <c r="E34" s="47"/>
      <c r="F34" s="47"/>
      <c r="G34" s="47"/>
      <c r="H34" s="52"/>
      <c r="I34" s="47"/>
      <c r="J34" s="47"/>
      <c r="K34" s="47"/>
      <c r="L34" s="47"/>
      <c r="M34" s="47"/>
      <c r="N34" s="47"/>
      <c r="O34" s="47"/>
      <c r="P34" s="86"/>
      <c r="Q34" s="47"/>
      <c r="R34" s="47"/>
      <c r="S34" s="47"/>
      <c r="T34" s="47"/>
      <c r="U34" s="47"/>
      <c r="V34" s="47"/>
      <c r="W34" s="47"/>
      <c r="X34" s="86"/>
      <c r="Y34" s="47"/>
      <c r="Z34" s="47"/>
      <c r="AA34" s="47"/>
      <c r="AB34" s="47"/>
      <c r="AC34" s="47"/>
      <c r="AD34" s="47"/>
      <c r="AE34" s="47"/>
      <c r="AF34" s="47"/>
    </row>
    <row r="35" spans="1:39" ht="15.75" thickBot="1">
      <c r="A35" s="56"/>
      <c r="B35" s="57"/>
      <c r="C35" s="76"/>
      <c r="D35" s="7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</row>
    <row r="36" spans="1:39">
      <c r="A36" s="146" t="s">
        <v>100</v>
      </c>
      <c r="B36" s="146"/>
      <c r="C36" s="63">
        <f>COUNTIF(C8:C34,"X")</f>
        <v>0</v>
      </c>
      <c r="D36" s="63" t="e">
        <f>AVERAGE(D8:D34)</f>
        <v>#DIV/0!</v>
      </c>
      <c r="E36" s="63">
        <f>COUNTIF(E8:E34,"X")</f>
        <v>0</v>
      </c>
      <c r="F36" s="63" t="e">
        <f>AVERAGE(F8:F34)</f>
        <v>#DIV/0!</v>
      </c>
      <c r="G36" s="63">
        <f>COUNTIF(G8:G34,"X")</f>
        <v>0</v>
      </c>
      <c r="H36" s="63" t="e">
        <f>AVERAGE(H8:H34)</f>
        <v>#DIV/0!</v>
      </c>
      <c r="I36" s="63">
        <f>COUNTIF(I8:I34,"X")</f>
        <v>0</v>
      </c>
      <c r="J36" s="63" t="e">
        <f>AVERAGE(J8:J34)</f>
        <v>#DIV/0!</v>
      </c>
      <c r="K36" s="63">
        <f>COUNTIF(K8:K34,"X")</f>
        <v>0</v>
      </c>
      <c r="L36" s="63" t="e">
        <f>AVERAGE(L8:L34)</f>
        <v>#DIV/0!</v>
      </c>
      <c r="M36" s="63">
        <f>COUNTIF(M8:M34,"X")</f>
        <v>0</v>
      </c>
      <c r="N36" s="63" t="e">
        <f>AVERAGE(N8:N34)</f>
        <v>#DIV/0!</v>
      </c>
      <c r="O36" s="63">
        <f>COUNTIF(O8:O34,"X")</f>
        <v>0</v>
      </c>
      <c r="P36" s="63" t="e">
        <f>AVERAGE(P8:P34)</f>
        <v>#DIV/0!</v>
      </c>
      <c r="Q36" s="63">
        <f>COUNTIF(Q8:Q34,"X")</f>
        <v>0</v>
      </c>
      <c r="R36" s="63" t="e">
        <f>AVERAGE(R8:R34)</f>
        <v>#DIV/0!</v>
      </c>
      <c r="S36" s="63">
        <f>COUNTIF(S8:S34,"X")</f>
        <v>0</v>
      </c>
      <c r="T36" s="63" t="e">
        <f>AVERAGE(T8:T34)</f>
        <v>#DIV/0!</v>
      </c>
      <c r="U36" s="63">
        <f>COUNTIF(U8:U34,"X")</f>
        <v>0</v>
      </c>
      <c r="V36" s="63" t="e">
        <f>AVERAGE(V8:V34)</f>
        <v>#DIV/0!</v>
      </c>
      <c r="W36" s="63">
        <f>COUNTIF(W8:W34,"X")</f>
        <v>0</v>
      </c>
      <c r="X36" s="63" t="e">
        <f>AVERAGE(X8:X34)</f>
        <v>#DIV/0!</v>
      </c>
      <c r="Y36" s="63">
        <f>COUNTIF(Y8:Y34,"X")</f>
        <v>0</v>
      </c>
      <c r="Z36" s="63" t="e">
        <f>AVERAGE(Z8:Z34)</f>
        <v>#DIV/0!</v>
      </c>
      <c r="AA36" s="63">
        <f>COUNTIF(AA8:AA34,"X")</f>
        <v>0</v>
      </c>
      <c r="AB36" s="63" t="e">
        <f>AVERAGE(AB8:AB34)</f>
        <v>#DIV/0!</v>
      </c>
      <c r="AC36" s="63"/>
      <c r="AD36" s="63"/>
      <c r="AE36" s="63"/>
      <c r="AF36" s="63"/>
      <c r="AH36" s="39" t="e">
        <f>AVERAGE(C36+E36+G36+I36+K36+M36+O36+#REF!+Q36+S36+U36+W36+#REF!+Y36+AA36+AC36+AE36)</f>
        <v>#REF!</v>
      </c>
      <c r="AK36">
        <f>+(C36+E36+G36+I36+K36+M36+O36+Q36+S36+U36+W36+Y36+AA36)/13</f>
        <v>0</v>
      </c>
      <c r="AL36">
        <f>+C36+E36+G36+I36+K36+M36+O36+Q36+S36+U36+W36+Y36+AA36</f>
        <v>0</v>
      </c>
    </row>
    <row r="37" spans="1:39">
      <c r="A37" s="147" t="s">
        <v>155</v>
      </c>
      <c r="B37" s="147"/>
      <c r="C37" s="63">
        <f>COUNTIF(C8:C33,"S/C")</f>
        <v>0</v>
      </c>
      <c r="D37" s="63">
        <f>C37</f>
        <v>0</v>
      </c>
      <c r="E37" s="63">
        <f>COUNTIF(E8:E33,"S/C")</f>
        <v>0</v>
      </c>
      <c r="F37" s="63">
        <f>COUNTIF(F8:F33,"&lt;80")</f>
        <v>0</v>
      </c>
      <c r="G37" s="63">
        <f>COUNTIF(G8:G33,"S/C")</f>
        <v>0</v>
      </c>
      <c r="H37" s="63">
        <f>COUNTIF(H8:H33,"&lt;80")</f>
        <v>0</v>
      </c>
      <c r="I37" s="63">
        <f>COUNTIF(I8:I33,"S/C")</f>
        <v>0</v>
      </c>
      <c r="J37" s="63">
        <f>COUNTIF(J8:J33,"&lt;80")</f>
        <v>0</v>
      </c>
      <c r="K37" s="63">
        <f>COUNTIF(K8:K33,"S/C")</f>
        <v>0</v>
      </c>
      <c r="L37" s="63">
        <f>COUNTIF(L8:L33,"&lt;80")</f>
        <v>0</v>
      </c>
      <c r="M37" s="63">
        <f>COUNTIF(M8:M33,"S/C")</f>
        <v>0</v>
      </c>
      <c r="N37" s="63">
        <f>COUNTIF(N8:N33,"&lt;80")</f>
        <v>0</v>
      </c>
      <c r="O37" s="63">
        <f>COUNTIF(O8:O33,"S/C")</f>
        <v>0</v>
      </c>
      <c r="P37" s="63">
        <f>COUNTIF(P8:P33,"&lt;80")</f>
        <v>0</v>
      </c>
      <c r="Q37" s="63">
        <f>COUNTIF(Q8:Q33,"S/C")</f>
        <v>0</v>
      </c>
      <c r="R37" s="63">
        <f>COUNTIF(R8:R33,"&lt;80")</f>
        <v>0</v>
      </c>
      <c r="S37" s="63">
        <f>COUNTIF(S8:S33,"S/C")</f>
        <v>0</v>
      </c>
      <c r="T37" s="63">
        <f>COUNTIF(T8:T33,"&lt;80")</f>
        <v>0</v>
      </c>
      <c r="U37" s="63">
        <f>COUNTIF(U8:U33,"S/C")</f>
        <v>0</v>
      </c>
      <c r="V37" s="63">
        <f>COUNTIF(V8:V33,"&lt;80")</f>
        <v>0</v>
      </c>
      <c r="W37" s="63">
        <f>COUNTIF(W8:W33,"S/C")</f>
        <v>0</v>
      </c>
      <c r="X37" s="63">
        <f>COUNTIF(X8:X33,"&lt;80")</f>
        <v>0</v>
      </c>
      <c r="Y37" s="63">
        <f>COUNTIF(Y8:Y33,"S/C")</f>
        <v>0</v>
      </c>
      <c r="Z37" s="63">
        <f>COUNTIF(Z8:Z33,"&lt;80")</f>
        <v>0</v>
      </c>
      <c r="AA37" s="63">
        <f>COUNTIF(AA8:AA33,"S/C")</f>
        <v>0</v>
      </c>
      <c r="AB37" s="63">
        <f>COUNTIF(AB8:AB33,"&lt;80")</f>
        <v>0</v>
      </c>
      <c r="AC37" s="63">
        <f>COUNTIF(AC8:AC33,"S/C")</f>
        <v>0</v>
      </c>
      <c r="AD37" s="63">
        <f>COUNTIF(AD8:AD33,"&lt;80")</f>
        <v>0</v>
      </c>
      <c r="AE37" s="63">
        <f>COUNTIF(AE8:AE33,"S/C")</f>
        <v>0</v>
      </c>
      <c r="AF37" s="63">
        <f>COUNTIF(AF8:AF33,"&lt;80")</f>
        <v>0</v>
      </c>
      <c r="AH37">
        <f>SUM(C37:AF37)</f>
        <v>0</v>
      </c>
      <c r="AK37" t="s">
        <v>156</v>
      </c>
      <c r="AL37">
        <f>+AL36/13</f>
        <v>0</v>
      </c>
    </row>
    <row r="38" spans="1:39">
      <c r="A38" s="147" t="s">
        <v>102</v>
      </c>
      <c r="B38" s="147"/>
      <c r="C38" s="63">
        <f t="shared" ref="C38:AF38" si="0">COUNTIF(C8:C34,"NA")</f>
        <v>0</v>
      </c>
      <c r="D38" s="63">
        <f t="shared" si="0"/>
        <v>0</v>
      </c>
      <c r="E38" s="63">
        <f t="shared" si="0"/>
        <v>0</v>
      </c>
      <c r="F38" s="63">
        <f t="shared" si="0"/>
        <v>0</v>
      </c>
      <c r="G38" s="63">
        <f t="shared" si="0"/>
        <v>0</v>
      </c>
      <c r="H38" s="63">
        <f t="shared" si="0"/>
        <v>0</v>
      </c>
      <c r="I38" s="63">
        <f t="shared" si="0"/>
        <v>0</v>
      </c>
      <c r="J38" s="63">
        <f t="shared" si="0"/>
        <v>0</v>
      </c>
      <c r="K38" s="63">
        <f t="shared" si="0"/>
        <v>0</v>
      </c>
      <c r="L38" s="63">
        <f t="shared" si="0"/>
        <v>0</v>
      </c>
      <c r="M38" s="63">
        <f t="shared" si="0"/>
        <v>0</v>
      </c>
      <c r="N38" s="63">
        <f t="shared" si="0"/>
        <v>0</v>
      </c>
      <c r="O38" s="63">
        <f t="shared" si="0"/>
        <v>0</v>
      </c>
      <c r="P38" s="63">
        <f t="shared" si="0"/>
        <v>0</v>
      </c>
      <c r="Q38" s="63">
        <f t="shared" si="0"/>
        <v>0</v>
      </c>
      <c r="R38" s="63">
        <f t="shared" si="0"/>
        <v>0</v>
      </c>
      <c r="S38" s="63">
        <f t="shared" si="0"/>
        <v>0</v>
      </c>
      <c r="T38" s="63">
        <f t="shared" si="0"/>
        <v>0</v>
      </c>
      <c r="U38" s="63">
        <f t="shared" si="0"/>
        <v>0</v>
      </c>
      <c r="V38" s="63">
        <f t="shared" si="0"/>
        <v>0</v>
      </c>
      <c r="W38" s="63">
        <f t="shared" si="0"/>
        <v>0</v>
      </c>
      <c r="X38" s="63">
        <f t="shared" si="0"/>
        <v>0</v>
      </c>
      <c r="Y38" s="63">
        <f t="shared" si="0"/>
        <v>0</v>
      </c>
      <c r="Z38" s="63">
        <f t="shared" si="0"/>
        <v>0</v>
      </c>
      <c r="AA38" s="63">
        <f t="shared" si="0"/>
        <v>0</v>
      </c>
      <c r="AB38" s="63">
        <f t="shared" si="0"/>
        <v>0</v>
      </c>
      <c r="AC38" s="63">
        <f t="shared" si="0"/>
        <v>0</v>
      </c>
      <c r="AD38" s="63">
        <f t="shared" si="0"/>
        <v>0</v>
      </c>
      <c r="AE38" s="63">
        <f t="shared" si="0"/>
        <v>0</v>
      </c>
      <c r="AF38" s="63">
        <f t="shared" si="0"/>
        <v>0</v>
      </c>
      <c r="AK38" t="s">
        <v>157</v>
      </c>
      <c r="AL38">
        <f>(+C39+E39+G39+I39+K39+M39+O39+Q39+S39+U39+W39+Y39+AA39)</f>
        <v>0</v>
      </c>
      <c r="AM38">
        <f>+AL38/13</f>
        <v>0</v>
      </c>
    </row>
    <row r="39" spans="1:39" ht="17.25" customHeight="1">
      <c r="A39" s="148" t="s">
        <v>158</v>
      </c>
      <c r="B39" s="148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H39" s="42">
        <f>SUM(C39:AF39)</f>
        <v>0</v>
      </c>
      <c r="AK39" s="80" t="s">
        <v>159</v>
      </c>
      <c r="AL39" s="82" t="e">
        <f>+AL38/AL37</f>
        <v>#DIV/0!</v>
      </c>
    </row>
    <row r="40" spans="1:39">
      <c r="A40" s="65"/>
      <c r="B40" s="65" t="s">
        <v>103</v>
      </c>
      <c r="C40" s="48" t="e">
        <f>C36/(SUM(C36:C38)-C38)*100</f>
        <v>#DIV/0!</v>
      </c>
      <c r="D40" s="48"/>
      <c r="E40" s="48" t="e">
        <f>E36/(SUM(E36:E38)-E38)*100</f>
        <v>#DIV/0!</v>
      </c>
      <c r="F40" s="48"/>
      <c r="G40" s="48" t="e">
        <f>G36/(SUM(G36:G38)-G38)*100</f>
        <v>#DIV/0!</v>
      </c>
      <c r="H40" s="48"/>
      <c r="I40" s="48" t="e">
        <f>I36/(SUM(I36:I38)-I38)*100</f>
        <v>#DIV/0!</v>
      </c>
      <c r="J40" s="48"/>
      <c r="K40" s="48" t="e">
        <f>K36/(SUM(K36:K38)-K38)*100</f>
        <v>#DIV/0!</v>
      </c>
      <c r="L40" s="48"/>
      <c r="M40" s="48" t="e">
        <f>M36/(SUM(M36:M38)-M38)*100</f>
        <v>#DIV/0!</v>
      </c>
      <c r="N40" s="48"/>
      <c r="O40" s="48" t="e">
        <f>O36/(SUM(O36:O38)-O38)*100</f>
        <v>#DIV/0!</v>
      </c>
      <c r="P40" s="48"/>
      <c r="Q40" s="48" t="e">
        <f>Q36/(SUM(Q36:Q38)-Q38)*100</f>
        <v>#DIV/0!</v>
      </c>
      <c r="R40" s="48"/>
      <c r="S40" s="48" t="e">
        <f>S36/(SUM(S36:S38)-S38)*100</f>
        <v>#DIV/0!</v>
      </c>
      <c r="T40" s="48"/>
      <c r="U40" s="48" t="e">
        <f>U36/(SUM(U36:U38)-U38)*100</f>
        <v>#DIV/0!</v>
      </c>
      <c r="V40" s="48"/>
      <c r="W40" s="48" t="e">
        <f>W36/(SUM(W36:W38)-W38)*100</f>
        <v>#DIV/0!</v>
      </c>
      <c r="X40" s="48"/>
      <c r="Y40" s="48" t="e">
        <f>Y36/(SUM(Y36:Y38)-Y38)*100</f>
        <v>#DIV/0!</v>
      </c>
      <c r="Z40" s="48"/>
      <c r="AA40" s="48" t="e">
        <f>AA36/(SUM(AA36:AA38)-AA38)*100</f>
        <v>#DIV/0!</v>
      </c>
      <c r="AB40" s="48"/>
      <c r="AC40" s="48"/>
      <c r="AD40" s="48"/>
      <c r="AE40" s="48"/>
      <c r="AF40" s="48"/>
      <c r="AH40" s="39" t="e">
        <f>AVERAGE(C40:AF40)</f>
        <v>#DIV/0!</v>
      </c>
      <c r="AJ40" s="43" t="e">
        <f>AVERAGE(D36+F36+H36+J36+L36+N36+P36+#REF!+R36+T36+V36+X36+#REF!+Z36+AB36+AD36+AF36)</f>
        <v>#DIV/0!</v>
      </c>
      <c r="AK40" s="81" t="s">
        <v>160</v>
      </c>
      <c r="AL40" s="82" t="e">
        <f>AVERAGE(C40:AA40)</f>
        <v>#DIV/0!</v>
      </c>
      <c r="AM40" s="83" t="e">
        <f>AVERAGE(AL40:AL41)</f>
        <v>#DIV/0!</v>
      </c>
    </row>
    <row r="41" spans="1:39">
      <c r="A41" s="49"/>
      <c r="B41" s="65" t="s">
        <v>161</v>
      </c>
      <c r="C41" s="48"/>
      <c r="D41" s="48" t="e">
        <f>+D36</f>
        <v>#DIV/0!</v>
      </c>
      <c r="E41" s="48"/>
      <c r="F41" s="48" t="e">
        <f>+F36</f>
        <v>#DIV/0!</v>
      </c>
      <c r="G41" s="48"/>
      <c r="H41" s="48" t="e">
        <f>+H36</f>
        <v>#DIV/0!</v>
      </c>
      <c r="I41" s="48"/>
      <c r="J41" s="48" t="e">
        <f>+J36</f>
        <v>#DIV/0!</v>
      </c>
      <c r="K41" s="48"/>
      <c r="L41" s="48" t="e">
        <f>+L36</f>
        <v>#DIV/0!</v>
      </c>
      <c r="M41" s="48"/>
      <c r="N41" s="48" t="e">
        <f>+N36</f>
        <v>#DIV/0!</v>
      </c>
      <c r="O41" s="48"/>
      <c r="P41" s="48" t="e">
        <f>+P36</f>
        <v>#DIV/0!</v>
      </c>
      <c r="Q41" s="48"/>
      <c r="R41" s="48" t="e">
        <f>+R36</f>
        <v>#DIV/0!</v>
      </c>
      <c r="S41" s="48"/>
      <c r="T41" s="48" t="e">
        <f>+T36</f>
        <v>#DIV/0!</v>
      </c>
      <c r="U41" s="48"/>
      <c r="V41" s="48" t="e">
        <f>+V36</f>
        <v>#DIV/0!</v>
      </c>
      <c r="W41" s="48"/>
      <c r="X41" s="48" t="e">
        <f>+X36</f>
        <v>#DIV/0!</v>
      </c>
      <c r="Y41" s="48"/>
      <c r="Z41" s="48" t="e">
        <f>+Z36</f>
        <v>#DIV/0!</v>
      </c>
      <c r="AA41" s="48"/>
      <c r="AB41" s="48" t="e">
        <f>+AB36</f>
        <v>#DIV/0!</v>
      </c>
      <c r="AC41" s="48"/>
      <c r="AD41" s="48"/>
      <c r="AE41" s="48"/>
      <c r="AF41" s="48"/>
      <c r="AK41" s="81" t="s">
        <v>162</v>
      </c>
      <c r="AL41" s="84" t="e">
        <f>AVERAGE(C41:AF41)</f>
        <v>#DIV/0!</v>
      </c>
    </row>
    <row r="42" spans="1:39">
      <c r="A42" s="49"/>
      <c r="B42" s="60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</row>
    <row r="43" spans="1:39">
      <c r="A43" s="49"/>
      <c r="B43" s="60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H43">
        <v>94.11</v>
      </c>
    </row>
    <row r="44" spans="1:39">
      <c r="A44" s="49"/>
      <c r="B44" s="60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</row>
    <row r="45" spans="1:39">
      <c r="A45" s="49"/>
      <c r="B45" s="60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</row>
    <row r="46" spans="1:39">
      <c r="A46" s="78" t="s">
        <v>163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</row>
    <row r="47" spans="1:39">
      <c r="A47" s="66" t="s">
        <v>164</v>
      </c>
      <c r="B47" s="67" t="s">
        <v>165</v>
      </c>
      <c r="C47" s="151" t="s">
        <v>166</v>
      </c>
      <c r="D47" s="152"/>
      <c r="E47" s="152"/>
      <c r="F47" s="152"/>
      <c r="G47" s="152"/>
      <c r="H47" s="152"/>
      <c r="I47" s="152"/>
      <c r="J47" s="153"/>
      <c r="K47" s="141" t="s">
        <v>167</v>
      </c>
      <c r="L47" s="142"/>
      <c r="M47" s="142"/>
      <c r="N47" s="142"/>
      <c r="O47" s="142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</row>
    <row r="48" spans="1:39">
      <c r="A48" s="52"/>
      <c r="B48" s="55"/>
      <c r="C48" s="143"/>
      <c r="D48" s="144"/>
      <c r="E48" s="144"/>
      <c r="F48" s="144"/>
      <c r="G48" s="144"/>
      <c r="H48" s="144"/>
      <c r="I48" s="144"/>
      <c r="J48" s="145"/>
      <c r="K48" s="149"/>
      <c r="L48" s="150"/>
      <c r="M48" s="150"/>
      <c r="N48" s="150"/>
      <c r="O48" s="150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</row>
    <row r="49" spans="1:32">
      <c r="A49" s="52"/>
      <c r="B49" s="55"/>
      <c r="C49" s="143"/>
      <c r="D49" s="144"/>
      <c r="E49" s="144"/>
      <c r="F49" s="144"/>
      <c r="G49" s="144"/>
      <c r="H49" s="144"/>
      <c r="I49" s="144"/>
      <c r="J49" s="145"/>
      <c r="K49" s="150"/>
      <c r="L49" s="150"/>
      <c r="M49" s="150"/>
      <c r="N49" s="150"/>
      <c r="O49" s="150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</row>
    <row r="50" spans="1:32">
      <c r="A50" s="52"/>
      <c r="B50" s="55"/>
      <c r="C50" s="143"/>
      <c r="D50" s="144"/>
      <c r="E50" s="144"/>
      <c r="F50" s="144"/>
      <c r="G50" s="144"/>
      <c r="H50" s="144"/>
      <c r="I50" s="144"/>
      <c r="J50" s="145"/>
      <c r="K50" s="150"/>
      <c r="L50" s="150"/>
      <c r="M50" s="150"/>
      <c r="N50" s="150"/>
      <c r="O50" s="150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</row>
    <row r="51" spans="1:32">
      <c r="A51" s="52"/>
      <c r="B51" s="55"/>
      <c r="C51" s="143"/>
      <c r="D51" s="144"/>
      <c r="E51" s="144"/>
      <c r="F51" s="144"/>
      <c r="G51" s="144"/>
      <c r="H51" s="144"/>
      <c r="I51" s="144"/>
      <c r="J51" s="145"/>
      <c r="K51" s="150"/>
      <c r="L51" s="150"/>
      <c r="M51" s="150"/>
      <c r="N51" s="150"/>
      <c r="O51" s="150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</row>
    <row r="52" spans="1:32">
      <c r="A52" s="52"/>
      <c r="B52" s="55"/>
      <c r="C52" s="143"/>
      <c r="D52" s="144"/>
      <c r="E52" s="144"/>
      <c r="F52" s="144"/>
      <c r="G52" s="144"/>
      <c r="H52" s="144"/>
      <c r="I52" s="144"/>
      <c r="J52" s="145"/>
      <c r="K52" s="150"/>
      <c r="L52" s="150"/>
      <c r="M52" s="150"/>
      <c r="N52" s="150"/>
      <c r="O52" s="150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</row>
    <row r="53" spans="1:32">
      <c r="A53" s="52"/>
      <c r="B53" s="55"/>
      <c r="C53" s="143"/>
      <c r="D53" s="144"/>
      <c r="E53" s="144"/>
      <c r="F53" s="144"/>
      <c r="G53" s="144"/>
      <c r="H53" s="144"/>
      <c r="I53" s="144"/>
      <c r="J53" s="145"/>
      <c r="K53" s="150"/>
      <c r="L53" s="150"/>
      <c r="M53" s="150"/>
      <c r="N53" s="150"/>
      <c r="O53" s="150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</row>
    <row r="54" spans="1:32">
      <c r="A54" s="52"/>
      <c r="B54" s="55"/>
      <c r="C54" s="143"/>
      <c r="D54" s="144"/>
      <c r="E54" s="144"/>
      <c r="F54" s="144"/>
      <c r="G54" s="144"/>
      <c r="H54" s="144"/>
      <c r="I54" s="144"/>
      <c r="J54" s="145"/>
      <c r="K54" s="150"/>
      <c r="L54" s="150"/>
      <c r="M54" s="150"/>
      <c r="N54" s="150"/>
      <c r="O54" s="150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</row>
    <row r="55" spans="1:32">
      <c r="A55" s="52"/>
      <c r="B55" s="55"/>
      <c r="C55" s="143"/>
      <c r="D55" s="144"/>
      <c r="E55" s="144"/>
      <c r="F55" s="144"/>
      <c r="G55" s="144"/>
      <c r="H55" s="144"/>
      <c r="I55" s="144"/>
      <c r="J55" s="145"/>
      <c r="K55" s="150"/>
      <c r="L55" s="150"/>
      <c r="M55" s="150"/>
      <c r="N55" s="150"/>
      <c r="O55" s="150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</row>
    <row r="56" spans="1:32">
      <c r="A56" s="52"/>
      <c r="B56" s="55"/>
      <c r="C56" s="143"/>
      <c r="D56" s="144"/>
      <c r="E56" s="144"/>
      <c r="F56" s="144"/>
      <c r="G56" s="144"/>
      <c r="H56" s="144"/>
      <c r="I56" s="144"/>
      <c r="J56" s="145"/>
      <c r="K56" s="150"/>
      <c r="L56" s="150"/>
      <c r="M56" s="150"/>
      <c r="N56" s="150"/>
      <c r="O56" s="150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</row>
    <row r="57" spans="1:32">
      <c r="A57" s="52"/>
      <c r="B57" s="55"/>
      <c r="C57" s="143"/>
      <c r="D57" s="144"/>
      <c r="E57" s="144"/>
      <c r="F57" s="144"/>
      <c r="G57" s="144"/>
      <c r="H57" s="144"/>
      <c r="I57" s="144"/>
      <c r="J57" s="145"/>
      <c r="K57" s="150"/>
      <c r="L57" s="150"/>
      <c r="M57" s="150"/>
      <c r="N57" s="150"/>
      <c r="O57" s="150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</row>
    <row r="58" spans="1:32">
      <c r="A58" s="52"/>
      <c r="B58" s="55"/>
      <c r="C58" s="143"/>
      <c r="D58" s="144"/>
      <c r="E58" s="144"/>
      <c r="F58" s="144"/>
      <c r="G58" s="144"/>
      <c r="H58" s="144"/>
      <c r="I58" s="144"/>
      <c r="J58" s="145"/>
      <c r="K58" s="150"/>
      <c r="L58" s="150"/>
      <c r="M58" s="150"/>
      <c r="N58" s="150"/>
      <c r="O58" s="150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</row>
    <row r="59" spans="1:32">
      <c r="A59" s="52"/>
      <c r="B59" s="55"/>
      <c r="C59" s="143"/>
      <c r="D59" s="144"/>
      <c r="E59" s="144"/>
      <c r="F59" s="144"/>
      <c r="G59" s="144"/>
      <c r="H59" s="144"/>
      <c r="I59" s="144"/>
      <c r="J59" s="145"/>
      <c r="K59" s="150"/>
      <c r="L59" s="150"/>
      <c r="M59" s="150"/>
      <c r="N59" s="150"/>
      <c r="O59" s="150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</row>
    <row r="60" spans="1:32">
      <c r="A60" s="52"/>
      <c r="B60" s="55"/>
      <c r="C60" s="143"/>
      <c r="D60" s="144"/>
      <c r="E60" s="144"/>
      <c r="F60" s="144"/>
      <c r="G60" s="144"/>
      <c r="H60" s="144"/>
      <c r="I60" s="144"/>
      <c r="J60" s="145"/>
      <c r="K60" s="150"/>
      <c r="L60" s="150"/>
      <c r="M60" s="150"/>
      <c r="N60" s="150"/>
      <c r="O60" s="150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</row>
    <row r="61" spans="1:32">
      <c r="A61" s="52"/>
      <c r="B61" s="55"/>
      <c r="C61" s="143"/>
      <c r="D61" s="144"/>
      <c r="E61" s="144"/>
      <c r="F61" s="144"/>
      <c r="G61" s="144"/>
      <c r="H61" s="144"/>
      <c r="I61" s="144"/>
      <c r="J61" s="145"/>
      <c r="K61" s="150"/>
      <c r="L61" s="150"/>
      <c r="M61" s="150"/>
      <c r="N61" s="150"/>
      <c r="O61" s="150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</row>
    <row r="62" spans="1:32">
      <c r="A62" s="52"/>
      <c r="B62" s="55"/>
      <c r="C62" s="143"/>
      <c r="D62" s="144"/>
      <c r="E62" s="144"/>
      <c r="F62" s="144"/>
      <c r="G62" s="144"/>
      <c r="H62" s="144"/>
      <c r="I62" s="144"/>
      <c r="J62" s="145"/>
      <c r="K62" s="150"/>
      <c r="L62" s="150"/>
      <c r="M62" s="150"/>
      <c r="N62" s="150"/>
      <c r="O62" s="150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</row>
    <row r="63" spans="1:32">
      <c r="A63" s="52"/>
      <c r="B63" s="55"/>
      <c r="C63" s="143"/>
      <c r="D63" s="144"/>
      <c r="E63" s="144"/>
      <c r="F63" s="144"/>
      <c r="G63" s="144"/>
      <c r="H63" s="144"/>
      <c r="I63" s="144"/>
      <c r="J63" s="145"/>
      <c r="K63" s="150"/>
      <c r="L63" s="150"/>
      <c r="M63" s="150"/>
      <c r="N63" s="150"/>
      <c r="O63" s="150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</row>
    <row r="64" spans="1:32">
      <c r="A64" s="52"/>
      <c r="B64" s="55"/>
      <c r="C64" s="143"/>
      <c r="D64" s="144"/>
      <c r="E64" s="144"/>
      <c r="F64" s="144"/>
      <c r="G64" s="144"/>
      <c r="H64" s="144"/>
      <c r="I64" s="144"/>
      <c r="J64" s="145"/>
      <c r="K64" s="150"/>
      <c r="L64" s="150"/>
      <c r="M64" s="150"/>
      <c r="N64" s="150"/>
      <c r="O64" s="150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</row>
    <row r="65" spans="1:32">
      <c r="A65" s="52"/>
      <c r="B65" s="55"/>
      <c r="C65" s="143"/>
      <c r="D65" s="144"/>
      <c r="E65" s="144"/>
      <c r="F65" s="144"/>
      <c r="G65" s="144"/>
      <c r="H65" s="144"/>
      <c r="I65" s="144"/>
      <c r="J65" s="145"/>
      <c r="K65" s="150"/>
      <c r="L65" s="150"/>
      <c r="M65" s="150"/>
      <c r="N65" s="150"/>
      <c r="O65" s="150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</row>
    <row r="66" spans="1:32">
      <c r="A66" s="52"/>
      <c r="B66" s="55"/>
      <c r="C66" s="143"/>
      <c r="D66" s="144"/>
      <c r="E66" s="144"/>
      <c r="F66" s="144"/>
      <c r="G66" s="144"/>
      <c r="H66" s="144"/>
      <c r="I66" s="144"/>
      <c r="J66" s="145"/>
      <c r="K66" s="150"/>
      <c r="L66" s="150"/>
      <c r="M66" s="150"/>
      <c r="N66" s="150"/>
      <c r="O66" s="150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</row>
    <row r="67" spans="1:32">
      <c r="A67" s="52"/>
      <c r="B67" s="55"/>
      <c r="C67" s="143"/>
      <c r="D67" s="144"/>
      <c r="E67" s="144"/>
      <c r="F67" s="144"/>
      <c r="G67" s="144"/>
      <c r="H67" s="144"/>
      <c r="I67" s="144"/>
      <c r="J67" s="145"/>
      <c r="K67" s="150"/>
      <c r="L67" s="150"/>
      <c r="M67" s="150"/>
      <c r="N67" s="150"/>
      <c r="O67" s="150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</row>
    <row r="68" spans="1:32">
      <c r="A68" s="52"/>
      <c r="B68" s="55"/>
      <c r="C68" s="143"/>
      <c r="D68" s="144"/>
      <c r="E68" s="144"/>
      <c r="F68" s="144"/>
      <c r="G68" s="144"/>
      <c r="H68" s="144"/>
      <c r="I68" s="144"/>
      <c r="J68" s="145"/>
      <c r="K68" s="150"/>
      <c r="L68" s="150"/>
      <c r="M68" s="150"/>
      <c r="N68" s="150"/>
      <c r="O68" s="150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</row>
    <row r="69" spans="1:32">
      <c r="A69" s="52"/>
      <c r="B69" s="55"/>
      <c r="C69" s="143"/>
      <c r="D69" s="144"/>
      <c r="E69" s="144"/>
      <c r="F69" s="144"/>
      <c r="G69" s="144"/>
      <c r="H69" s="144"/>
      <c r="I69" s="144"/>
      <c r="J69" s="145"/>
      <c r="K69" s="150"/>
      <c r="L69" s="150"/>
      <c r="M69" s="150"/>
      <c r="N69" s="150"/>
      <c r="O69" s="150"/>
    </row>
    <row r="70" spans="1:32">
      <c r="A70" s="52"/>
      <c r="B70" s="55"/>
      <c r="C70" s="143"/>
      <c r="D70" s="144"/>
      <c r="E70" s="144"/>
      <c r="F70" s="144"/>
      <c r="G70" s="144"/>
      <c r="H70" s="144"/>
      <c r="I70" s="144"/>
      <c r="J70" s="145"/>
      <c r="K70" s="150"/>
      <c r="L70" s="150"/>
      <c r="M70" s="150"/>
      <c r="N70" s="150"/>
      <c r="O70" s="150"/>
    </row>
    <row r="71" spans="1:32">
      <c r="A71" s="49"/>
      <c r="B71" s="60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</row>
  </sheetData>
  <autoFilter ref="A7:AF7" xr:uid="{00000000-0009-0000-0000-000001000000}"/>
  <mergeCells count="54">
    <mergeCell ref="C68:J68"/>
    <mergeCell ref="K68:O68"/>
    <mergeCell ref="C69:J69"/>
    <mergeCell ref="K69:O69"/>
    <mergeCell ref="C70:J70"/>
    <mergeCell ref="K70:O70"/>
    <mergeCell ref="C65:J65"/>
    <mergeCell ref="K65:O65"/>
    <mergeCell ref="C66:J66"/>
    <mergeCell ref="K66:O66"/>
    <mergeCell ref="C67:J67"/>
    <mergeCell ref="K67:O67"/>
    <mergeCell ref="C62:J62"/>
    <mergeCell ref="K62:O62"/>
    <mergeCell ref="C63:J63"/>
    <mergeCell ref="K63:O63"/>
    <mergeCell ref="C64:J64"/>
    <mergeCell ref="K64:O64"/>
    <mergeCell ref="C59:J59"/>
    <mergeCell ref="K59:O59"/>
    <mergeCell ref="C60:J60"/>
    <mergeCell ref="K60:O60"/>
    <mergeCell ref="C61:J61"/>
    <mergeCell ref="K61:O61"/>
    <mergeCell ref="C56:J56"/>
    <mergeCell ref="K56:O56"/>
    <mergeCell ref="C57:J57"/>
    <mergeCell ref="K57:O57"/>
    <mergeCell ref="C58:J58"/>
    <mergeCell ref="K58:O58"/>
    <mergeCell ref="C53:J53"/>
    <mergeCell ref="K53:O53"/>
    <mergeCell ref="C54:J54"/>
    <mergeCell ref="K54:O54"/>
    <mergeCell ref="C55:J55"/>
    <mergeCell ref="K55:O55"/>
    <mergeCell ref="C50:J50"/>
    <mergeCell ref="K50:O50"/>
    <mergeCell ref="C51:J51"/>
    <mergeCell ref="K51:O51"/>
    <mergeCell ref="C52:J52"/>
    <mergeCell ref="K52:O52"/>
    <mergeCell ref="C47:J47"/>
    <mergeCell ref="K47:O47"/>
    <mergeCell ref="C48:J48"/>
    <mergeCell ref="K48:O48"/>
    <mergeCell ref="C49:J49"/>
    <mergeCell ref="K49:O49"/>
    <mergeCell ref="A39:B39"/>
    <mergeCell ref="A6:B6"/>
    <mergeCell ref="C6:AF6"/>
    <mergeCell ref="A36:B36"/>
    <mergeCell ref="A37:B37"/>
    <mergeCell ref="A38:B38"/>
  </mergeCells>
  <pageMargins left="0.27559055118110237" right="0.27559055118110237" top="0.2265625" bottom="0.75" header="0.23622047244094491" footer="0.31496062992125984"/>
  <pageSetup scale="72" orientation="landscape" r:id="rId1"/>
  <headerFooter>
    <oddFooter>&amp;R&amp;"Abadi Extra Light,Normal"
RHF19 - Tercera - 01/03/2024                   Página &amp;P de &amp;N</oddFooter>
  </headerFooter>
  <rowBreaks count="1" manualBreakCount="1">
    <brk id="41" max="33" man="1"/>
  </rowBreaks>
  <drawing r:id="rId2"/>
  <legacyDrawing r:id="rId3"/>
  <oleObjects>
    <mc:AlternateContent xmlns:mc="http://schemas.openxmlformats.org/markup-compatibility/2006">
      <mc:Choice Requires="x14">
        <oleObject progId="PBrush" shapeId="15361" r:id="rId4">
          <objectPr defaultSize="0" autoPict="0" r:id="rId5">
            <anchor moveWithCells="1" sizeWithCells="1">
              <from>
                <xdr:col>27</xdr:col>
                <xdr:colOff>276225</xdr:colOff>
                <xdr:row>0</xdr:row>
                <xdr:rowOff>114300</xdr:rowOff>
              </from>
              <to>
                <xdr:col>31</xdr:col>
                <xdr:colOff>457200</xdr:colOff>
                <xdr:row>3</xdr:row>
                <xdr:rowOff>95250</xdr:rowOff>
              </to>
            </anchor>
          </objectPr>
        </oleObject>
      </mc:Choice>
      <mc:Fallback>
        <oleObject progId="PBrush" shapeId="15361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85F0-7303-400B-977C-84C4864D8543}">
  <dimension ref="A1:AB71"/>
  <sheetViews>
    <sheetView zoomScaleNormal="100" workbookViewId="0">
      <selection activeCell="A7" sqref="A7"/>
    </sheetView>
  </sheetViews>
  <sheetFormatPr defaultColWidth="11.42578125" defaultRowHeight="15"/>
  <cols>
    <col min="1" max="1" width="33.28515625" customWidth="1"/>
    <col min="2" max="2" width="36.85546875" style="5" customWidth="1"/>
    <col min="3" max="3" width="4" customWidth="1"/>
    <col min="4" max="4" width="3.28515625" customWidth="1"/>
    <col min="5" max="5" width="4.7109375" customWidth="1"/>
    <col min="6" max="6" width="3.5703125" customWidth="1"/>
    <col min="7" max="7" width="6.7109375" customWidth="1"/>
    <col min="8" max="14" width="3.5703125" customWidth="1"/>
    <col min="15" max="15" width="4.28515625" customWidth="1"/>
    <col min="16" max="16" width="3.5703125" customWidth="1"/>
    <col min="17" max="17" width="4.42578125" customWidth="1"/>
    <col min="18" max="18" width="3.5703125" customWidth="1"/>
    <col min="19" max="19" width="2.85546875" customWidth="1"/>
    <col min="20" max="20" width="3" customWidth="1"/>
    <col min="21" max="21" width="4" customWidth="1"/>
    <col min="22" max="22" width="3.5703125" customWidth="1"/>
    <col min="23" max="23" width="4" customWidth="1"/>
    <col min="24" max="24" width="4.28515625" customWidth="1"/>
    <col min="25" max="25" width="7.140625" customWidth="1"/>
    <col min="26" max="26" width="4.28515625" customWidth="1"/>
    <col min="27" max="27" width="3.42578125" customWidth="1"/>
    <col min="28" max="28" width="15.85546875" customWidth="1"/>
  </cols>
  <sheetData>
    <row r="1" spans="1:27">
      <c r="A1" s="44"/>
      <c r="B1" s="45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7">
      <c r="A2" s="44"/>
      <c r="B2" s="45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7">
      <c r="A3" s="44"/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spans="1:27" ht="26.25">
      <c r="A4" s="46" t="s">
        <v>104</v>
      </c>
      <c r="B4" s="45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27">
      <c r="A5" s="44"/>
      <c r="B5" s="45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spans="1:27" ht="15.75" thickBot="1">
      <c r="A6" s="169" t="s">
        <v>0</v>
      </c>
      <c r="B6" s="169"/>
      <c r="C6" s="170" t="s">
        <v>198</v>
      </c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</row>
    <row r="7" spans="1:27" ht="97.5" customHeight="1" thickBot="1">
      <c r="A7" s="68" t="s">
        <v>4</v>
      </c>
      <c r="B7" s="69" t="s">
        <v>5</v>
      </c>
      <c r="C7" s="77" t="s">
        <v>199</v>
      </c>
      <c r="D7" s="73" t="s">
        <v>106</v>
      </c>
      <c r="E7" s="77"/>
      <c r="F7" s="73" t="s">
        <v>106</v>
      </c>
      <c r="G7" s="77"/>
      <c r="H7" s="73" t="s">
        <v>106</v>
      </c>
      <c r="I7" s="77"/>
      <c r="J7" s="73" t="s">
        <v>106</v>
      </c>
      <c r="K7" s="72"/>
      <c r="L7" s="73" t="s">
        <v>106</v>
      </c>
      <c r="M7" s="72"/>
      <c r="N7" s="73" t="s">
        <v>106</v>
      </c>
      <c r="O7" s="72"/>
      <c r="P7" s="73" t="s">
        <v>106</v>
      </c>
      <c r="Q7" s="72"/>
      <c r="R7" s="73" t="s">
        <v>106</v>
      </c>
      <c r="S7" s="72"/>
      <c r="T7" s="73" t="s">
        <v>106</v>
      </c>
      <c r="U7" s="72"/>
      <c r="V7" s="73" t="s">
        <v>106</v>
      </c>
      <c r="W7" s="72"/>
      <c r="X7" s="73" t="s">
        <v>106</v>
      </c>
      <c r="Y7" s="72"/>
      <c r="Z7" s="32" t="s">
        <v>106</v>
      </c>
    </row>
    <row r="8" spans="1:27">
      <c r="A8" s="50" t="s">
        <v>200</v>
      </c>
      <c r="B8" s="51" t="s">
        <v>201</v>
      </c>
      <c r="C8" s="47"/>
      <c r="D8" s="47"/>
      <c r="E8" s="47"/>
      <c r="F8" s="47"/>
      <c r="G8" s="47"/>
      <c r="H8" s="47"/>
      <c r="I8" s="47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35"/>
    </row>
    <row r="9" spans="1:27" ht="24">
      <c r="A9" s="53" t="s">
        <v>202</v>
      </c>
      <c r="B9" s="54" t="s">
        <v>203</v>
      </c>
      <c r="C9" s="47"/>
      <c r="D9" s="47"/>
      <c r="E9" s="47"/>
      <c r="F9" s="47"/>
      <c r="G9" s="47"/>
      <c r="H9" s="47"/>
      <c r="I9" s="47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35"/>
    </row>
    <row r="10" spans="1:27">
      <c r="A10" s="53" t="s">
        <v>204</v>
      </c>
      <c r="B10" s="54" t="s">
        <v>205</v>
      </c>
      <c r="C10" s="47"/>
      <c r="D10" s="47"/>
      <c r="E10" s="47"/>
      <c r="F10" s="47"/>
      <c r="G10" s="47"/>
      <c r="H10" s="47"/>
      <c r="I10" s="47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35"/>
    </row>
    <row r="11" spans="1:27">
      <c r="A11" s="53" t="s">
        <v>206</v>
      </c>
      <c r="B11" s="54" t="s">
        <v>207</v>
      </c>
      <c r="C11" s="47"/>
      <c r="D11" s="47"/>
      <c r="E11" s="47"/>
      <c r="F11" s="47"/>
      <c r="G11" s="47"/>
      <c r="H11" s="47"/>
      <c r="I11" s="47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35"/>
    </row>
    <row r="12" spans="1:27">
      <c r="A12" s="53" t="s">
        <v>208</v>
      </c>
      <c r="B12" s="54" t="s">
        <v>209</v>
      </c>
      <c r="C12" s="47"/>
      <c r="D12" s="47"/>
      <c r="E12" s="47"/>
      <c r="F12" s="47"/>
      <c r="G12" s="47"/>
      <c r="H12" s="47"/>
      <c r="I12" s="47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35"/>
    </row>
    <row r="13" spans="1:27">
      <c r="A13" s="53" t="s">
        <v>210</v>
      </c>
      <c r="B13" s="54" t="s">
        <v>211</v>
      </c>
      <c r="C13" s="47"/>
      <c r="D13" s="47"/>
      <c r="E13" s="47"/>
      <c r="F13" s="47"/>
      <c r="G13" s="47"/>
      <c r="H13" s="47"/>
      <c r="I13" s="47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35"/>
    </row>
    <row r="14" spans="1:27">
      <c r="A14" s="53"/>
      <c r="B14" s="55"/>
      <c r="C14" s="47"/>
      <c r="D14" s="47"/>
      <c r="E14" s="47"/>
      <c r="F14" s="47"/>
      <c r="G14" s="47"/>
      <c r="H14" s="47"/>
      <c r="I14" s="47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35"/>
    </row>
    <row r="15" spans="1:27">
      <c r="A15" s="53"/>
      <c r="B15" s="54"/>
      <c r="C15" s="47"/>
      <c r="D15" s="47"/>
      <c r="E15" s="47"/>
      <c r="F15" s="47"/>
      <c r="G15" s="47"/>
      <c r="H15" s="47"/>
      <c r="I15" s="47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35"/>
    </row>
    <row r="16" spans="1:27">
      <c r="A16" s="53"/>
      <c r="B16" s="55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35"/>
    </row>
    <row r="17" spans="1:26">
      <c r="A17" s="53"/>
      <c r="B17" s="55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35"/>
    </row>
    <row r="18" spans="1:26">
      <c r="A18" s="53"/>
      <c r="B18" s="55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35"/>
    </row>
    <row r="19" spans="1:26">
      <c r="A19" s="53"/>
      <c r="B19" s="55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35"/>
    </row>
    <row r="20" spans="1:26">
      <c r="A20" s="53"/>
      <c r="B20" s="55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35"/>
    </row>
    <row r="21" spans="1:26">
      <c r="A21" s="53"/>
      <c r="B21" s="55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35"/>
    </row>
    <row r="22" spans="1:26">
      <c r="A22" s="53"/>
      <c r="B22" s="55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35"/>
    </row>
    <row r="23" spans="1:26">
      <c r="A23" s="53"/>
      <c r="B23" s="55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35"/>
    </row>
    <row r="24" spans="1:26">
      <c r="A24" s="53"/>
      <c r="B24" s="55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35"/>
    </row>
    <row r="25" spans="1:26">
      <c r="A25" s="53"/>
      <c r="B25" s="55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35"/>
    </row>
    <row r="26" spans="1:26">
      <c r="A26" s="53"/>
      <c r="B26" s="55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35"/>
    </row>
    <row r="27" spans="1:26">
      <c r="A27" s="53"/>
      <c r="B27" s="55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35"/>
    </row>
    <row r="28" spans="1:26">
      <c r="A28" s="53"/>
      <c r="B28" s="55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35"/>
    </row>
    <row r="29" spans="1:26">
      <c r="A29" s="53"/>
      <c r="B29" s="55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35"/>
    </row>
    <row r="30" spans="1:26">
      <c r="A30" s="53"/>
      <c r="B30" s="55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35"/>
    </row>
    <row r="31" spans="1:26">
      <c r="A31" s="53"/>
      <c r="B31" s="55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35"/>
    </row>
    <row r="32" spans="1:26">
      <c r="A32" s="53"/>
      <c r="B32" s="55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35"/>
    </row>
    <row r="33" spans="1:28">
      <c r="A33" s="53"/>
      <c r="B33" s="55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35"/>
    </row>
    <row r="34" spans="1:28">
      <c r="A34" s="53"/>
      <c r="B34" s="55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35"/>
    </row>
    <row r="35" spans="1:28">
      <c r="A35" s="53"/>
      <c r="B35" s="54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35"/>
    </row>
    <row r="36" spans="1:28">
      <c r="A36" s="53"/>
      <c r="B36" s="55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35"/>
    </row>
    <row r="37" spans="1:28">
      <c r="A37" s="56"/>
      <c r="B37" s="57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5"/>
    </row>
    <row r="38" spans="1:28" ht="15.75" thickBot="1">
      <c r="A38" s="58"/>
      <c r="B38" s="59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35"/>
    </row>
    <row r="39" spans="1:28">
      <c r="A39" s="49"/>
      <c r="B39" s="60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spans="1:28">
      <c r="A40" s="61"/>
      <c r="B40" s="62" t="s">
        <v>100</v>
      </c>
      <c r="C40" s="63">
        <f>COUNTIF(C8:C38,"X")</f>
        <v>0</v>
      </c>
      <c r="D40" s="63" t="e">
        <f>AVERAGE(D8:D38)</f>
        <v>#DIV/0!</v>
      </c>
      <c r="E40" s="63">
        <f>COUNTIF(E8:E38,"X")</f>
        <v>0</v>
      </c>
      <c r="F40" s="63" t="e">
        <f>AVERAGE(F8:F38)</f>
        <v>#DIV/0!</v>
      </c>
      <c r="G40" s="63">
        <f>COUNTIF(G8:G38,"X")</f>
        <v>0</v>
      </c>
      <c r="H40" s="63" t="e">
        <f>AVERAGE(H8:H38)</f>
        <v>#DIV/0!</v>
      </c>
      <c r="I40" s="63">
        <f>COUNTIF(I8:I38,"X")</f>
        <v>0</v>
      </c>
      <c r="J40" s="63" t="e">
        <f>AVERAGE(J8:J38)</f>
        <v>#DIV/0!</v>
      </c>
      <c r="K40" s="63">
        <f>COUNTIF(K8:K38,"X")</f>
        <v>0</v>
      </c>
      <c r="L40" s="63" t="e">
        <f>AVERAGE(L8:L38)</f>
        <v>#DIV/0!</v>
      </c>
      <c r="M40" s="63">
        <f>COUNTIF(M8:M38,"X")</f>
        <v>0</v>
      </c>
      <c r="N40" s="63" t="e">
        <f>AVERAGE(N8:N38)</f>
        <v>#DIV/0!</v>
      </c>
      <c r="O40" s="63">
        <f>COUNTIF(O8:O38,"X")</f>
        <v>0</v>
      </c>
      <c r="P40" s="63" t="e">
        <f>AVERAGE(P8:P38)</f>
        <v>#DIV/0!</v>
      </c>
      <c r="Q40" s="63">
        <f>COUNTIF(Q8:Q38,"X")</f>
        <v>0</v>
      </c>
      <c r="R40" s="63" t="e">
        <f>AVERAGE(R8:R38)</f>
        <v>#DIV/0!</v>
      </c>
      <c r="S40" s="63">
        <f>COUNTIF(S8:S38,"X")</f>
        <v>0</v>
      </c>
      <c r="T40" s="63" t="e">
        <f>AVERAGE(T8:T38)</f>
        <v>#DIV/0!</v>
      </c>
      <c r="U40" s="63">
        <f>COUNTIF(U8:U38,"X")</f>
        <v>0</v>
      </c>
      <c r="V40" s="63" t="e">
        <f>AVERAGE(V8:V38)</f>
        <v>#DIV/0!</v>
      </c>
      <c r="W40" s="63">
        <f>COUNTIF(W8:W38,"X")</f>
        <v>0</v>
      </c>
      <c r="X40" s="63" t="e">
        <f>AVERAGE(X8:X38)</f>
        <v>#DIV/0!</v>
      </c>
      <c r="Y40" s="63">
        <f>COUNTIF(Y8:Y38,"X")</f>
        <v>0</v>
      </c>
      <c r="Z40" s="33" t="e">
        <f>AVERAGE(Z8:Z38)</f>
        <v>#DIV/0!</v>
      </c>
      <c r="AB40" s="38"/>
    </row>
    <row r="41" spans="1:28">
      <c r="A41" s="49"/>
      <c r="B41" s="64" t="s">
        <v>155</v>
      </c>
      <c r="C41" s="63">
        <f>COUNTIF(C8:C38,"S/C")</f>
        <v>0</v>
      </c>
      <c r="D41" s="63">
        <f>COUNTIF(D8:D38,"&lt;80")</f>
        <v>0</v>
      </c>
      <c r="E41" s="63">
        <f>COUNTIF(E8:E38,"S/C")</f>
        <v>0</v>
      </c>
      <c r="F41" s="63">
        <f>COUNTIF(F8:F38,"&lt;80")</f>
        <v>0</v>
      </c>
      <c r="G41" s="63">
        <f>COUNTIF(G8:G38,"S/C")</f>
        <v>0</v>
      </c>
      <c r="H41" s="63">
        <f>COUNTIF(H8:H38,"&lt;80")</f>
        <v>0</v>
      </c>
      <c r="I41" s="63">
        <f>COUNTIF(I8:I38,"S/C")</f>
        <v>0</v>
      </c>
      <c r="J41" s="63">
        <f>COUNTIF(J8:J38,"&lt;80")</f>
        <v>0</v>
      </c>
      <c r="K41" s="63">
        <f>COUNTIF(K8:K38,"S/C")</f>
        <v>0</v>
      </c>
      <c r="L41" s="63">
        <f>COUNTIF(L8:L38,"&lt;80")</f>
        <v>0</v>
      </c>
      <c r="M41" s="63">
        <f>COUNTIF(M8:M38,"S/C")</f>
        <v>0</v>
      </c>
      <c r="N41" s="63">
        <f>COUNTIF(N8:N38,"&lt;80")</f>
        <v>0</v>
      </c>
      <c r="O41" s="63">
        <f>COUNTIF(O8:O38,"S/C")</f>
        <v>0</v>
      </c>
      <c r="P41" s="63">
        <f>COUNTIF(P8:P38,"&lt;80")</f>
        <v>0</v>
      </c>
      <c r="Q41" s="63">
        <f>COUNTIF(Q8:Q38,"S/C")</f>
        <v>0</v>
      </c>
      <c r="R41" s="63">
        <f>COUNTIF(R8:R38,"&lt;80")</f>
        <v>0</v>
      </c>
      <c r="S41" s="63">
        <f>COUNTIF(S8:S38,"S/C")</f>
        <v>0</v>
      </c>
      <c r="T41" s="63">
        <f>COUNTIF(T8:T38,"&lt;80")</f>
        <v>0</v>
      </c>
      <c r="U41" s="63">
        <f>COUNTIF(U8:U38,"S/C")</f>
        <v>0</v>
      </c>
      <c r="V41" s="63">
        <f>COUNTIF(V8:V38,"&lt;80")</f>
        <v>0</v>
      </c>
      <c r="W41" s="63">
        <f>COUNTIF(W8:W38,"S/C")</f>
        <v>0</v>
      </c>
      <c r="X41" s="63">
        <f>COUNTIF(X8:X38,"&lt;80")</f>
        <v>0</v>
      </c>
      <c r="Y41" s="63">
        <f>COUNTIF(Y8:Y38,"S/C")</f>
        <v>0</v>
      </c>
      <c r="Z41" s="28">
        <f>COUNTIF(Z8:Z38,"&lt;80")</f>
        <v>0</v>
      </c>
    </row>
    <row r="42" spans="1:28">
      <c r="A42" s="49"/>
      <c r="B42" s="64" t="s">
        <v>102</v>
      </c>
      <c r="C42" s="63">
        <f t="shared" ref="C42:Z42" si="0">COUNTIF(C8:C38,"NA")</f>
        <v>0</v>
      </c>
      <c r="D42" s="63">
        <f t="shared" si="0"/>
        <v>0</v>
      </c>
      <c r="E42" s="63">
        <f t="shared" si="0"/>
        <v>0</v>
      </c>
      <c r="F42" s="63">
        <f t="shared" si="0"/>
        <v>0</v>
      </c>
      <c r="G42" s="63">
        <f t="shared" si="0"/>
        <v>0</v>
      </c>
      <c r="H42" s="63">
        <f t="shared" si="0"/>
        <v>0</v>
      </c>
      <c r="I42" s="63">
        <f t="shared" si="0"/>
        <v>0</v>
      </c>
      <c r="J42" s="63">
        <f t="shared" si="0"/>
        <v>0</v>
      </c>
      <c r="K42" s="63">
        <f t="shared" si="0"/>
        <v>0</v>
      </c>
      <c r="L42" s="63">
        <f t="shared" si="0"/>
        <v>0</v>
      </c>
      <c r="M42" s="63">
        <f t="shared" si="0"/>
        <v>0</v>
      </c>
      <c r="N42" s="63">
        <f t="shared" si="0"/>
        <v>0</v>
      </c>
      <c r="O42" s="63">
        <f t="shared" si="0"/>
        <v>0</v>
      </c>
      <c r="P42" s="63">
        <f t="shared" si="0"/>
        <v>0</v>
      </c>
      <c r="Q42" s="63">
        <f t="shared" si="0"/>
        <v>0</v>
      </c>
      <c r="R42" s="63">
        <f t="shared" si="0"/>
        <v>0</v>
      </c>
      <c r="S42" s="63">
        <f t="shared" si="0"/>
        <v>0</v>
      </c>
      <c r="T42" s="63">
        <f t="shared" si="0"/>
        <v>0</v>
      </c>
      <c r="U42" s="63">
        <f t="shared" si="0"/>
        <v>0</v>
      </c>
      <c r="V42" s="63">
        <f t="shared" si="0"/>
        <v>0</v>
      </c>
      <c r="W42" s="63">
        <f t="shared" si="0"/>
        <v>0</v>
      </c>
      <c r="X42" s="63">
        <f t="shared" si="0"/>
        <v>0</v>
      </c>
      <c r="Y42" s="63">
        <f t="shared" si="0"/>
        <v>0</v>
      </c>
      <c r="Z42" s="28">
        <f t="shared" si="0"/>
        <v>0</v>
      </c>
    </row>
    <row r="43" spans="1:28">
      <c r="A43" s="49"/>
      <c r="B43" s="65" t="s">
        <v>212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28"/>
      <c r="AB43" s="42"/>
    </row>
    <row r="44" spans="1:28">
      <c r="A44" s="49"/>
      <c r="B44" s="65" t="s">
        <v>103</v>
      </c>
      <c r="C44" s="48" t="e">
        <f t="shared" ref="C44:Y44" si="1">C40/(SUM(C40:C42)-C42)*100</f>
        <v>#DIV/0!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 t="e">
        <f t="shared" si="1"/>
        <v>#DIV/0!</v>
      </c>
      <c r="X44" s="48"/>
      <c r="Y44" s="48" t="e">
        <f t="shared" si="1"/>
        <v>#DIV/0!</v>
      </c>
      <c r="Z44" s="36"/>
      <c r="AB44" s="38"/>
    </row>
    <row r="45" spans="1:28">
      <c r="A45" s="49"/>
      <c r="B45" s="60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spans="1:28">
      <c r="A46" s="49"/>
      <c r="B46" s="60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8">
      <c r="A47" s="171" t="s">
        <v>163</v>
      </c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8">
      <c r="A48" s="66" t="s">
        <v>164</v>
      </c>
      <c r="B48" s="67" t="s">
        <v>165</v>
      </c>
      <c r="C48" s="151" t="s">
        <v>166</v>
      </c>
      <c r="D48" s="152"/>
      <c r="E48" s="152"/>
      <c r="F48" s="152"/>
      <c r="G48" s="152"/>
      <c r="H48" s="152"/>
      <c r="I48" s="152"/>
      <c r="J48" s="153"/>
      <c r="K48" s="141" t="s">
        <v>167</v>
      </c>
      <c r="L48" s="142"/>
      <c r="M48" s="142"/>
      <c r="N48" s="142"/>
      <c r="O48" s="142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>
      <c r="A49" s="52"/>
      <c r="B49" s="55"/>
      <c r="C49" s="143"/>
      <c r="D49" s="144"/>
      <c r="E49" s="144"/>
      <c r="F49" s="144"/>
      <c r="G49" s="144"/>
      <c r="H49" s="144"/>
      <c r="I49" s="144"/>
      <c r="J49" s="145"/>
      <c r="K49" s="150"/>
      <c r="L49" s="150"/>
      <c r="M49" s="150"/>
      <c r="N49" s="150"/>
      <c r="O49" s="150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>
      <c r="A50" s="52"/>
      <c r="B50" s="55"/>
      <c r="C50" s="143"/>
      <c r="D50" s="144"/>
      <c r="E50" s="144"/>
      <c r="F50" s="144"/>
      <c r="G50" s="144"/>
      <c r="H50" s="144"/>
      <c r="I50" s="144"/>
      <c r="J50" s="145"/>
      <c r="K50" s="150"/>
      <c r="L50" s="150"/>
      <c r="M50" s="150"/>
      <c r="N50" s="150"/>
      <c r="O50" s="150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spans="1:25">
      <c r="A51" s="52"/>
      <c r="B51" s="55"/>
      <c r="C51" s="143"/>
      <c r="D51" s="144"/>
      <c r="E51" s="144"/>
      <c r="F51" s="144"/>
      <c r="G51" s="144"/>
      <c r="H51" s="144"/>
      <c r="I51" s="144"/>
      <c r="J51" s="145"/>
      <c r="K51" s="150"/>
      <c r="L51" s="150"/>
      <c r="M51" s="150"/>
      <c r="N51" s="150"/>
      <c r="O51" s="150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spans="1:25">
      <c r="A52" s="52"/>
      <c r="B52" s="55"/>
      <c r="C52" s="143"/>
      <c r="D52" s="144"/>
      <c r="E52" s="144"/>
      <c r="F52" s="144"/>
      <c r="G52" s="144"/>
      <c r="H52" s="144"/>
      <c r="I52" s="144"/>
      <c r="J52" s="145"/>
      <c r="K52" s="150"/>
      <c r="L52" s="150"/>
      <c r="M52" s="150"/>
      <c r="N52" s="150"/>
      <c r="O52" s="150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spans="1:25">
      <c r="A53" s="52"/>
      <c r="B53" s="55"/>
      <c r="C53" s="143"/>
      <c r="D53" s="144"/>
      <c r="E53" s="144"/>
      <c r="F53" s="144"/>
      <c r="G53" s="144"/>
      <c r="H53" s="144"/>
      <c r="I53" s="144"/>
      <c r="J53" s="145"/>
      <c r="K53" s="150"/>
      <c r="L53" s="150"/>
      <c r="M53" s="150"/>
      <c r="N53" s="150"/>
      <c r="O53" s="150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spans="1:25">
      <c r="A54" s="52"/>
      <c r="B54" s="55"/>
      <c r="C54" s="143"/>
      <c r="D54" s="144"/>
      <c r="E54" s="144"/>
      <c r="F54" s="144"/>
      <c r="G54" s="144"/>
      <c r="H54" s="144"/>
      <c r="I54" s="144"/>
      <c r="J54" s="145"/>
      <c r="K54" s="150"/>
      <c r="L54" s="150"/>
      <c r="M54" s="150"/>
      <c r="N54" s="150"/>
      <c r="O54" s="150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spans="1:25">
      <c r="A55" s="52"/>
      <c r="B55" s="55"/>
      <c r="C55" s="143"/>
      <c r="D55" s="144"/>
      <c r="E55" s="144"/>
      <c r="F55" s="144"/>
      <c r="G55" s="144"/>
      <c r="H55" s="144"/>
      <c r="I55" s="144"/>
      <c r="J55" s="145"/>
      <c r="K55" s="150"/>
      <c r="L55" s="150"/>
      <c r="M55" s="150"/>
      <c r="N55" s="150"/>
      <c r="O55" s="150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spans="1:25">
      <c r="A56" s="52"/>
      <c r="B56" s="55"/>
      <c r="C56" s="143"/>
      <c r="D56" s="144"/>
      <c r="E56" s="144"/>
      <c r="F56" s="144"/>
      <c r="G56" s="144"/>
      <c r="H56" s="144"/>
      <c r="I56" s="144"/>
      <c r="J56" s="145"/>
      <c r="K56" s="150"/>
      <c r="L56" s="150"/>
      <c r="M56" s="150"/>
      <c r="N56" s="150"/>
      <c r="O56" s="150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spans="1:25">
      <c r="A57" s="52"/>
      <c r="B57" s="55"/>
      <c r="C57" s="143"/>
      <c r="D57" s="144"/>
      <c r="E57" s="144"/>
      <c r="F57" s="144"/>
      <c r="G57" s="144"/>
      <c r="H57" s="144"/>
      <c r="I57" s="144"/>
      <c r="J57" s="145"/>
      <c r="K57" s="150"/>
      <c r="L57" s="150"/>
      <c r="M57" s="150"/>
      <c r="N57" s="150"/>
      <c r="O57" s="150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spans="1:25">
      <c r="A58" s="52"/>
      <c r="B58" s="55"/>
      <c r="C58" s="143"/>
      <c r="D58" s="144"/>
      <c r="E58" s="144"/>
      <c r="F58" s="144"/>
      <c r="G58" s="144"/>
      <c r="H58" s="144"/>
      <c r="I58" s="144"/>
      <c r="J58" s="145"/>
      <c r="K58" s="150"/>
      <c r="L58" s="150"/>
      <c r="M58" s="150"/>
      <c r="N58" s="150"/>
      <c r="O58" s="150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spans="1:25">
      <c r="A59" s="52"/>
      <c r="B59" s="55"/>
      <c r="C59" s="143"/>
      <c r="D59" s="144"/>
      <c r="E59" s="144"/>
      <c r="F59" s="144"/>
      <c r="G59" s="144"/>
      <c r="H59" s="144"/>
      <c r="I59" s="144"/>
      <c r="J59" s="145"/>
      <c r="K59" s="150"/>
      <c r="L59" s="150"/>
      <c r="M59" s="150"/>
      <c r="N59" s="150"/>
      <c r="O59" s="150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spans="1:25">
      <c r="A60" s="52"/>
      <c r="B60" s="55"/>
      <c r="C60" s="143"/>
      <c r="D60" s="144"/>
      <c r="E60" s="144"/>
      <c r="F60" s="144"/>
      <c r="G60" s="144"/>
      <c r="H60" s="144"/>
      <c r="I60" s="144"/>
      <c r="J60" s="145"/>
      <c r="K60" s="150"/>
      <c r="L60" s="150"/>
      <c r="M60" s="150"/>
      <c r="N60" s="150"/>
      <c r="O60" s="150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>
      <c r="A61" s="52"/>
      <c r="B61" s="55"/>
      <c r="C61" s="143"/>
      <c r="D61" s="144"/>
      <c r="E61" s="144"/>
      <c r="F61" s="144"/>
      <c r="G61" s="144"/>
      <c r="H61" s="144"/>
      <c r="I61" s="144"/>
      <c r="J61" s="145"/>
      <c r="K61" s="150"/>
      <c r="L61" s="150"/>
      <c r="M61" s="150"/>
      <c r="N61" s="150"/>
      <c r="O61" s="150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>
      <c r="A62" s="52"/>
      <c r="B62" s="55"/>
      <c r="C62" s="143"/>
      <c r="D62" s="144"/>
      <c r="E62" s="144"/>
      <c r="F62" s="144"/>
      <c r="G62" s="144"/>
      <c r="H62" s="144"/>
      <c r="I62" s="144"/>
      <c r="J62" s="145"/>
      <c r="K62" s="150"/>
      <c r="L62" s="150"/>
      <c r="M62" s="150"/>
      <c r="N62" s="150"/>
      <c r="O62" s="150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>
      <c r="A63" s="52"/>
      <c r="B63" s="55"/>
      <c r="C63" s="143"/>
      <c r="D63" s="144"/>
      <c r="E63" s="144"/>
      <c r="F63" s="144"/>
      <c r="G63" s="144"/>
      <c r="H63" s="144"/>
      <c r="I63" s="144"/>
      <c r="J63" s="145"/>
      <c r="K63" s="150"/>
      <c r="L63" s="150"/>
      <c r="M63" s="150"/>
      <c r="N63" s="150"/>
      <c r="O63" s="150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>
      <c r="A64" s="52"/>
      <c r="B64" s="55"/>
      <c r="C64" s="143"/>
      <c r="D64" s="144"/>
      <c r="E64" s="144"/>
      <c r="F64" s="144"/>
      <c r="G64" s="144"/>
      <c r="H64" s="144"/>
      <c r="I64" s="144"/>
      <c r="J64" s="145"/>
      <c r="K64" s="150"/>
      <c r="L64" s="150"/>
      <c r="M64" s="150"/>
      <c r="N64" s="150"/>
      <c r="O64" s="150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spans="1:25">
      <c r="A65" s="52"/>
      <c r="B65" s="55"/>
      <c r="C65" s="143"/>
      <c r="D65" s="144"/>
      <c r="E65" s="144"/>
      <c r="F65" s="144"/>
      <c r="G65" s="144"/>
      <c r="H65" s="144"/>
      <c r="I65" s="144"/>
      <c r="J65" s="145"/>
      <c r="K65" s="150"/>
      <c r="L65" s="150"/>
      <c r="M65" s="150"/>
      <c r="N65" s="150"/>
      <c r="O65" s="150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>
      <c r="A66" s="52"/>
      <c r="B66" s="55"/>
      <c r="C66" s="143"/>
      <c r="D66" s="144"/>
      <c r="E66" s="144"/>
      <c r="F66" s="144"/>
      <c r="G66" s="144"/>
      <c r="H66" s="144"/>
      <c r="I66" s="144"/>
      <c r="J66" s="145"/>
      <c r="K66" s="150"/>
      <c r="L66" s="150"/>
      <c r="M66" s="150"/>
      <c r="N66" s="150"/>
      <c r="O66" s="150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>
      <c r="A67" s="52"/>
      <c r="B67" s="55"/>
      <c r="C67" s="143"/>
      <c r="D67" s="144"/>
      <c r="E67" s="144"/>
      <c r="F67" s="144"/>
      <c r="G67" s="144"/>
      <c r="H67" s="144"/>
      <c r="I67" s="144"/>
      <c r="J67" s="145"/>
      <c r="K67" s="150"/>
      <c r="L67" s="150"/>
      <c r="M67" s="150"/>
      <c r="N67" s="150"/>
      <c r="O67" s="150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>
      <c r="A68" s="52"/>
      <c r="B68" s="55"/>
      <c r="C68" s="143"/>
      <c r="D68" s="144"/>
      <c r="E68" s="144"/>
      <c r="F68" s="144"/>
      <c r="G68" s="144"/>
      <c r="H68" s="144"/>
      <c r="I68" s="144"/>
      <c r="J68" s="145"/>
      <c r="K68" s="150"/>
      <c r="L68" s="150"/>
      <c r="M68" s="150"/>
      <c r="N68" s="150"/>
      <c r="O68" s="150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>
      <c r="A69" s="52"/>
      <c r="B69" s="55"/>
      <c r="C69" s="143"/>
      <c r="D69" s="144"/>
      <c r="E69" s="144"/>
      <c r="F69" s="144"/>
      <c r="G69" s="144"/>
      <c r="H69" s="144"/>
      <c r="I69" s="144"/>
      <c r="J69" s="145"/>
      <c r="K69" s="150"/>
      <c r="L69" s="150"/>
      <c r="M69" s="150"/>
      <c r="N69" s="150"/>
      <c r="O69" s="150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spans="1:25">
      <c r="A70" s="52"/>
      <c r="B70" s="55"/>
      <c r="C70" s="143"/>
      <c r="D70" s="144"/>
      <c r="E70" s="144"/>
      <c r="F70" s="144"/>
      <c r="G70" s="144"/>
      <c r="H70" s="144"/>
      <c r="I70" s="144"/>
      <c r="J70" s="145"/>
      <c r="K70" s="150"/>
      <c r="L70" s="150"/>
      <c r="M70" s="150"/>
      <c r="N70" s="150"/>
      <c r="O70" s="150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>
      <c r="A71" s="52"/>
      <c r="B71" s="55"/>
      <c r="C71" s="143"/>
      <c r="D71" s="144"/>
      <c r="E71" s="144"/>
      <c r="F71" s="144"/>
      <c r="G71" s="144"/>
      <c r="H71" s="144"/>
      <c r="I71" s="144"/>
      <c r="J71" s="145"/>
      <c r="K71" s="150"/>
      <c r="L71" s="150"/>
      <c r="M71" s="150"/>
      <c r="N71" s="150"/>
      <c r="O71" s="150"/>
      <c r="P71" s="49"/>
      <c r="Q71" s="49"/>
      <c r="R71" s="49"/>
      <c r="S71" s="49"/>
      <c r="T71" s="49"/>
      <c r="U71" s="49"/>
      <c r="V71" s="49"/>
      <c r="W71" s="49"/>
      <c r="X71" s="49"/>
      <c r="Y71" s="49"/>
    </row>
  </sheetData>
  <autoFilter ref="A7:Z7" xr:uid="{00000000-0009-0000-0000-000002000000}"/>
  <mergeCells count="51">
    <mergeCell ref="C49:J49"/>
    <mergeCell ref="K49:O49"/>
    <mergeCell ref="A6:B6"/>
    <mergeCell ref="C6:Z6"/>
    <mergeCell ref="A47:O47"/>
    <mergeCell ref="C48:J48"/>
    <mergeCell ref="K48:O48"/>
    <mergeCell ref="C50:J50"/>
    <mergeCell ref="K50:O50"/>
    <mergeCell ref="C51:J51"/>
    <mergeCell ref="K51:O51"/>
    <mergeCell ref="C52:J52"/>
    <mergeCell ref="K52:O52"/>
    <mergeCell ref="C53:J53"/>
    <mergeCell ref="K53:O53"/>
    <mergeCell ref="C54:J54"/>
    <mergeCell ref="K54:O54"/>
    <mergeCell ref="C55:J55"/>
    <mergeCell ref="K55:O55"/>
    <mergeCell ref="C56:J56"/>
    <mergeCell ref="K56:O56"/>
    <mergeCell ref="C57:J57"/>
    <mergeCell ref="K57:O57"/>
    <mergeCell ref="C58:J58"/>
    <mergeCell ref="K58:O58"/>
    <mergeCell ref="C59:J59"/>
    <mergeCell ref="K59:O59"/>
    <mergeCell ref="C60:J60"/>
    <mergeCell ref="K60:O60"/>
    <mergeCell ref="C61:J61"/>
    <mergeCell ref="K61:O61"/>
    <mergeCell ref="C62:J62"/>
    <mergeCell ref="K62:O62"/>
    <mergeCell ref="C63:J63"/>
    <mergeCell ref="K63:O63"/>
    <mergeCell ref="C64:J64"/>
    <mergeCell ref="K64:O64"/>
    <mergeCell ref="C65:J65"/>
    <mergeCell ref="K65:O65"/>
    <mergeCell ref="C66:J66"/>
    <mergeCell ref="K66:O66"/>
    <mergeCell ref="C67:J67"/>
    <mergeCell ref="K67:O67"/>
    <mergeCell ref="C71:J71"/>
    <mergeCell ref="K71:O71"/>
    <mergeCell ref="C68:J68"/>
    <mergeCell ref="K68:O68"/>
    <mergeCell ref="C69:J69"/>
    <mergeCell ref="K69:O69"/>
    <mergeCell ref="C70:J70"/>
    <mergeCell ref="K70:O70"/>
  </mergeCells>
  <pageMargins left="0.27559055118110237" right="0.27559055118110237" top="7.9687499999999994E-2" bottom="0.63749999999999996" header="0.23622047244094491" footer="0.31496062992125984"/>
  <pageSetup scale="85" orientation="landscape" r:id="rId1"/>
  <headerFooter>
    <oddFooter>&amp;R&amp;"Abadi Extra Light,Normal"&amp;10RHF19 - Tercera - 01/03/2024                   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1" r:id="rId4">
          <objectPr defaultSize="0" autoPict="0" r:id="rId5">
            <anchor moveWithCells="1" sizeWithCells="1">
              <from>
                <xdr:col>22</xdr:col>
                <xdr:colOff>171450</xdr:colOff>
                <xdr:row>0</xdr:row>
                <xdr:rowOff>85725</xdr:rowOff>
              </from>
              <to>
                <xdr:col>26</xdr:col>
                <xdr:colOff>28575</xdr:colOff>
                <xdr:row>2</xdr:row>
                <xdr:rowOff>152400</xdr:rowOff>
              </to>
            </anchor>
          </objectPr>
        </oleObject>
      </mc:Choice>
      <mc:Fallback>
        <oleObject progId="PBrush" shapeId="10251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C0F6-80CC-40E7-9E82-AEC8110A0F47}">
  <dimension ref="A1:AB78"/>
  <sheetViews>
    <sheetView zoomScaleNormal="100" workbookViewId="0"/>
  </sheetViews>
  <sheetFormatPr defaultColWidth="11.42578125" defaultRowHeight="15"/>
  <cols>
    <col min="1" max="1" width="33.28515625" customWidth="1"/>
    <col min="2" max="2" width="36.85546875" style="5" customWidth="1"/>
    <col min="3" max="3" width="4.7109375" customWidth="1"/>
    <col min="4" max="4" width="3.28515625" customWidth="1"/>
    <col min="5" max="5" width="4.7109375" customWidth="1"/>
    <col min="6" max="6" width="3.5703125" customWidth="1"/>
    <col min="7" max="7" width="4.5703125" customWidth="1"/>
    <col min="8" max="14" width="3.5703125" customWidth="1"/>
    <col min="15" max="15" width="4.28515625" customWidth="1"/>
    <col min="16" max="16" width="3.5703125" customWidth="1"/>
    <col min="17" max="17" width="4.42578125" customWidth="1"/>
    <col min="18" max="18" width="3.5703125" customWidth="1"/>
    <col min="19" max="19" width="2.85546875" customWidth="1"/>
    <col min="20" max="20" width="3" customWidth="1"/>
    <col min="21" max="21" width="4" customWidth="1"/>
    <col min="22" max="22" width="3.5703125" customWidth="1"/>
    <col min="23" max="23" width="4" customWidth="1"/>
    <col min="24" max="24" width="4.28515625" customWidth="1"/>
    <col min="25" max="25" width="7.140625" customWidth="1"/>
    <col min="26" max="26" width="4.28515625" customWidth="1"/>
    <col min="27" max="27" width="3.42578125" customWidth="1"/>
    <col min="28" max="28" width="15.85546875" customWidth="1"/>
  </cols>
  <sheetData>
    <row r="1" spans="1:27">
      <c r="A1" s="44"/>
      <c r="B1" s="45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7">
      <c r="A2" s="44"/>
      <c r="B2" s="45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7">
      <c r="A3" s="44"/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spans="1:27" ht="26.25">
      <c r="A4" s="46" t="s">
        <v>104</v>
      </c>
      <c r="B4" s="45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27">
      <c r="A5" s="44"/>
      <c r="B5" s="45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spans="1:27" ht="15.75" thickBot="1">
      <c r="A6" s="169" t="s">
        <v>0</v>
      </c>
      <c r="B6" s="169"/>
      <c r="C6" s="170" t="s">
        <v>198</v>
      </c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</row>
    <row r="7" spans="1:27" ht="97.5" customHeight="1" thickBot="1">
      <c r="A7" s="68" t="s">
        <v>4</v>
      </c>
      <c r="B7" s="69" t="s">
        <v>5</v>
      </c>
      <c r="C7" s="72" t="s">
        <v>213</v>
      </c>
      <c r="D7" s="73" t="s">
        <v>106</v>
      </c>
      <c r="E7" s="72"/>
      <c r="F7" s="73" t="s">
        <v>106</v>
      </c>
      <c r="G7" s="79" t="s">
        <v>214</v>
      </c>
      <c r="H7" s="73" t="s">
        <v>106</v>
      </c>
      <c r="I7" s="72" t="s">
        <v>215</v>
      </c>
      <c r="J7" s="73" t="s">
        <v>106</v>
      </c>
      <c r="K7" s="72"/>
      <c r="L7" s="73" t="s">
        <v>106</v>
      </c>
      <c r="M7" s="72"/>
      <c r="N7" s="73" t="s">
        <v>106</v>
      </c>
      <c r="O7" s="72"/>
      <c r="P7" s="73" t="s">
        <v>106</v>
      </c>
      <c r="Q7" s="72"/>
      <c r="R7" s="73" t="s">
        <v>106</v>
      </c>
      <c r="S7" s="72"/>
      <c r="T7" s="73" t="s">
        <v>106</v>
      </c>
      <c r="U7" s="72"/>
      <c r="V7" s="73" t="s">
        <v>106</v>
      </c>
      <c r="W7" s="72"/>
      <c r="X7" s="73" t="s">
        <v>106</v>
      </c>
      <c r="Y7" s="72"/>
      <c r="Z7" s="32" t="s">
        <v>106</v>
      </c>
    </row>
    <row r="8" spans="1:27">
      <c r="A8" s="50" t="s">
        <v>120</v>
      </c>
      <c r="B8" s="51" t="s">
        <v>121</v>
      </c>
      <c r="C8" s="47" t="s">
        <v>97</v>
      </c>
      <c r="D8" s="47"/>
      <c r="E8" s="47"/>
      <c r="F8" s="47"/>
      <c r="G8" s="47" t="s">
        <v>51</v>
      </c>
      <c r="H8" s="47"/>
      <c r="I8" s="85" t="s">
        <v>51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35"/>
    </row>
    <row r="9" spans="1:27">
      <c r="A9" s="53" t="s">
        <v>52</v>
      </c>
      <c r="B9" s="54" t="s">
        <v>216</v>
      </c>
      <c r="C9" s="47" t="s">
        <v>97</v>
      </c>
      <c r="D9" s="47"/>
      <c r="E9" s="47"/>
      <c r="F9" s="47"/>
      <c r="G9" s="47" t="s">
        <v>97</v>
      </c>
      <c r="H9" s="47"/>
      <c r="I9" s="85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35"/>
    </row>
    <row r="10" spans="1:27">
      <c r="A10" s="53" t="s">
        <v>122</v>
      </c>
      <c r="B10" s="54" t="s">
        <v>123</v>
      </c>
      <c r="C10" s="47" t="s">
        <v>97</v>
      </c>
      <c r="D10" s="47"/>
      <c r="E10" s="47"/>
      <c r="F10" s="47"/>
      <c r="G10" s="47" t="s">
        <v>97</v>
      </c>
      <c r="H10" s="47"/>
      <c r="I10" s="85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35"/>
    </row>
    <row r="11" spans="1:27">
      <c r="A11" s="53" t="s">
        <v>126</v>
      </c>
      <c r="B11" s="55" t="s">
        <v>127</v>
      </c>
      <c r="C11" s="47" t="s">
        <v>51</v>
      </c>
      <c r="D11" s="47"/>
      <c r="E11" s="47"/>
      <c r="F11" s="47"/>
      <c r="G11" s="47" t="s">
        <v>51</v>
      </c>
      <c r="H11" s="47"/>
      <c r="I11" s="85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35"/>
    </row>
    <row r="12" spans="1:27">
      <c r="A12" s="53" t="s">
        <v>92</v>
      </c>
      <c r="B12" s="54" t="s">
        <v>129</v>
      </c>
      <c r="C12" s="47" t="s">
        <v>97</v>
      </c>
      <c r="D12" s="47"/>
      <c r="E12" s="47"/>
      <c r="F12" s="47"/>
      <c r="G12" s="47" t="s">
        <v>97</v>
      </c>
      <c r="H12" s="47"/>
      <c r="I12" s="85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35"/>
    </row>
    <row r="13" spans="1:27">
      <c r="A13" s="53" t="s">
        <v>217</v>
      </c>
      <c r="B13" s="54" t="s">
        <v>218</v>
      </c>
      <c r="C13" s="47" t="s">
        <v>51</v>
      </c>
      <c r="D13" s="47"/>
      <c r="E13" s="47"/>
      <c r="F13" s="47"/>
      <c r="G13" s="47" t="s">
        <v>51</v>
      </c>
      <c r="H13" s="47"/>
      <c r="I13" s="85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35"/>
    </row>
    <row r="14" spans="1:27">
      <c r="A14" s="53" t="s">
        <v>219</v>
      </c>
      <c r="B14" s="55" t="s">
        <v>220</v>
      </c>
      <c r="C14" s="47" t="s">
        <v>97</v>
      </c>
      <c r="D14" s="47"/>
      <c r="E14" s="47"/>
      <c r="F14" s="47"/>
      <c r="G14" s="47" t="s">
        <v>97</v>
      </c>
      <c r="H14" s="47"/>
      <c r="I14" s="85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35"/>
    </row>
    <row r="15" spans="1:27">
      <c r="A15" s="53" t="s">
        <v>76</v>
      </c>
      <c r="B15" s="55" t="s">
        <v>130</v>
      </c>
      <c r="C15" s="47" t="s">
        <v>97</v>
      </c>
      <c r="D15" s="47"/>
      <c r="E15" s="47"/>
      <c r="F15" s="47"/>
      <c r="G15" s="47" t="s">
        <v>97</v>
      </c>
      <c r="H15" s="47"/>
      <c r="I15" s="85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35"/>
    </row>
    <row r="16" spans="1:27">
      <c r="A16" s="53" t="s">
        <v>57</v>
      </c>
      <c r="B16" s="55" t="s">
        <v>131</v>
      </c>
      <c r="C16" s="47" t="s">
        <v>97</v>
      </c>
      <c r="D16" s="52"/>
      <c r="E16" s="52"/>
      <c r="F16" s="52"/>
      <c r="G16" s="47" t="s">
        <v>97</v>
      </c>
      <c r="H16" s="52"/>
      <c r="I16" s="85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35"/>
    </row>
    <row r="17" spans="1:26">
      <c r="A17" s="53" t="s">
        <v>132</v>
      </c>
      <c r="B17" s="55" t="s">
        <v>131</v>
      </c>
      <c r="C17" s="47" t="s">
        <v>97</v>
      </c>
      <c r="D17" s="52"/>
      <c r="E17" s="52"/>
      <c r="F17" s="52"/>
      <c r="G17" s="47" t="s">
        <v>97</v>
      </c>
      <c r="H17" s="52"/>
      <c r="I17" s="85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35"/>
    </row>
    <row r="18" spans="1:26">
      <c r="A18" s="53" t="s">
        <v>133</v>
      </c>
      <c r="B18" s="55" t="s">
        <v>134</v>
      </c>
      <c r="C18" s="47" t="s">
        <v>97</v>
      </c>
      <c r="D18" s="52"/>
      <c r="E18" s="52"/>
      <c r="F18" s="52"/>
      <c r="G18" s="47" t="s">
        <v>97</v>
      </c>
      <c r="H18" s="52"/>
      <c r="I18" s="85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35"/>
    </row>
    <row r="19" spans="1:26">
      <c r="A19" s="53" t="s">
        <v>71</v>
      </c>
      <c r="B19" s="55" t="s">
        <v>68</v>
      </c>
      <c r="C19" s="47" t="s">
        <v>97</v>
      </c>
      <c r="D19" s="52"/>
      <c r="E19" s="52"/>
      <c r="F19" s="52"/>
      <c r="G19" s="47" t="s">
        <v>97</v>
      </c>
      <c r="H19" s="52"/>
      <c r="I19" s="85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35"/>
    </row>
    <row r="20" spans="1:26">
      <c r="A20" s="53" t="s">
        <v>67</v>
      </c>
      <c r="B20" s="55" t="s">
        <v>135</v>
      </c>
      <c r="C20" s="47" t="s">
        <v>97</v>
      </c>
      <c r="D20" s="52"/>
      <c r="E20" s="52"/>
      <c r="F20" s="52"/>
      <c r="G20" s="47" t="s">
        <v>97</v>
      </c>
      <c r="H20" s="52"/>
      <c r="I20" s="85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35"/>
    </row>
    <row r="21" spans="1:26">
      <c r="A21" s="53" t="s">
        <v>78</v>
      </c>
      <c r="B21" s="55" t="s">
        <v>68</v>
      </c>
      <c r="C21" s="47" t="s">
        <v>97</v>
      </c>
      <c r="D21" s="52"/>
      <c r="E21" s="52"/>
      <c r="F21" s="52"/>
      <c r="G21" s="47" t="s">
        <v>97</v>
      </c>
      <c r="H21" s="52"/>
      <c r="I21" s="85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35"/>
    </row>
    <row r="22" spans="1:26">
      <c r="A22" s="53" t="s">
        <v>79</v>
      </c>
      <c r="B22" s="55" t="s">
        <v>68</v>
      </c>
      <c r="C22" s="47" t="s">
        <v>97</v>
      </c>
      <c r="D22" s="52"/>
      <c r="E22" s="52"/>
      <c r="F22" s="52"/>
      <c r="G22" s="47" t="s">
        <v>97</v>
      </c>
      <c r="H22" s="52"/>
      <c r="I22" s="85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35"/>
    </row>
    <row r="23" spans="1:26">
      <c r="A23" s="53" t="s">
        <v>89</v>
      </c>
      <c r="B23" s="55" t="s">
        <v>68</v>
      </c>
      <c r="C23" s="47" t="s">
        <v>97</v>
      </c>
      <c r="D23" s="52"/>
      <c r="E23" s="52"/>
      <c r="F23" s="52"/>
      <c r="G23" s="47" t="s">
        <v>97</v>
      </c>
      <c r="H23" s="52"/>
      <c r="I23" s="85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35"/>
    </row>
    <row r="24" spans="1:26">
      <c r="A24" s="53" t="s">
        <v>136</v>
      </c>
      <c r="B24" s="55" t="s">
        <v>68</v>
      </c>
      <c r="C24" s="47" t="s">
        <v>97</v>
      </c>
      <c r="D24" s="52"/>
      <c r="E24" s="52"/>
      <c r="F24" s="52"/>
      <c r="G24" s="47" t="s">
        <v>97</v>
      </c>
      <c r="H24" s="52"/>
      <c r="I24" s="85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35"/>
    </row>
    <row r="25" spans="1:26">
      <c r="A25" s="53" t="s">
        <v>137</v>
      </c>
      <c r="B25" s="55" t="s">
        <v>68</v>
      </c>
      <c r="C25" s="47" t="s">
        <v>97</v>
      </c>
      <c r="D25" s="52"/>
      <c r="E25" s="52"/>
      <c r="F25" s="52"/>
      <c r="G25" s="47" t="s">
        <v>97</v>
      </c>
      <c r="H25" s="52"/>
      <c r="I25" s="85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35"/>
    </row>
    <row r="26" spans="1:26">
      <c r="A26" s="53" t="s">
        <v>72</v>
      </c>
      <c r="B26" s="55" t="s">
        <v>138</v>
      </c>
      <c r="C26" s="47" t="s">
        <v>97</v>
      </c>
      <c r="D26" s="52"/>
      <c r="E26" s="52"/>
      <c r="F26" s="52"/>
      <c r="G26" s="47" t="s">
        <v>97</v>
      </c>
      <c r="H26" s="52"/>
      <c r="I26" s="85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35"/>
    </row>
    <row r="27" spans="1:26">
      <c r="A27" s="53" t="s">
        <v>77</v>
      </c>
      <c r="B27" s="55" t="s">
        <v>138</v>
      </c>
      <c r="C27" s="47" t="s">
        <v>97</v>
      </c>
      <c r="D27" s="52"/>
      <c r="E27" s="52"/>
      <c r="F27" s="52"/>
      <c r="G27" s="47" t="s">
        <v>97</v>
      </c>
      <c r="H27" s="52"/>
      <c r="I27" s="85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35"/>
    </row>
    <row r="28" spans="1:26">
      <c r="A28" s="53" t="s">
        <v>139</v>
      </c>
      <c r="B28" s="55" t="s">
        <v>140</v>
      </c>
      <c r="C28" s="47" t="s">
        <v>97</v>
      </c>
      <c r="D28" s="52"/>
      <c r="E28" s="52"/>
      <c r="F28" s="52"/>
      <c r="G28" s="47" t="s">
        <v>97</v>
      </c>
      <c r="H28" s="52"/>
      <c r="I28" s="85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35"/>
    </row>
    <row r="29" spans="1:26">
      <c r="A29" s="53" t="s">
        <v>141</v>
      </c>
      <c r="B29" s="55" t="s">
        <v>142</v>
      </c>
      <c r="C29" s="47" t="s">
        <v>97</v>
      </c>
      <c r="D29" s="52"/>
      <c r="E29" s="52"/>
      <c r="F29" s="52"/>
      <c r="G29" s="47" t="s">
        <v>97</v>
      </c>
      <c r="H29" s="52"/>
      <c r="I29" s="85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35"/>
    </row>
    <row r="30" spans="1:26">
      <c r="A30" s="53" t="s">
        <v>65</v>
      </c>
      <c r="B30" s="55" t="s">
        <v>66</v>
      </c>
      <c r="C30" s="47" t="s">
        <v>97</v>
      </c>
      <c r="D30" s="52"/>
      <c r="E30" s="52"/>
      <c r="F30" s="52"/>
      <c r="G30" s="47" t="s">
        <v>97</v>
      </c>
      <c r="H30" s="52"/>
      <c r="I30" s="85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35"/>
    </row>
    <row r="31" spans="1:26">
      <c r="A31" s="53" t="s">
        <v>143</v>
      </c>
      <c r="B31" s="55" t="s">
        <v>66</v>
      </c>
      <c r="C31" s="47" t="s">
        <v>97</v>
      </c>
      <c r="D31" s="52"/>
      <c r="E31" s="52"/>
      <c r="F31" s="52"/>
      <c r="G31" s="47" t="s">
        <v>97</v>
      </c>
      <c r="H31" s="52"/>
      <c r="I31" s="85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35"/>
    </row>
    <row r="32" spans="1:26">
      <c r="A32" s="53" t="s">
        <v>144</v>
      </c>
      <c r="B32" s="55" t="s">
        <v>66</v>
      </c>
      <c r="C32" s="47" t="s">
        <v>97</v>
      </c>
      <c r="D32" s="52"/>
      <c r="E32" s="52"/>
      <c r="F32" s="52"/>
      <c r="G32" s="47" t="s">
        <v>97</v>
      </c>
      <c r="H32" s="52"/>
      <c r="I32" s="85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35"/>
    </row>
    <row r="33" spans="1:28">
      <c r="A33" s="53" t="s">
        <v>145</v>
      </c>
      <c r="B33" s="55" t="s">
        <v>138</v>
      </c>
      <c r="C33" s="47" t="s">
        <v>97</v>
      </c>
      <c r="D33" s="52"/>
      <c r="E33" s="52"/>
      <c r="F33" s="52"/>
      <c r="G33" s="47" t="s">
        <v>97</v>
      </c>
      <c r="H33" s="52"/>
      <c r="I33" s="85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35"/>
    </row>
    <row r="34" spans="1:28">
      <c r="A34" s="53" t="s">
        <v>80</v>
      </c>
      <c r="B34" s="55" t="s">
        <v>146</v>
      </c>
      <c r="C34" s="47" t="s">
        <v>97</v>
      </c>
      <c r="D34" s="52"/>
      <c r="E34" s="52"/>
      <c r="F34" s="52"/>
      <c r="G34" s="47" t="s">
        <v>97</v>
      </c>
      <c r="H34" s="52"/>
      <c r="I34" s="85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35"/>
    </row>
    <row r="35" spans="1:28">
      <c r="A35" s="53" t="s">
        <v>147</v>
      </c>
      <c r="B35" s="54" t="s">
        <v>146</v>
      </c>
      <c r="C35" s="47" t="s">
        <v>97</v>
      </c>
      <c r="D35" s="52"/>
      <c r="E35" s="52"/>
      <c r="F35" s="52"/>
      <c r="G35" s="47" t="s">
        <v>97</v>
      </c>
      <c r="H35" s="52"/>
      <c r="I35" s="85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35"/>
    </row>
    <row r="36" spans="1:28">
      <c r="A36" s="53" t="s">
        <v>98</v>
      </c>
      <c r="B36" s="55" t="s">
        <v>148</v>
      </c>
      <c r="C36" s="47" t="s">
        <v>97</v>
      </c>
      <c r="D36" s="52"/>
      <c r="E36" s="52"/>
      <c r="F36" s="52"/>
      <c r="G36" s="47" t="s">
        <v>97</v>
      </c>
      <c r="H36" s="52"/>
      <c r="I36" s="85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35"/>
    </row>
    <row r="37" spans="1:28">
      <c r="A37" s="56" t="s">
        <v>153</v>
      </c>
      <c r="B37" s="57" t="s">
        <v>152</v>
      </c>
      <c r="C37" s="47" t="s">
        <v>97</v>
      </c>
      <c r="D37" s="52"/>
      <c r="E37" s="52"/>
      <c r="F37" s="52"/>
      <c r="G37" s="47"/>
      <c r="H37" s="52"/>
      <c r="I37" s="85" t="s">
        <v>51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5"/>
    </row>
    <row r="38" spans="1:28">
      <c r="A38" s="56" t="s">
        <v>151</v>
      </c>
      <c r="B38" s="57" t="s">
        <v>152</v>
      </c>
      <c r="C38" s="47" t="s">
        <v>97</v>
      </c>
      <c r="D38" s="52"/>
      <c r="E38" s="52"/>
      <c r="F38" s="52"/>
      <c r="G38" s="47" t="s">
        <v>51</v>
      </c>
      <c r="H38" s="52"/>
      <c r="I38" s="85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35"/>
    </row>
    <row r="39" spans="1:28">
      <c r="A39" s="56" t="s">
        <v>221</v>
      </c>
      <c r="B39" s="57" t="s">
        <v>222</v>
      </c>
      <c r="C39" s="47" t="s">
        <v>97</v>
      </c>
      <c r="D39" s="52"/>
      <c r="E39" s="52"/>
      <c r="F39" s="52"/>
      <c r="G39" s="47" t="s">
        <v>51</v>
      </c>
      <c r="H39" s="52"/>
      <c r="I39" s="85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35"/>
    </row>
    <row r="40" spans="1:28">
      <c r="A40" s="56" t="s">
        <v>223</v>
      </c>
      <c r="B40" s="57" t="s">
        <v>152</v>
      </c>
      <c r="C40" s="47" t="s">
        <v>97</v>
      </c>
      <c r="D40" s="52"/>
      <c r="E40" s="52"/>
      <c r="F40" s="52"/>
      <c r="G40" s="47" t="s">
        <v>51</v>
      </c>
      <c r="H40" s="52"/>
      <c r="I40" s="85" t="s">
        <v>51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35"/>
    </row>
    <row r="41" spans="1:28">
      <c r="A41" s="56" t="s">
        <v>224</v>
      </c>
      <c r="B41" s="57" t="s">
        <v>152</v>
      </c>
      <c r="C41" s="47" t="s">
        <v>97</v>
      </c>
      <c r="D41" s="52"/>
      <c r="E41" s="52"/>
      <c r="F41" s="52"/>
      <c r="G41" s="47" t="s">
        <v>51</v>
      </c>
      <c r="H41" s="52"/>
      <c r="I41" s="85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35"/>
    </row>
    <row r="42" spans="1:28">
      <c r="A42" s="56"/>
      <c r="B42" s="57"/>
      <c r="C42" s="47"/>
      <c r="D42" s="52"/>
      <c r="E42" s="52"/>
      <c r="F42" s="52"/>
      <c r="G42" s="47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35"/>
    </row>
    <row r="43" spans="1:28">
      <c r="A43" s="56"/>
      <c r="B43" s="57"/>
      <c r="C43" s="47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35"/>
    </row>
    <row r="44" spans="1:28">
      <c r="A44" s="56" t="s">
        <v>225</v>
      </c>
      <c r="B44" s="57"/>
      <c r="C44" s="47" t="s">
        <v>51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35"/>
    </row>
    <row r="45" spans="1:28" ht="15.75" thickBot="1">
      <c r="A45" s="58" t="s">
        <v>226</v>
      </c>
      <c r="B45" s="59"/>
      <c r="C45" s="47" t="s">
        <v>51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35"/>
    </row>
    <row r="46" spans="1:28">
      <c r="A46" s="49"/>
      <c r="B46" s="57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8">
      <c r="A47" s="49"/>
      <c r="B47" s="62" t="s">
        <v>100</v>
      </c>
      <c r="C47" s="63">
        <f>COUNTIF(C8:C45,"X")</f>
        <v>4</v>
      </c>
      <c r="D47" s="63" t="e">
        <f>AVERAGE(D8:D45)</f>
        <v>#DIV/0!</v>
      </c>
      <c r="E47" s="63">
        <f>COUNTIF(E8:E45,"X")</f>
        <v>0</v>
      </c>
      <c r="F47" s="63" t="e">
        <f>AVERAGE(F8:F45)</f>
        <v>#DIV/0!</v>
      </c>
      <c r="G47" s="63">
        <f>COUNTIF(G8:G45,"X")</f>
        <v>7</v>
      </c>
      <c r="H47" s="63" t="e">
        <f>AVERAGE(H8:H45)</f>
        <v>#DIV/0!</v>
      </c>
      <c r="I47" s="63">
        <f>COUNTIF(I8:I45,"X")</f>
        <v>3</v>
      </c>
      <c r="J47" s="63" t="e">
        <f>AVERAGE(J8:J45)</f>
        <v>#DIV/0!</v>
      </c>
      <c r="K47" s="63">
        <f>COUNTIF(K8:K45,"X")</f>
        <v>0</v>
      </c>
      <c r="L47" s="63" t="e">
        <f>AVERAGE(L8:L45)</f>
        <v>#DIV/0!</v>
      </c>
      <c r="M47" s="63">
        <f>COUNTIF(M8:M45,"X")</f>
        <v>0</v>
      </c>
      <c r="N47" s="63" t="e">
        <f>AVERAGE(N8:N45)</f>
        <v>#DIV/0!</v>
      </c>
      <c r="O47" s="63">
        <f>COUNTIF(O8:O45,"X")</f>
        <v>0</v>
      </c>
      <c r="P47" s="63" t="e">
        <f>AVERAGE(P8:P45)</f>
        <v>#DIV/0!</v>
      </c>
      <c r="Q47" s="63">
        <f>COUNTIF(Q8:Q45,"X")</f>
        <v>0</v>
      </c>
      <c r="R47" s="63" t="e">
        <f>AVERAGE(R8:R45)</f>
        <v>#DIV/0!</v>
      </c>
      <c r="S47" s="63">
        <f>COUNTIF(S8:S45,"X")</f>
        <v>0</v>
      </c>
      <c r="T47" s="63" t="e">
        <f>AVERAGE(T8:T45)</f>
        <v>#DIV/0!</v>
      </c>
      <c r="U47" s="63">
        <f>COUNTIF(U8:U45,"X")</f>
        <v>0</v>
      </c>
      <c r="V47" s="63" t="e">
        <f>AVERAGE(V8:V45)</f>
        <v>#DIV/0!</v>
      </c>
      <c r="W47" s="63">
        <f>COUNTIF(W8:W45,"X")</f>
        <v>0</v>
      </c>
      <c r="X47" s="63" t="e">
        <f>AVERAGE(X8:X45)</f>
        <v>#DIV/0!</v>
      </c>
      <c r="Y47" s="63">
        <f>COUNTIF(Y8:Y45,"X")</f>
        <v>0</v>
      </c>
      <c r="Z47" s="33" t="e">
        <f>AVERAGE(Z8:Z45)</f>
        <v>#DIV/0!</v>
      </c>
      <c r="AB47" s="38"/>
    </row>
    <row r="48" spans="1:28">
      <c r="A48" s="49"/>
      <c r="B48" s="64" t="s">
        <v>155</v>
      </c>
      <c r="C48" s="63">
        <f>COUNTIF(C8:C45,"S/C")</f>
        <v>0</v>
      </c>
      <c r="D48" s="63">
        <f>COUNTIF(D8:D45,"&lt;80")</f>
        <v>0</v>
      </c>
      <c r="E48" s="63">
        <f>COUNTIF(E8:E45,"S/C")</f>
        <v>0</v>
      </c>
      <c r="F48" s="63">
        <f>COUNTIF(F8:F45,"&lt;80")</f>
        <v>0</v>
      </c>
      <c r="G48" s="63">
        <f>COUNTIF(G8:G45,"S/C")</f>
        <v>0</v>
      </c>
      <c r="H48" s="63">
        <f>COUNTIF(H8:H45,"&lt;80")</f>
        <v>0</v>
      </c>
      <c r="I48" s="63">
        <f>COUNTIF(I8:I45,"S/C")</f>
        <v>0</v>
      </c>
      <c r="J48" s="63">
        <f>COUNTIF(J8:J45,"&lt;80")</f>
        <v>0</v>
      </c>
      <c r="K48" s="63">
        <f>COUNTIF(K8:K45,"S/C")</f>
        <v>0</v>
      </c>
      <c r="L48" s="63">
        <f>COUNTIF(L8:L45,"&lt;80")</f>
        <v>0</v>
      </c>
      <c r="M48" s="63">
        <f>COUNTIF(M8:M45,"S/C")</f>
        <v>0</v>
      </c>
      <c r="N48" s="63">
        <f>COUNTIF(N8:N45,"&lt;80")</f>
        <v>0</v>
      </c>
      <c r="O48" s="63">
        <f>COUNTIF(O8:O45,"S/C")</f>
        <v>0</v>
      </c>
      <c r="P48" s="63">
        <f>COUNTIF(P8:P45,"&lt;80")</f>
        <v>0</v>
      </c>
      <c r="Q48" s="63">
        <f>COUNTIF(Q8:Q45,"S/C")</f>
        <v>0</v>
      </c>
      <c r="R48" s="63">
        <f>COUNTIF(R8:R45,"&lt;80")</f>
        <v>0</v>
      </c>
      <c r="S48" s="63">
        <f>COUNTIF(S8:S45,"S/C")</f>
        <v>0</v>
      </c>
      <c r="T48" s="63">
        <f>COUNTIF(T8:T45,"&lt;80")</f>
        <v>0</v>
      </c>
      <c r="U48" s="63">
        <f>COUNTIF(U8:U45,"S/C")</f>
        <v>0</v>
      </c>
      <c r="V48" s="63">
        <f>COUNTIF(V8:V45,"&lt;80")</f>
        <v>0</v>
      </c>
      <c r="W48" s="63">
        <f>COUNTIF(W8:W45,"S/C")</f>
        <v>0</v>
      </c>
      <c r="X48" s="63">
        <f>COUNTIF(X8:X45,"&lt;80")</f>
        <v>0</v>
      </c>
      <c r="Y48" s="63">
        <f>COUNTIF(Y8:Y45,"S/C")</f>
        <v>0</v>
      </c>
      <c r="Z48" s="28">
        <f>COUNTIF(Z8:Z45,"&lt;80")</f>
        <v>0</v>
      </c>
    </row>
    <row r="49" spans="1:28">
      <c r="A49" s="49"/>
      <c r="B49" s="64" t="s">
        <v>102</v>
      </c>
      <c r="C49" s="63">
        <f t="shared" ref="C49:Z49" si="0">COUNTIF(C8:C45,"NA")</f>
        <v>32</v>
      </c>
      <c r="D49" s="63">
        <f t="shared" si="0"/>
        <v>0</v>
      </c>
      <c r="E49" s="63">
        <f t="shared" si="0"/>
        <v>0</v>
      </c>
      <c r="F49" s="63">
        <f t="shared" si="0"/>
        <v>0</v>
      </c>
      <c r="G49" s="63">
        <f t="shared" si="0"/>
        <v>26</v>
      </c>
      <c r="H49" s="63">
        <f t="shared" si="0"/>
        <v>0</v>
      </c>
      <c r="I49" s="63">
        <f t="shared" si="0"/>
        <v>0</v>
      </c>
      <c r="J49" s="63">
        <f t="shared" si="0"/>
        <v>0</v>
      </c>
      <c r="K49" s="63">
        <f t="shared" si="0"/>
        <v>0</v>
      </c>
      <c r="L49" s="63">
        <f t="shared" si="0"/>
        <v>0</v>
      </c>
      <c r="M49" s="63">
        <f t="shared" si="0"/>
        <v>0</v>
      </c>
      <c r="N49" s="63">
        <f t="shared" si="0"/>
        <v>0</v>
      </c>
      <c r="O49" s="63">
        <f t="shared" si="0"/>
        <v>0</v>
      </c>
      <c r="P49" s="63">
        <f t="shared" si="0"/>
        <v>0</v>
      </c>
      <c r="Q49" s="63">
        <f t="shared" si="0"/>
        <v>0</v>
      </c>
      <c r="R49" s="63">
        <f t="shared" si="0"/>
        <v>0</v>
      </c>
      <c r="S49" s="63">
        <f t="shared" si="0"/>
        <v>0</v>
      </c>
      <c r="T49" s="63">
        <f t="shared" si="0"/>
        <v>0</v>
      </c>
      <c r="U49" s="63">
        <f t="shared" si="0"/>
        <v>0</v>
      </c>
      <c r="V49" s="63">
        <f t="shared" si="0"/>
        <v>0</v>
      </c>
      <c r="W49" s="63">
        <f t="shared" si="0"/>
        <v>0</v>
      </c>
      <c r="X49" s="63">
        <f t="shared" si="0"/>
        <v>0</v>
      </c>
      <c r="Y49" s="63">
        <f t="shared" si="0"/>
        <v>0</v>
      </c>
      <c r="Z49" s="28">
        <f t="shared" si="0"/>
        <v>0</v>
      </c>
    </row>
    <row r="50" spans="1:28">
      <c r="A50" s="49"/>
      <c r="B50" s="65" t="s">
        <v>212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28"/>
      <c r="AB50" s="42"/>
    </row>
    <row r="51" spans="1:28">
      <c r="A51" s="49"/>
      <c r="B51" s="65" t="s">
        <v>103</v>
      </c>
      <c r="C51" s="48">
        <f t="shared" ref="C51:Y51" si="1">C47/(SUM(C47:C49)-C49)*100</f>
        <v>100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 t="e">
        <f t="shared" si="1"/>
        <v>#DIV/0!</v>
      </c>
      <c r="X51" s="48"/>
      <c r="Y51" s="48" t="e">
        <f t="shared" si="1"/>
        <v>#DIV/0!</v>
      </c>
      <c r="Z51" s="36"/>
      <c r="AB51" s="38"/>
    </row>
    <row r="52" spans="1:28">
      <c r="A52" s="49"/>
      <c r="B52" s="60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spans="1:28">
      <c r="A53" s="49"/>
      <c r="B53" s="60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spans="1:28">
      <c r="A54" s="171" t="s">
        <v>163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spans="1:28">
      <c r="A55" s="66" t="s">
        <v>164</v>
      </c>
      <c r="B55" s="67" t="s">
        <v>165</v>
      </c>
      <c r="C55" s="151" t="s">
        <v>166</v>
      </c>
      <c r="D55" s="152"/>
      <c r="E55" s="152"/>
      <c r="F55" s="152"/>
      <c r="G55" s="152"/>
      <c r="H55" s="152"/>
      <c r="I55" s="152"/>
      <c r="J55" s="153"/>
      <c r="K55" s="141" t="s">
        <v>167</v>
      </c>
      <c r="L55" s="142"/>
      <c r="M55" s="142"/>
      <c r="N55" s="142"/>
      <c r="O55" s="142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spans="1:28">
      <c r="A56" s="52"/>
      <c r="B56" s="55"/>
      <c r="C56" s="143"/>
      <c r="D56" s="144"/>
      <c r="E56" s="144"/>
      <c r="F56" s="144"/>
      <c r="G56" s="144"/>
      <c r="H56" s="144"/>
      <c r="I56" s="144"/>
      <c r="J56" s="145"/>
      <c r="K56" s="150"/>
      <c r="L56" s="150"/>
      <c r="M56" s="150"/>
      <c r="N56" s="150"/>
      <c r="O56" s="150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spans="1:28">
      <c r="A57" s="52"/>
      <c r="B57" s="55"/>
      <c r="C57" s="143"/>
      <c r="D57" s="144"/>
      <c r="E57" s="144"/>
      <c r="F57" s="144"/>
      <c r="G57" s="144"/>
      <c r="H57" s="144"/>
      <c r="I57" s="144"/>
      <c r="J57" s="145"/>
      <c r="K57" s="150"/>
      <c r="L57" s="150"/>
      <c r="M57" s="150"/>
      <c r="N57" s="150"/>
      <c r="O57" s="150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spans="1:28">
      <c r="A58" s="52"/>
      <c r="B58" s="55"/>
      <c r="C58" s="143"/>
      <c r="D58" s="144"/>
      <c r="E58" s="144"/>
      <c r="F58" s="144"/>
      <c r="G58" s="144"/>
      <c r="H58" s="144"/>
      <c r="I58" s="144"/>
      <c r="J58" s="145"/>
      <c r="K58" s="150"/>
      <c r="L58" s="150"/>
      <c r="M58" s="150"/>
      <c r="N58" s="150"/>
      <c r="O58" s="150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spans="1:28">
      <c r="A59" s="52"/>
      <c r="B59" s="55"/>
      <c r="C59" s="143"/>
      <c r="D59" s="144"/>
      <c r="E59" s="144"/>
      <c r="F59" s="144"/>
      <c r="G59" s="144"/>
      <c r="H59" s="144"/>
      <c r="I59" s="144"/>
      <c r="J59" s="145"/>
      <c r="K59" s="150"/>
      <c r="L59" s="150"/>
      <c r="M59" s="150"/>
      <c r="N59" s="150"/>
      <c r="O59" s="150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spans="1:28">
      <c r="A60" s="52"/>
      <c r="B60" s="55"/>
      <c r="C60" s="143"/>
      <c r="D60" s="144"/>
      <c r="E60" s="144"/>
      <c r="F60" s="144"/>
      <c r="G60" s="144"/>
      <c r="H60" s="144"/>
      <c r="I60" s="144"/>
      <c r="J60" s="145"/>
      <c r="K60" s="150"/>
      <c r="L60" s="150"/>
      <c r="M60" s="150"/>
      <c r="N60" s="150"/>
      <c r="O60" s="150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8">
      <c r="A61" s="52"/>
      <c r="B61" s="55"/>
      <c r="C61" s="143"/>
      <c r="D61" s="144"/>
      <c r="E61" s="144"/>
      <c r="F61" s="144"/>
      <c r="G61" s="144"/>
      <c r="H61" s="144"/>
      <c r="I61" s="144"/>
      <c r="J61" s="145"/>
      <c r="K61" s="150"/>
      <c r="L61" s="150"/>
      <c r="M61" s="150"/>
      <c r="N61" s="150"/>
      <c r="O61" s="150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8">
      <c r="A62" s="52"/>
      <c r="B62" s="55"/>
      <c r="C62" s="143"/>
      <c r="D62" s="144"/>
      <c r="E62" s="144"/>
      <c r="F62" s="144"/>
      <c r="G62" s="144"/>
      <c r="H62" s="144"/>
      <c r="I62" s="144"/>
      <c r="J62" s="145"/>
      <c r="K62" s="150"/>
      <c r="L62" s="150"/>
      <c r="M62" s="150"/>
      <c r="N62" s="150"/>
      <c r="O62" s="150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8">
      <c r="A63" s="52"/>
      <c r="B63" s="55"/>
      <c r="C63" s="143"/>
      <c r="D63" s="144"/>
      <c r="E63" s="144"/>
      <c r="F63" s="144"/>
      <c r="G63" s="144"/>
      <c r="H63" s="144"/>
      <c r="I63" s="144"/>
      <c r="J63" s="145"/>
      <c r="K63" s="150"/>
      <c r="L63" s="150"/>
      <c r="M63" s="150"/>
      <c r="N63" s="150"/>
      <c r="O63" s="150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8">
      <c r="A64" s="52"/>
      <c r="B64" s="55"/>
      <c r="C64" s="143"/>
      <c r="D64" s="144"/>
      <c r="E64" s="144"/>
      <c r="F64" s="144"/>
      <c r="G64" s="144"/>
      <c r="H64" s="144"/>
      <c r="I64" s="144"/>
      <c r="J64" s="145"/>
      <c r="K64" s="150"/>
      <c r="L64" s="150"/>
      <c r="M64" s="150"/>
      <c r="N64" s="150"/>
      <c r="O64" s="150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spans="1:25">
      <c r="A65" s="52"/>
      <c r="B65" s="55"/>
      <c r="C65" s="143"/>
      <c r="D65" s="144"/>
      <c r="E65" s="144"/>
      <c r="F65" s="144"/>
      <c r="G65" s="144"/>
      <c r="H65" s="144"/>
      <c r="I65" s="144"/>
      <c r="J65" s="145"/>
      <c r="K65" s="150"/>
      <c r="L65" s="150"/>
      <c r="M65" s="150"/>
      <c r="N65" s="150"/>
      <c r="O65" s="150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>
      <c r="A66" s="52"/>
      <c r="B66" s="55"/>
      <c r="C66" s="143"/>
      <c r="D66" s="144"/>
      <c r="E66" s="144"/>
      <c r="F66" s="144"/>
      <c r="G66" s="144"/>
      <c r="H66" s="144"/>
      <c r="I66" s="144"/>
      <c r="J66" s="145"/>
      <c r="K66" s="150"/>
      <c r="L66" s="150"/>
      <c r="M66" s="150"/>
      <c r="N66" s="150"/>
      <c r="O66" s="150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>
      <c r="A67" s="52"/>
      <c r="B67" s="55"/>
      <c r="C67" s="143"/>
      <c r="D67" s="144"/>
      <c r="E67" s="144"/>
      <c r="F67" s="144"/>
      <c r="G67" s="144"/>
      <c r="H67" s="144"/>
      <c r="I67" s="144"/>
      <c r="J67" s="145"/>
      <c r="K67" s="150"/>
      <c r="L67" s="150"/>
      <c r="M67" s="150"/>
      <c r="N67" s="150"/>
      <c r="O67" s="150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>
      <c r="A68" s="52"/>
      <c r="B68" s="55"/>
      <c r="C68" s="143"/>
      <c r="D68" s="144"/>
      <c r="E68" s="144"/>
      <c r="F68" s="144"/>
      <c r="G68" s="144"/>
      <c r="H68" s="144"/>
      <c r="I68" s="144"/>
      <c r="J68" s="145"/>
      <c r="K68" s="150"/>
      <c r="L68" s="150"/>
      <c r="M68" s="150"/>
      <c r="N68" s="150"/>
      <c r="O68" s="150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>
      <c r="A69" s="52"/>
      <c r="B69" s="55"/>
      <c r="C69" s="143"/>
      <c r="D69" s="144"/>
      <c r="E69" s="144"/>
      <c r="F69" s="144"/>
      <c r="G69" s="144"/>
      <c r="H69" s="144"/>
      <c r="I69" s="144"/>
      <c r="J69" s="145"/>
      <c r="K69" s="150"/>
      <c r="L69" s="150"/>
      <c r="M69" s="150"/>
      <c r="N69" s="150"/>
      <c r="O69" s="150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spans="1:25">
      <c r="A70" s="52"/>
      <c r="B70" s="55"/>
      <c r="C70" s="143"/>
      <c r="D70" s="144"/>
      <c r="E70" s="144"/>
      <c r="F70" s="144"/>
      <c r="G70" s="144"/>
      <c r="H70" s="144"/>
      <c r="I70" s="144"/>
      <c r="J70" s="145"/>
      <c r="K70" s="150"/>
      <c r="L70" s="150"/>
      <c r="M70" s="150"/>
      <c r="N70" s="150"/>
      <c r="O70" s="150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>
      <c r="A71" s="52"/>
      <c r="B71" s="55"/>
      <c r="C71" s="143"/>
      <c r="D71" s="144"/>
      <c r="E71" s="144"/>
      <c r="F71" s="144"/>
      <c r="G71" s="144"/>
      <c r="H71" s="144"/>
      <c r="I71" s="144"/>
      <c r="J71" s="145"/>
      <c r="K71" s="150"/>
      <c r="L71" s="150"/>
      <c r="M71" s="150"/>
      <c r="N71" s="150"/>
      <c r="O71" s="150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>
      <c r="A72" s="52"/>
      <c r="B72" s="55"/>
      <c r="C72" s="143"/>
      <c r="D72" s="144"/>
      <c r="E72" s="144"/>
      <c r="F72" s="144"/>
      <c r="G72" s="144"/>
      <c r="H72" s="144"/>
      <c r="I72" s="144"/>
      <c r="J72" s="145"/>
      <c r="K72" s="150"/>
      <c r="L72" s="150"/>
      <c r="M72" s="150"/>
      <c r="N72" s="150"/>
      <c r="O72" s="150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>
      <c r="A73" s="52"/>
      <c r="B73" s="55"/>
      <c r="C73" s="143"/>
      <c r="D73" s="144"/>
      <c r="E73" s="144"/>
      <c r="F73" s="144"/>
      <c r="G73" s="144"/>
      <c r="H73" s="144"/>
      <c r="I73" s="144"/>
      <c r="J73" s="145"/>
      <c r="K73" s="150"/>
      <c r="L73" s="150"/>
      <c r="M73" s="150"/>
      <c r="N73" s="150"/>
      <c r="O73" s="150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>
      <c r="A74" s="52"/>
      <c r="B74" s="55"/>
      <c r="C74" s="143"/>
      <c r="D74" s="144"/>
      <c r="E74" s="144"/>
      <c r="F74" s="144"/>
      <c r="G74" s="144"/>
      <c r="H74" s="144"/>
      <c r="I74" s="144"/>
      <c r="J74" s="145"/>
      <c r="K74" s="150"/>
      <c r="L74" s="150"/>
      <c r="M74" s="150"/>
      <c r="N74" s="150"/>
      <c r="O74" s="150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spans="1:25">
      <c r="A75" s="52"/>
      <c r="B75" s="55"/>
      <c r="C75" s="143"/>
      <c r="D75" s="144"/>
      <c r="E75" s="144"/>
      <c r="F75" s="144"/>
      <c r="G75" s="144"/>
      <c r="H75" s="144"/>
      <c r="I75" s="144"/>
      <c r="J75" s="145"/>
      <c r="K75" s="150"/>
      <c r="L75" s="150"/>
      <c r="M75" s="150"/>
      <c r="N75" s="150"/>
      <c r="O75" s="150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>
      <c r="A76" s="52"/>
      <c r="B76" s="55"/>
      <c r="C76" s="143"/>
      <c r="D76" s="144"/>
      <c r="E76" s="144"/>
      <c r="F76" s="144"/>
      <c r="G76" s="144"/>
      <c r="H76" s="144"/>
      <c r="I76" s="144"/>
      <c r="J76" s="145"/>
      <c r="K76" s="150"/>
      <c r="L76" s="150"/>
      <c r="M76" s="150"/>
      <c r="N76" s="150"/>
      <c r="O76" s="150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>
      <c r="A77" s="52"/>
      <c r="B77" s="55"/>
      <c r="C77" s="143"/>
      <c r="D77" s="144"/>
      <c r="E77" s="144"/>
      <c r="F77" s="144"/>
      <c r="G77" s="144"/>
      <c r="H77" s="144"/>
      <c r="I77" s="144"/>
      <c r="J77" s="145"/>
      <c r="K77" s="150"/>
      <c r="L77" s="150"/>
      <c r="M77" s="150"/>
      <c r="N77" s="150"/>
      <c r="O77" s="150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>
      <c r="A78" s="52"/>
      <c r="B78" s="55"/>
      <c r="C78" s="143"/>
      <c r="D78" s="144"/>
      <c r="E78" s="144"/>
      <c r="F78" s="144"/>
      <c r="G78" s="144"/>
      <c r="H78" s="144"/>
      <c r="I78" s="144"/>
      <c r="J78" s="145"/>
      <c r="K78" s="150"/>
      <c r="L78" s="150"/>
      <c r="M78" s="150"/>
      <c r="N78" s="150"/>
      <c r="O78" s="150"/>
      <c r="P78" s="49"/>
      <c r="Q78" s="49"/>
      <c r="R78" s="49"/>
      <c r="S78" s="49"/>
      <c r="T78" s="49"/>
      <c r="U78" s="49"/>
      <c r="V78" s="49"/>
      <c r="W78" s="49"/>
      <c r="X78" s="49"/>
      <c r="Y78" s="49"/>
    </row>
  </sheetData>
  <autoFilter ref="A7:Z7" xr:uid="{00000000-0009-0000-0000-000002000000}"/>
  <mergeCells count="51">
    <mergeCell ref="C56:J56"/>
    <mergeCell ref="K56:O56"/>
    <mergeCell ref="A6:B6"/>
    <mergeCell ref="C6:Z6"/>
    <mergeCell ref="A54:O54"/>
    <mergeCell ref="C55:J55"/>
    <mergeCell ref="K55:O55"/>
    <mergeCell ref="C57:J57"/>
    <mergeCell ref="K57:O57"/>
    <mergeCell ref="C58:J58"/>
    <mergeCell ref="K58:O58"/>
    <mergeCell ref="C59:J59"/>
    <mergeCell ref="K59:O59"/>
    <mergeCell ref="C60:J60"/>
    <mergeCell ref="K60:O60"/>
    <mergeCell ref="C61:J61"/>
    <mergeCell ref="K61:O61"/>
    <mergeCell ref="C62:J62"/>
    <mergeCell ref="K62:O62"/>
    <mergeCell ref="C63:J63"/>
    <mergeCell ref="K63:O63"/>
    <mergeCell ref="C64:J64"/>
    <mergeCell ref="K64:O64"/>
    <mergeCell ref="C65:J65"/>
    <mergeCell ref="K65:O65"/>
    <mergeCell ref="C66:J66"/>
    <mergeCell ref="K66:O66"/>
    <mergeCell ref="C67:J67"/>
    <mergeCell ref="K67:O67"/>
    <mergeCell ref="C68:J68"/>
    <mergeCell ref="K68:O68"/>
    <mergeCell ref="C69:J69"/>
    <mergeCell ref="K69:O69"/>
    <mergeCell ref="C70:J70"/>
    <mergeCell ref="K70:O70"/>
    <mergeCell ref="C71:J71"/>
    <mergeCell ref="K71:O71"/>
    <mergeCell ref="C72:J72"/>
    <mergeCell ref="K72:O72"/>
    <mergeCell ref="C73:J73"/>
    <mergeCell ref="K73:O73"/>
    <mergeCell ref="C74:J74"/>
    <mergeCell ref="K74:O74"/>
    <mergeCell ref="C78:J78"/>
    <mergeCell ref="K78:O78"/>
    <mergeCell ref="C75:J75"/>
    <mergeCell ref="K75:O75"/>
    <mergeCell ref="C76:J76"/>
    <mergeCell ref="K76:O76"/>
    <mergeCell ref="C77:J77"/>
    <mergeCell ref="K77:O77"/>
  </mergeCells>
  <pageMargins left="0.27559055118110237" right="0.27559055118110237" top="7.9687499999999994E-2" bottom="0.63749999999999996" header="0.23622047244094491" footer="0.31496062992125984"/>
  <pageSetup scale="85" orientation="landscape" r:id="rId1"/>
  <headerFooter>
    <oddFooter>&amp;R&amp;"Abadi Extra Light,Normal"&amp;10RHF19 - Tercera - 01/03/2024                   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2289" r:id="rId4">
          <objectPr defaultSize="0" autoPict="0" r:id="rId5">
            <anchor moveWithCells="1" sizeWithCells="1">
              <from>
                <xdr:col>22</xdr:col>
                <xdr:colOff>171450</xdr:colOff>
                <xdr:row>0</xdr:row>
                <xdr:rowOff>85725</xdr:rowOff>
              </from>
              <to>
                <xdr:col>26</xdr:col>
                <xdr:colOff>28575</xdr:colOff>
                <xdr:row>2</xdr:row>
                <xdr:rowOff>152400</xdr:rowOff>
              </to>
            </anchor>
          </objectPr>
        </oleObject>
      </mc:Choice>
      <mc:Fallback>
        <oleObject progId="PBrush" shapeId="12289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B2:F7"/>
  <sheetViews>
    <sheetView workbookViewId="0"/>
  </sheetViews>
  <sheetFormatPr defaultColWidth="11.42578125" defaultRowHeight="15"/>
  <cols>
    <col min="1" max="1" width="3.140625" customWidth="1"/>
    <col min="2" max="2" width="23.42578125" customWidth="1"/>
    <col min="3" max="3" width="21.140625" customWidth="1"/>
    <col min="4" max="4" width="32.85546875" customWidth="1"/>
    <col min="5" max="5" width="23.28515625" customWidth="1"/>
    <col min="6" max="6" width="25.5703125" customWidth="1"/>
  </cols>
  <sheetData>
    <row r="2" spans="2:6">
      <c r="B2" s="34"/>
      <c r="C2" s="34" t="s">
        <v>227</v>
      </c>
      <c r="D2" s="34" t="s">
        <v>228</v>
      </c>
      <c r="E2" s="38" t="s">
        <v>229</v>
      </c>
      <c r="F2" s="34" t="s">
        <v>230</v>
      </c>
    </row>
    <row r="3" spans="2:6">
      <c r="B3" s="34" t="s">
        <v>231</v>
      </c>
      <c r="C3" s="37">
        <v>17</v>
      </c>
      <c r="D3" s="37">
        <v>13</v>
      </c>
      <c r="E3" t="e">
        <f>'Seg capacitación Cal e inocuida'!AH41</f>
        <v>#DIV/0!</v>
      </c>
      <c r="F3">
        <v>18</v>
      </c>
    </row>
    <row r="4" spans="2:6">
      <c r="B4" s="34" t="s">
        <v>232</v>
      </c>
      <c r="C4" s="37">
        <v>20</v>
      </c>
      <c r="D4" s="37">
        <v>6</v>
      </c>
      <c r="E4" t="e">
        <f>#REF!</f>
        <v>#REF!</v>
      </c>
      <c r="F4">
        <v>51</v>
      </c>
    </row>
    <row r="5" spans="2:6">
      <c r="B5" s="34" t="s">
        <v>233</v>
      </c>
      <c r="C5" s="37">
        <v>3</v>
      </c>
      <c r="D5" s="37">
        <v>2</v>
      </c>
      <c r="E5" s="40" t="e">
        <f>#REF!</f>
        <v>#REF!</v>
      </c>
      <c r="F5">
        <v>10</v>
      </c>
    </row>
    <row r="7" spans="2:6">
      <c r="B7" s="34" t="s">
        <v>234</v>
      </c>
      <c r="C7" s="37">
        <v>40</v>
      </c>
      <c r="D7" s="37">
        <v>21</v>
      </c>
      <c r="E7" s="38" t="e">
        <f>SUM(E3:E5)/3</f>
        <v>#DIV/0!</v>
      </c>
      <c r="F7" s="41" t="s">
        <v>235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A9AE7-AD58-4CAB-9042-2CFD2236BDD7}"/>
</file>

<file path=customXml/itemProps2.xml><?xml version="1.0" encoding="utf-8"?>
<ds:datastoreItem xmlns:ds="http://schemas.openxmlformats.org/officeDocument/2006/customXml" ds:itemID="{57BDF1A6-1FD7-49C0-AC10-C9A8E4DC3DB7}"/>
</file>

<file path=customXml/itemProps3.xml><?xml version="1.0" encoding="utf-8"?>
<ds:datastoreItem xmlns:ds="http://schemas.openxmlformats.org/officeDocument/2006/customXml" ds:itemID="{B5D7A460-E6B5-4D14-841F-11DEFD506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Amanda Anguiano</cp:lastModifiedBy>
  <cp:revision/>
  <dcterms:created xsi:type="dcterms:W3CDTF">2020-03-23T20:07:45Z</dcterms:created>
  <dcterms:modified xsi:type="dcterms:W3CDTF">2025-10-02T17:26:49Z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