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4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Recursos humanos/Formatos/"/>
    </mc:Choice>
  </mc:AlternateContent>
  <xr:revisionPtr revIDLastSave="202" documentId="8_{510480F5-7BD5-4EA4-80D7-1B9CFA6282DE}" xr6:coauthVersionLast="47" xr6:coauthVersionMax="47" xr10:uidLastSave="{5211841B-3462-48C1-8C0C-268BCD277C0A}"/>
  <bookViews>
    <workbookView xWindow="-120" yWindow="-120" windowWidth="29040" windowHeight="15840" firstSheet="1" activeTab="1" xr2:uid="{00000000-000D-0000-FFFF-FFFF00000000}"/>
  </bookViews>
  <sheets>
    <sheet name="Seguimiento a cap y eficacia" sheetId="8" state="hidden" r:id="rId1"/>
    <sheet name="Seg capacitación Calidad" sheetId="9" r:id="rId2"/>
    <sheet name="Seg eficacia seguridad" sheetId="10" r:id="rId3"/>
    <sheet name="Seg eficacia administración" sheetId="13" r:id="rId4"/>
    <sheet name="Graficos de seguimiento " sheetId="12" r:id="rId5"/>
  </sheets>
  <definedNames>
    <definedName name="_xlnm._FilterDatabase" localSheetId="1" hidden="1">'Seg capacitación Calidad'!$A$7:$AJ$7</definedName>
    <definedName name="_xlnm._FilterDatabase" localSheetId="3" hidden="1">'Seg eficacia administración'!$A$7:$Z$7</definedName>
    <definedName name="_xlnm._FilterDatabase" localSheetId="2" hidden="1">'Seg eficacia seguridad'!$A$7:$AP$7</definedName>
    <definedName name="_xlnm._FilterDatabase" localSheetId="0" hidden="1">'Seguimiento a cap y eficacia'!$B$2:$AT$2</definedName>
    <definedName name="_xlnm.Print_Area" localSheetId="1">'Seg capacitación Calidad'!$A$1:$AJ$71</definedName>
    <definedName name="_xlnm.Print_Area" localSheetId="3">'Seg eficacia administración'!$A$1:$AA$71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42" i="13" l="1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Z40" i="13"/>
  <c r="Y40" i="13"/>
  <c r="Y44" i="13" s="1"/>
  <c r="X40" i="13"/>
  <c r="W40" i="13"/>
  <c r="W44" i="13" s="1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C44" i="13" s="1"/>
  <c r="J40" i="9"/>
  <c r="H40" i="9"/>
  <c r="D40" i="9"/>
  <c r="AL43" i="9"/>
  <c r="M41" i="9" l="1"/>
  <c r="E5" i="12" l="1"/>
  <c r="E4" i="12"/>
  <c r="P40" i="9" l="1"/>
  <c r="C40" i="10" l="1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J40" i="10"/>
  <c r="AK40" i="10"/>
  <c r="AL40" i="10"/>
  <c r="AM40" i="10"/>
  <c r="AN40" i="10"/>
  <c r="AO40" i="10"/>
  <c r="AP40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J41" i="10"/>
  <c r="AK41" i="10"/>
  <c r="AL41" i="10"/>
  <c r="AM41" i="10"/>
  <c r="AN41" i="10"/>
  <c r="AO41" i="10"/>
  <c r="AP41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W44" i="10" s="1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J42" i="10"/>
  <c r="AK42" i="10"/>
  <c r="AL42" i="10"/>
  <c r="AM42" i="10"/>
  <c r="AM44" i="10" s="1"/>
  <c r="AN42" i="10"/>
  <c r="AO42" i="10"/>
  <c r="AO44" i="10" s="1"/>
  <c r="AP42" i="10"/>
  <c r="AJ41" i="9"/>
  <c r="AH41" i="9"/>
  <c r="AF41" i="9"/>
  <c r="AD41" i="9"/>
  <c r="AB41" i="9"/>
  <c r="Z41" i="9"/>
  <c r="X41" i="9"/>
  <c r="V41" i="9"/>
  <c r="T41" i="9"/>
  <c r="R41" i="9"/>
  <c r="P41" i="9"/>
  <c r="N41" i="9"/>
  <c r="L41" i="9"/>
  <c r="J41" i="9"/>
  <c r="H41" i="9"/>
  <c r="AJ40" i="9"/>
  <c r="AH40" i="9"/>
  <c r="AF40" i="9"/>
  <c r="AD40" i="9"/>
  <c r="AB40" i="9"/>
  <c r="Z40" i="9"/>
  <c r="X40" i="9"/>
  <c r="V40" i="9"/>
  <c r="T40" i="9"/>
  <c r="R40" i="9"/>
  <c r="N40" i="9"/>
  <c r="L40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AJ42" i="9"/>
  <c r="F42" i="9"/>
  <c r="F41" i="9"/>
  <c r="F40" i="9"/>
  <c r="AN44" i="9" l="1"/>
  <c r="AI44" i="10"/>
  <c r="AA44" i="10"/>
  <c r="AE44" i="10"/>
  <c r="C44" i="10"/>
  <c r="Y44" i="10"/>
  <c r="AK44" i="10"/>
  <c r="E42" i="9"/>
  <c r="C42" i="9"/>
  <c r="D42" i="9" s="1"/>
  <c r="AI41" i="9"/>
  <c r="AG41" i="9"/>
  <c r="AE41" i="9"/>
  <c r="AC41" i="9"/>
  <c r="AA41" i="9"/>
  <c r="Y41" i="9"/>
  <c r="W41" i="9"/>
  <c r="U41" i="9"/>
  <c r="S41" i="9"/>
  <c r="Q41" i="9"/>
  <c r="O41" i="9"/>
  <c r="K41" i="9"/>
  <c r="I41" i="9"/>
  <c r="G41" i="9"/>
  <c r="E41" i="9"/>
  <c r="C41" i="9"/>
  <c r="AI40" i="9"/>
  <c r="AG40" i="9"/>
  <c r="AG44" i="9" s="1"/>
  <c r="AE40" i="9"/>
  <c r="AC40" i="9"/>
  <c r="AA40" i="9"/>
  <c r="Y40" i="9"/>
  <c r="W40" i="9"/>
  <c r="W44" i="9" s="1"/>
  <c r="U40" i="9"/>
  <c r="S40" i="9"/>
  <c r="Q40" i="9"/>
  <c r="O40" i="9"/>
  <c r="M40" i="9"/>
  <c r="K40" i="9"/>
  <c r="I40" i="9"/>
  <c r="G40" i="9"/>
  <c r="E40" i="9"/>
  <c r="C40" i="9"/>
  <c r="AL40" i="9" l="1"/>
  <c r="D41" i="9"/>
  <c r="AL41" i="9" s="1"/>
  <c r="I44" i="9"/>
  <c r="C44" i="9"/>
  <c r="M44" i="9"/>
  <c r="S44" i="9"/>
  <c r="AI44" i="9"/>
  <c r="E44" i="9"/>
  <c r="AE44" i="9"/>
  <c r="G44" i="9"/>
  <c r="K44" i="9"/>
  <c r="Q44" i="9"/>
  <c r="F34" i="8"/>
  <c r="F35" i="8"/>
  <c r="F36" i="8"/>
  <c r="AL44" i="9" l="1"/>
  <c r="E3" i="12" s="1"/>
  <c r="E7" i="12" s="1"/>
  <c r="F38" i="8"/>
  <c r="E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F38" i="8" s="1"/>
  <c r="AG36" i="8"/>
  <c r="AH36" i="8"/>
  <c r="AI36" i="8"/>
  <c r="AJ36" i="8"/>
  <c r="AK36" i="8"/>
  <c r="AL36" i="8"/>
  <c r="AM36" i="8"/>
  <c r="AN36" i="8"/>
  <c r="AO36" i="8"/>
  <c r="AP36" i="8"/>
  <c r="AQ36" i="8"/>
  <c r="AR36" i="8"/>
  <c r="AS36" i="8"/>
  <c r="AT36" i="8"/>
  <c r="D36" i="8"/>
  <c r="E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Z38" i="8" s="1"/>
  <c r="AA35" i="8"/>
  <c r="AB35" i="8"/>
  <c r="AC35" i="8"/>
  <c r="AD35" i="8"/>
  <c r="AE35" i="8"/>
  <c r="AF35" i="8"/>
  <c r="AG35" i="8"/>
  <c r="AH35" i="8"/>
  <c r="AI35" i="8"/>
  <c r="AJ35" i="8"/>
  <c r="AK35" i="8"/>
  <c r="AL35" i="8"/>
  <c r="AM35" i="8"/>
  <c r="AN35" i="8"/>
  <c r="AO35" i="8"/>
  <c r="AP35" i="8"/>
  <c r="AQ35" i="8"/>
  <c r="AR35" i="8"/>
  <c r="AS35" i="8"/>
  <c r="AT35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AK34" i="8"/>
  <c r="AL34" i="8"/>
  <c r="AM34" i="8"/>
  <c r="AN34" i="8"/>
  <c r="AO34" i="8"/>
  <c r="AP34" i="8"/>
  <c r="AQ34" i="8"/>
  <c r="AR34" i="8"/>
  <c r="AS34" i="8"/>
  <c r="AT34" i="8"/>
  <c r="J38" i="8"/>
  <c r="G34" i="8"/>
  <c r="E34" i="8"/>
  <c r="D34" i="8"/>
  <c r="L38" i="8"/>
  <c r="D35" i="8"/>
  <c r="AL38" i="8" l="1"/>
  <c r="AH38" i="8"/>
  <c r="AD38" i="8"/>
  <c r="V38" i="8"/>
  <c r="R38" i="8"/>
  <c r="N38" i="8"/>
  <c r="E38" i="8"/>
  <c r="AR38" i="8"/>
  <c r="AN38" i="8"/>
  <c r="AJ38" i="8"/>
  <c r="AB38" i="8"/>
  <c r="X38" i="8"/>
  <c r="T38" i="8"/>
  <c r="P38" i="8"/>
  <c r="H38" i="8"/>
  <c r="AK38" i="8"/>
  <c r="M38" i="8"/>
  <c r="AT38" i="8"/>
  <c r="AP38" i="8"/>
  <c r="AS38" i="8"/>
  <c r="AG38" i="8"/>
  <c r="AC38" i="8"/>
  <c r="Y38" i="8"/>
  <c r="U38" i="8"/>
  <c r="Q38" i="8"/>
  <c r="I38" i="8"/>
  <c r="D38" i="8"/>
  <c r="AO38" i="8"/>
  <c r="AQ38" i="8"/>
  <c r="AM38" i="8"/>
  <c r="AI38" i="8"/>
  <c r="AE38" i="8"/>
  <c r="AA38" i="8"/>
  <c r="W38" i="8"/>
  <c r="S38" i="8"/>
  <c r="O38" i="8"/>
  <c r="K38" i="8"/>
  <c r="G38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D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12/06/2020</t>
        </r>
      </text>
    </comment>
    <comment ref="E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22 al 25 Mayo 2020</t>
        </r>
      </text>
    </comment>
    <comment ref="F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Difusión email: 03/07/2020
Difusión tríptico:
02/07/2020
</t>
        </r>
      </text>
    </comment>
    <comment ref="H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12/06/2020</t>
        </r>
      </text>
    </comment>
    <comment ref="I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08/05/2020</t>
        </r>
      </text>
    </comment>
    <comment ref="M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Difusión de triptico 20/03/2020 y caracterizaciones (Ver minutas)</t>
        </r>
      </text>
    </comment>
    <comment ref="AP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08/05/2020</t>
        </r>
      </text>
    </comment>
    <comment ref="F13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En descanso GV</t>
        </r>
      </text>
    </comment>
    <comment ref="F2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En descanso GV</t>
        </r>
      </text>
    </comment>
    <comment ref="F24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En descanso GV</t>
        </r>
      </text>
    </comment>
    <comment ref="F26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En descanso GV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C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12/06/2020</t>
        </r>
      </text>
    </comment>
    <comment ref="D7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verificación 31/08/2020</t>
        </r>
      </text>
    </comment>
    <comment ref="E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22 al 25 Mayo 2020</t>
        </r>
      </text>
    </comment>
    <comment ref="F7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Verificación 31/08/2020</t>
        </r>
      </text>
    </comment>
    <comment ref="G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Difusión email: 03/07/2020
Difusión tríptico:
02/07/2020
</t>
        </r>
      </text>
    </comment>
    <comment ref="I7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25-26/08/2020</t>
        </r>
      </text>
    </comment>
    <comment ref="K7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12/06/2020</t>
        </r>
      </text>
    </comment>
    <comment ref="L7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verificación 31/08/2020</t>
        </r>
      </text>
    </comment>
    <comment ref="M7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08/05/2020</t>
        </r>
      </text>
    </comment>
    <comment ref="N7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verificación 31/08/2020</t>
        </r>
      </text>
    </comment>
    <comment ref="Q7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Seguimiento con ADGSIG</t>
        </r>
      </text>
    </comment>
    <comment ref="S7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Difusión de triptico 20/03/2020 y caracterizaciones (Ver minutas)</t>
        </r>
      </text>
    </comment>
    <comment ref="U7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30/09/2020</t>
        </r>
      </text>
    </comment>
    <comment ref="W7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Usuario de Windows:
Capacitación realizada 29/09/2020</t>
        </r>
      </text>
    </comment>
    <comment ref="AE7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06/08/2020</t>
        </r>
      </text>
    </comment>
    <comment ref="AG7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POES Cuarto limpio (falta) utensilio y lavado de uniformes
POES sanitario (25/08/2020)
POES limpieza general (25/08/2020)
POES transporte
POES de utensilios</t>
        </r>
      </text>
    </comment>
    <comment ref="AI7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del 19 al 22 de mayo 2020</t>
        </r>
      </text>
    </comment>
    <comment ref="AJ7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Verificación en proxima auditoría interna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C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28/07/2020</t>
        </r>
      </text>
    </comment>
    <comment ref="W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29/07/2020</t>
        </r>
      </text>
    </comment>
    <comment ref="Y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30/07/2020</t>
        </r>
      </text>
    </comment>
    <comment ref="AA7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24/07/2020</t>
        </r>
      </text>
    </comment>
    <comment ref="AE7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22 de julio 2020</t>
        </r>
      </text>
    </comment>
    <comment ref="AI7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31/07/2020</t>
        </r>
      </text>
    </comment>
    <comment ref="AO7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08/05/2020</t>
        </r>
      </text>
    </comment>
    <comment ref="AO15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O18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Grupo vulnerable. En casa</t>
        </r>
      </text>
    </comment>
    <comment ref="AO29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GV vulnerable en su casa, no maneja computadora para conectarse a distancia </t>
        </r>
      </text>
    </comment>
  </commentList>
</comments>
</file>

<file path=xl/sharedStrings.xml><?xml version="1.0" encoding="utf-8"?>
<sst xmlns="http://schemas.openxmlformats.org/spreadsheetml/2006/main" count="425" uniqueCount="125">
  <si>
    <t>Nomenclatura : X Capacitado, S/C Sin capacitación, NA No aplica</t>
  </si>
  <si>
    <t>CALIDAD E INOCUIDAD</t>
  </si>
  <si>
    <t>SEGURIDAD E HIGIENE</t>
  </si>
  <si>
    <t>ADMINISTRATIVAS</t>
  </si>
  <si>
    <t>Nombre de Personal</t>
  </si>
  <si>
    <t>Puesto</t>
  </si>
  <si>
    <t>BPM´s</t>
  </si>
  <si>
    <t>MIP</t>
  </si>
  <si>
    <t>PPR´s</t>
  </si>
  <si>
    <t>HACCP básico</t>
  </si>
  <si>
    <t>Manejo de alérgenos</t>
  </si>
  <si>
    <t>Limpieza y desinfección</t>
  </si>
  <si>
    <t>HACCP avanzado</t>
  </si>
  <si>
    <t>Taller PPRO</t>
  </si>
  <si>
    <t>ISO 22000</t>
  </si>
  <si>
    <t xml:space="preserve">Difusión y actualización ISO 22000 </t>
  </si>
  <si>
    <t>Plato del buen comer</t>
  </si>
  <si>
    <t>Defensa de alimentos conceptos básicos</t>
  </si>
  <si>
    <t>Defensa de alimentos</t>
  </si>
  <si>
    <t>Fraude</t>
  </si>
  <si>
    <t>Buenas Prácticas de laboratorio</t>
  </si>
  <si>
    <t>Microbiología</t>
  </si>
  <si>
    <t>POES</t>
  </si>
  <si>
    <t>Auditor Interno</t>
  </si>
  <si>
    <t>instructor Interno</t>
  </si>
  <si>
    <t>SEGURIDAD EN EDIFICIOS</t>
  </si>
  <si>
    <t>BRIGADA COMBATE CONTRA INCENDIOS</t>
  </si>
  <si>
    <t>BRIGADA DE EMERGENCIA</t>
  </si>
  <si>
    <t>BRIGADA DE EVACUACIÓN</t>
  </si>
  <si>
    <t>BRIGADA DE COMUNICACIÓN</t>
  </si>
  <si>
    <t>BRIGADA DE PRIMEROS AUXILIOS</t>
  </si>
  <si>
    <t>BRIGADA DE SEGURIDAD</t>
  </si>
  <si>
    <t>MANEJO DE SUSTANCIAS QUÍMICAS</t>
  </si>
  <si>
    <t>EPP</t>
  </si>
  <si>
    <t>IDENTIFICACIÓN DE SUSTANCIAS QUIMICAS</t>
  </si>
  <si>
    <t>NOM 027</t>
  </si>
  <si>
    <t>Mantenimiento de instalaciones eléctricas
NOM-029-STPS- 2011</t>
  </si>
  <si>
    <t>Trabajo seguro en espacios confinados
NOM-033-STPS- 2015</t>
  </si>
  <si>
    <t>Seguridad en riesgos psicosociales
NOM-035-STPS- 2017</t>
  </si>
  <si>
    <t>Manejo de Montacargas
NOM-006-STPS-2014</t>
  </si>
  <si>
    <t>Manejo de residuo biologico infeccioso
NOM-087-semarnat-</t>
  </si>
  <si>
    <t xml:space="preserve">Análisis de riesgos por puestos de trabajo
RFSH-2014/NOMS STPS </t>
  </si>
  <si>
    <t xml:space="preserve"> Manejo manual de cargas
NOM 036-1</t>
  </si>
  <si>
    <t>NOM 030</t>
  </si>
  <si>
    <t>Manejo seguro de químicos</t>
  </si>
  <si>
    <t>Actualización fiscal</t>
  </si>
  <si>
    <t>Administración de recursos humanos</t>
  </si>
  <si>
    <t>Instructor Interno</t>
  </si>
  <si>
    <t xml:space="preserve">Inglés básico </t>
  </si>
  <si>
    <t>Eduardo Peralta  Villa</t>
  </si>
  <si>
    <t>Gerente de Operaciones</t>
  </si>
  <si>
    <t>X</t>
  </si>
  <si>
    <t xml:space="preserve">Elvia Martínez Ascencio </t>
  </si>
  <si>
    <t xml:space="preserve">Jefe Aseguramiento de calidad </t>
  </si>
  <si>
    <t xml:space="preserve">Zaira Quetzalli Munguia Garcia </t>
  </si>
  <si>
    <t>Jefe de Desarrollos / Auditor Interno</t>
  </si>
  <si>
    <t>S/C</t>
  </si>
  <si>
    <t>Ricardo Olayo Madrigal</t>
  </si>
  <si>
    <t>Operador de Producción</t>
  </si>
  <si>
    <t>Jesus Jiménez Cervantes</t>
  </si>
  <si>
    <t>Supervisor operativo de producción</t>
  </si>
  <si>
    <t xml:space="preserve">Arturo Villagrana Román </t>
  </si>
  <si>
    <t>Coordinador de cadena de suministro</t>
  </si>
  <si>
    <t xml:space="preserve">Juan Carlos Vera  Castro </t>
  </si>
  <si>
    <t>Jefe de Almacén</t>
  </si>
  <si>
    <t>Demetrio Pacheco Aguilar</t>
  </si>
  <si>
    <t>Almacenista</t>
  </si>
  <si>
    <t xml:space="preserve">Efrén Álvarez Aguilera </t>
  </si>
  <si>
    <t>Chofer</t>
  </si>
  <si>
    <t xml:space="preserve">Eduardo Francisco Sánchez Martínez </t>
  </si>
  <si>
    <t xml:space="preserve">Alfredo Martínez Zenteno </t>
  </si>
  <si>
    <t>Cesar Alberto Gomez Yañez</t>
  </si>
  <si>
    <t xml:space="preserve">Joaquin Flores Trejo </t>
  </si>
  <si>
    <t>Ayudante de chofer</t>
  </si>
  <si>
    <t>Lizbeth Del Carmen Torres Reyes</t>
  </si>
  <si>
    <t>Facturación</t>
  </si>
  <si>
    <t>Gustavo Omar Garduño Butron</t>
  </si>
  <si>
    <t>Jose Luis Luna Avalos</t>
  </si>
  <si>
    <t>Martín Manjarrez Solorzano</t>
  </si>
  <si>
    <t>Edgar Segura Hernández</t>
  </si>
  <si>
    <t>Alma Brisa Granados</t>
  </si>
  <si>
    <t>Auxiliar de cocina</t>
  </si>
  <si>
    <t>Alicia Stibalis Cerda Ortega</t>
  </si>
  <si>
    <t>Auxiliar de Desarrollos</t>
  </si>
  <si>
    <t>Juan Amador Gallegos Quezada</t>
  </si>
  <si>
    <t>Carmen Perez Santiago</t>
  </si>
  <si>
    <t>Auxiliar de limpieza</t>
  </si>
  <si>
    <t>Saraines Alondra Acevedo Roque</t>
  </si>
  <si>
    <t>Analista de Calidad</t>
  </si>
  <si>
    <t>Jose Antonio Valtierra</t>
  </si>
  <si>
    <t>Jaime Ocampo Cervantes</t>
  </si>
  <si>
    <t>José pablo Jiménez Cervantes</t>
  </si>
  <si>
    <t>Irene Karen Abrego Solis</t>
  </si>
  <si>
    <t>Blanca Estela Garduño Lozada</t>
  </si>
  <si>
    <t>Supervisor de Aseguramiento de Calidad</t>
  </si>
  <si>
    <t>Carlos Cesar Ramos Sanchez</t>
  </si>
  <si>
    <t>Mensajero</t>
  </si>
  <si>
    <t>NA</t>
  </si>
  <si>
    <t>Amanda Anguiano Mora</t>
  </si>
  <si>
    <t>Coordinador de Contabilidad y RH</t>
  </si>
  <si>
    <t>Personal Capacitado</t>
  </si>
  <si>
    <t xml:space="preserve">Personal sin capacitación </t>
  </si>
  <si>
    <t xml:space="preserve">No aplica </t>
  </si>
  <si>
    <t>Porcentaje total de capacitación</t>
  </si>
  <si>
    <t>Seguimiento a la eficacia de capacitación</t>
  </si>
  <si>
    <t>Verif. Eficacia (%)</t>
  </si>
  <si>
    <t>Verif. eficacia (%)</t>
  </si>
  <si>
    <t>Personal sin capacitación /Reprobados</t>
  </si>
  <si>
    <t>Tiempo capacitación (h)</t>
  </si>
  <si>
    <t>Reprogramación  para reforzamiento</t>
  </si>
  <si>
    <t>Nombre del personal</t>
  </si>
  <si>
    <t>Puesto  del personal</t>
  </si>
  <si>
    <t xml:space="preserve">Curso </t>
  </si>
  <si>
    <t>Fecha</t>
  </si>
  <si>
    <t xml:space="preserve">Tiempo de Capacitación </t>
  </si>
  <si>
    <t>ADMINISTRACIÓN</t>
  </si>
  <si>
    <t>Programados TOTAL</t>
  </si>
  <si>
    <t>Realizados</t>
  </si>
  <si>
    <t xml:space="preserve">Total capacitación </t>
  </si>
  <si>
    <t xml:space="preserve">Total horas de capacitación </t>
  </si>
  <si>
    <t xml:space="preserve">Cursos calidad </t>
  </si>
  <si>
    <t>Cursos Seguridad</t>
  </si>
  <si>
    <t xml:space="preserve">Cursos Administración </t>
  </si>
  <si>
    <t>Promedio de capacitación</t>
  </si>
  <si>
    <t>79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</si>
</sst>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EEF987"/>
        <bgColor indexed="64"/>
      </patternFill>
    </fill>
    <fill>
      <patternFill patternType="solid">
        <fgColor rgb="FFEBDF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10">
    <xf numFmtId="0" fontId="0" fillId="0" borderId="0" xfId="0"/>
    <xf numFmtId="0" fontId="0" fillId="0" borderId="1" xfId="0" applyBorder="1"/>
    <xf numFmtId="0" fontId="5" fillId="0" borderId="5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9" borderId="0" xfId="0" applyFont="1" applyFill="1" applyAlignment="1">
      <alignment textRotation="90" wrapText="1"/>
    </xf>
    <xf numFmtId="0" fontId="1" fillId="10" borderId="0" xfId="0" applyFont="1" applyFill="1" applyAlignment="1">
      <alignment textRotation="90" wrapText="1"/>
    </xf>
    <xf numFmtId="0" fontId="1" fillId="3" borderId="0" xfId="0" applyFont="1" applyFill="1" applyAlignment="1">
      <alignment textRotation="90" wrapText="1"/>
    </xf>
    <xf numFmtId="0" fontId="9" fillId="11" borderId="7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 wrapText="1"/>
    </xf>
    <xf numFmtId="1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0" fillId="0" borderId="1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8" borderId="0" xfId="0" applyFont="1" applyFill="1" applyAlignment="1">
      <alignment horizontal="center"/>
    </xf>
    <xf numFmtId="0" fontId="1" fillId="12" borderId="0" xfId="0" applyFont="1" applyFill="1" applyAlignment="1">
      <alignment textRotation="90" wrapText="1"/>
    </xf>
    <xf numFmtId="0" fontId="1" fillId="13" borderId="0" xfId="0" applyFont="1" applyFill="1" applyAlignment="1">
      <alignment textRotation="90" wrapText="1"/>
    </xf>
    <xf numFmtId="0" fontId="5" fillId="0" borderId="10" xfId="0" applyFont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/>
    <xf numFmtId="0" fontId="1" fillId="5" borderId="0" xfId="0" applyFont="1" applyFill="1" applyAlignment="1">
      <alignment vertical="center" textRotation="90" wrapText="1"/>
    </xf>
    <xf numFmtId="0" fontId="1" fillId="6" borderId="0" xfId="0" applyFont="1" applyFill="1" applyAlignment="1">
      <alignment vertical="center" textRotation="90" wrapText="1"/>
    </xf>
    <xf numFmtId="0" fontId="13" fillId="10" borderId="0" xfId="0" applyFont="1" applyFill="1" applyAlignment="1">
      <alignment horizontal="center" textRotation="90" wrapText="1"/>
    </xf>
    <xf numFmtId="0" fontId="13" fillId="9" borderId="0" xfId="0" applyFont="1" applyFill="1" applyAlignment="1">
      <alignment horizontal="center" textRotation="90" wrapText="1"/>
    </xf>
    <xf numFmtId="0" fontId="6" fillId="2" borderId="0" xfId="0" applyFont="1" applyFill="1"/>
    <xf numFmtId="0" fontId="1" fillId="14" borderId="0" xfId="0" applyFont="1" applyFill="1"/>
    <xf numFmtId="0" fontId="14" fillId="0" borderId="1" xfId="0" applyFont="1" applyBorder="1"/>
    <xf numFmtId="0" fontId="12" fillId="2" borderId="0" xfId="0" applyFont="1" applyFill="1"/>
    <xf numFmtId="0" fontId="0" fillId="15" borderId="0" xfId="0" applyFill="1"/>
    <xf numFmtId="0" fontId="1" fillId="16" borderId="0" xfId="0" applyFont="1" applyFill="1"/>
    <xf numFmtId="0" fontId="1" fillId="16" borderId="0" xfId="0" applyFont="1" applyFill="1" applyAlignment="1">
      <alignment horizontal="center"/>
    </xf>
    <xf numFmtId="2" fontId="0" fillId="0" borderId="0" xfId="0" applyNumberFormat="1"/>
    <xf numFmtId="0" fontId="0" fillId="17" borderId="0" xfId="0" applyFill="1" applyAlignment="1">
      <alignment horizontal="center"/>
    </xf>
    <xf numFmtId="0" fontId="1" fillId="17" borderId="0" xfId="0" applyFont="1" applyFill="1" applyAlignment="1">
      <alignment horizontal="center"/>
    </xf>
    <xf numFmtId="14" fontId="1" fillId="0" borderId="0" xfId="0" applyNumberFormat="1" applyFont="1"/>
    <xf numFmtId="0" fontId="0" fillId="18" borderId="0" xfId="0" applyFill="1"/>
    <xf numFmtId="0" fontId="0" fillId="18" borderId="0" xfId="0" applyFill="1" applyAlignment="1">
      <alignment vertical="center"/>
    </xf>
    <xf numFmtId="0" fontId="15" fillId="18" borderId="0" xfId="0" applyFont="1" applyFill="1"/>
    <xf numFmtId="0" fontId="18" fillId="0" borderId="1" xfId="0" applyFont="1" applyBorder="1" applyAlignment="1">
      <alignment horizontal="center"/>
    </xf>
    <xf numFmtId="0" fontId="19" fillId="2" borderId="0" xfId="0" applyFont="1" applyFill="1"/>
    <xf numFmtId="0" fontId="18" fillId="0" borderId="0" xfId="0" applyFont="1"/>
    <xf numFmtId="0" fontId="20" fillId="0" borderId="12" xfId="0" applyFont="1" applyBorder="1" applyAlignment="1">
      <alignment vertical="center"/>
    </xf>
    <xf numFmtId="0" fontId="18" fillId="0" borderId="13" xfId="0" applyFont="1" applyBorder="1" applyAlignment="1">
      <alignment vertical="center"/>
    </xf>
    <xf numFmtId="14" fontId="18" fillId="0" borderId="2" xfId="0" applyNumberFormat="1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1" xfId="0" applyFont="1" applyBorder="1"/>
    <xf numFmtId="0" fontId="18" fillId="16" borderId="1" xfId="0" applyFont="1" applyFill="1" applyBorder="1"/>
    <xf numFmtId="0" fontId="21" fillId="0" borderId="4" xfId="0" applyFont="1" applyBorder="1" applyAlignment="1">
      <alignment vertical="center"/>
    </xf>
    <xf numFmtId="0" fontId="18" fillId="0" borderId="10" xfId="0" applyFont="1" applyBorder="1" applyAlignment="1">
      <alignment vertical="center" wrapText="1"/>
    </xf>
    <xf numFmtId="14" fontId="18" fillId="0" borderId="1" xfId="0" applyNumberFormat="1" applyFont="1" applyBorder="1" applyAlignment="1">
      <alignment horizontal="center"/>
    </xf>
    <xf numFmtId="0" fontId="18" fillId="0" borderId="10" xfId="0" applyFont="1" applyBorder="1" applyAlignment="1">
      <alignment vertical="center"/>
    </xf>
    <xf numFmtId="14" fontId="18" fillId="0" borderId="3" xfId="0" applyNumberFormat="1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1" fillId="0" borderId="17" xfId="0" applyFont="1" applyBorder="1" applyAlignment="1">
      <alignment vertical="center"/>
    </xf>
    <xf numFmtId="0" fontId="18" fillId="0" borderId="18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18" fillId="0" borderId="11" xfId="0" applyFont="1" applyBorder="1" applyAlignment="1">
      <alignment vertical="center" wrapText="1"/>
    </xf>
    <xf numFmtId="0" fontId="18" fillId="0" borderId="6" xfId="0" applyFont="1" applyBorder="1" applyAlignment="1">
      <alignment horizontal="center"/>
    </xf>
    <xf numFmtId="0" fontId="18" fillId="0" borderId="0" xfId="0" applyFont="1" applyAlignment="1">
      <alignment vertical="center"/>
    </xf>
    <xf numFmtId="0" fontId="21" fillId="0" borderId="10" xfId="0" applyFont="1" applyBorder="1" applyAlignment="1">
      <alignment vertical="center"/>
    </xf>
    <xf numFmtId="0" fontId="22" fillId="4" borderId="1" xfId="0" applyFont="1" applyFill="1" applyBorder="1" applyAlignment="1">
      <alignment vertical="center"/>
    </xf>
    <xf numFmtId="0" fontId="18" fillId="2" borderId="0" xfId="0" applyFont="1" applyFill="1"/>
    <xf numFmtId="14" fontId="18" fillId="2" borderId="0" xfId="0" applyNumberFormat="1" applyFont="1" applyFill="1"/>
    <xf numFmtId="0" fontId="19" fillId="4" borderId="1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9" fillId="14" borderId="0" xfId="0" applyFont="1" applyFill="1"/>
    <xf numFmtId="0" fontId="19" fillId="14" borderId="0" xfId="0" applyFont="1" applyFill="1" applyAlignment="1">
      <alignment vertical="center"/>
    </xf>
    <xf numFmtId="0" fontId="17" fillId="11" borderId="7" xfId="0" applyFont="1" applyFill="1" applyBorder="1" applyAlignment="1">
      <alignment horizontal="center" vertical="center"/>
    </xf>
    <xf numFmtId="0" fontId="17" fillId="11" borderId="8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justify" vertical="center" textRotation="90" wrapText="1"/>
    </xf>
    <xf numFmtId="0" fontId="16" fillId="6" borderId="0" xfId="0" applyFont="1" applyFill="1" applyAlignment="1">
      <alignment horizontal="justify" vertical="center" textRotation="90" wrapText="1"/>
    </xf>
    <xf numFmtId="0" fontId="19" fillId="10" borderId="0" xfId="0" applyFont="1" applyFill="1" applyAlignment="1">
      <alignment horizontal="center" textRotation="90" wrapText="1"/>
    </xf>
    <xf numFmtId="0" fontId="19" fillId="9" borderId="0" xfId="0" applyFont="1" applyFill="1" applyAlignment="1">
      <alignment horizontal="center" textRotation="90" wrapText="1"/>
    </xf>
    <xf numFmtId="0" fontId="19" fillId="3" borderId="0" xfId="0" applyFont="1" applyFill="1" applyAlignment="1">
      <alignment horizontal="center" textRotation="90" wrapText="1"/>
    </xf>
    <xf numFmtId="0" fontId="19" fillId="3" borderId="0" xfId="0" applyFont="1" applyFill="1" applyAlignment="1">
      <alignment horizontal="center" vertical="center" textRotation="90" wrapText="1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6" fillId="0" borderId="9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9" fillId="14" borderId="0" xfId="0" applyFont="1" applyFill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9" fillId="14" borderId="10" xfId="0" applyFont="1" applyFill="1" applyBorder="1" applyAlignment="1">
      <alignment horizontal="center"/>
    </xf>
    <xf numFmtId="0" fontId="19" fillId="14" borderId="14" xfId="0" applyFont="1" applyFill="1" applyBorder="1" applyAlignment="1">
      <alignment horizontal="center"/>
    </xf>
    <xf numFmtId="0" fontId="19" fillId="14" borderId="15" xfId="0" applyFont="1" applyFill="1" applyBorder="1" applyAlignment="1">
      <alignment horizontal="center"/>
    </xf>
    <xf numFmtId="0" fontId="19" fillId="0" borderId="9" xfId="0" applyFont="1" applyBorder="1" applyAlignment="1">
      <alignment horizontal="left" vertical="center"/>
    </xf>
    <xf numFmtId="0" fontId="17" fillId="7" borderId="0" xfId="0" applyFont="1" applyFill="1" applyAlignment="1">
      <alignment horizontal="center"/>
    </xf>
    <xf numFmtId="0" fontId="19" fillId="14" borderId="16" xfId="0" applyFont="1" applyFill="1" applyBorder="1" applyAlignment="1">
      <alignment horizontal="center"/>
    </xf>
    <xf numFmtId="0" fontId="19" fillId="14" borderId="0" xfId="0" applyFont="1" applyFill="1" applyAlignment="1">
      <alignment horizontal="center"/>
    </xf>
    <xf numFmtId="0" fontId="22" fillId="4" borderId="0" xfId="0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 wrapText="1"/>
    </xf>
    <xf numFmtId="0" fontId="0" fillId="0" borderId="1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3" fillId="8" borderId="0" xfId="0" applyFont="1" applyFill="1" applyAlignment="1">
      <alignment horizontal="center"/>
    </xf>
  </cellXfs>
  <cellStyles count="5">
    <cellStyle name="Hipervínculo" xfId="3" builtinId="8" hidden="1"/>
    <cellStyle name="Hipervínculo" xfId="1" builtinId="8" hidden="1"/>
    <cellStyle name="Hipervínculo visitado" xfId="4" builtinId="9" hidden="1"/>
    <cellStyle name="Hipervínculo visitado" xfId="2" builtinId="9" hidden="1"/>
    <cellStyle name="Normal" xfId="0" builtinId="0"/>
  </cellStyles>
  <dxfs count="0"/>
  <tableStyles count="0" defaultTableStyle="TableStyleMedium2" defaultPivotStyle="PivotStyleLight16"/>
  <colors>
    <mruColors>
      <color rgb="FFEBDF41"/>
      <color rgb="FFCCCC00"/>
      <color rgb="FFEEF987"/>
      <color rgb="FFF1F63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31</xdr:col>
          <xdr:colOff>28575</xdr:colOff>
          <xdr:row>0</xdr:row>
          <xdr:rowOff>47625</xdr:rowOff>
        </xdr:from>
        <xdr:to>
          <xdr:col>35</xdr:col>
          <xdr:colOff>209550</xdr:colOff>
          <xdr:row>2</xdr:row>
          <xdr:rowOff>114300</xdr:rowOff>
        </xdr:to>
        <xdr:sp macro="" textlink="">
          <xdr:nvSpPr>
            <xdr:cNvPr id="6180" name="Object 36" hidden="1">
              <a:extLst>
                <a:ext uri="{63B3BB69-23CF-44E3-9099-C40C66FF867C}">
                  <a14:compatExt spid="_x0000_s6180"/>
                </a:ext>
                <a:ext uri="{FF2B5EF4-FFF2-40B4-BE49-F238E27FC236}">
                  <a16:creationId xmlns:a16="http://schemas.microsoft.com/office/drawing/2014/main" id="{00000000-0008-0000-0100-00002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38</xdr:col>
          <xdr:colOff>19050</xdr:colOff>
          <xdr:row>0</xdr:row>
          <xdr:rowOff>57150</xdr:rowOff>
        </xdr:from>
        <xdr:to>
          <xdr:col>41</xdr:col>
          <xdr:colOff>190500</xdr:colOff>
          <xdr:row>2</xdr:row>
          <xdr:rowOff>123825</xdr:rowOff>
        </xdr:to>
        <xdr:sp macro="" textlink="">
          <xdr:nvSpPr>
            <xdr:cNvPr id="7185" name="Object 17" hidden="1">
              <a:extLst>
                <a:ext uri="{63B3BB69-23CF-44E3-9099-C40C66FF867C}">
                  <a14:compatExt spid="_x0000_s7185"/>
                </a:ext>
                <a:ext uri="{FF2B5EF4-FFF2-40B4-BE49-F238E27FC236}">
                  <a16:creationId xmlns:a16="http://schemas.microsoft.com/office/drawing/2014/main" id="{00000000-0008-0000-0200-00001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171450</xdr:colOff>
          <xdr:row>0</xdr:row>
          <xdr:rowOff>85725</xdr:rowOff>
        </xdr:from>
        <xdr:to>
          <xdr:col>26</xdr:col>
          <xdr:colOff>28575</xdr:colOff>
          <xdr:row>2</xdr:row>
          <xdr:rowOff>152400</xdr:rowOff>
        </xdr:to>
        <xdr:sp macro="" textlink="">
          <xdr:nvSpPr>
            <xdr:cNvPr id="10251" name="Object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3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mments" Target="../comments2.xml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3.xml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AT38"/>
  <sheetViews>
    <sheetView topLeftCell="B1" workbookViewId="0">
      <selection activeCell="G3" sqref="G3"/>
    </sheetView>
  </sheetViews>
  <sheetFormatPr defaultColWidth="11.42578125" defaultRowHeight="15"/>
  <cols>
    <col min="1" max="1" width="4.42578125" customWidth="1"/>
    <col min="2" max="2" width="27.85546875" customWidth="1"/>
    <col min="3" max="3" width="36.42578125" style="5" customWidth="1"/>
    <col min="4" max="14" width="5.28515625" customWidth="1"/>
    <col min="15" max="15" width="5.85546875" customWidth="1"/>
    <col min="16" max="32" width="5.28515625" customWidth="1"/>
    <col min="33" max="33" width="5.85546875" customWidth="1"/>
    <col min="34" max="46" width="5.28515625" customWidth="1"/>
  </cols>
  <sheetData>
    <row r="1" spans="2:46" ht="15.75" thickBot="1">
      <c r="B1" s="88" t="s">
        <v>0</v>
      </c>
      <c r="C1" s="88"/>
      <c r="D1" s="85" t="s">
        <v>1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6" t="s">
        <v>2</v>
      </c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  <c r="AO1" s="86"/>
      <c r="AP1" s="21"/>
      <c r="AQ1" s="87" t="s">
        <v>3</v>
      </c>
      <c r="AR1" s="87"/>
      <c r="AS1" s="87"/>
      <c r="AT1" s="87"/>
    </row>
    <row r="2" spans="2:46" ht="108" customHeight="1" thickBot="1">
      <c r="B2" s="9" t="s">
        <v>4</v>
      </c>
      <c r="C2" s="10" t="s">
        <v>5</v>
      </c>
      <c r="D2" s="30" t="s">
        <v>6</v>
      </c>
      <c r="E2" s="31" t="s">
        <v>7</v>
      </c>
      <c r="F2" s="31" t="s">
        <v>8</v>
      </c>
      <c r="G2" s="30" t="s">
        <v>9</v>
      </c>
      <c r="H2" s="31" t="s">
        <v>10</v>
      </c>
      <c r="I2" s="30" t="s">
        <v>11</v>
      </c>
      <c r="J2" s="31" t="s">
        <v>12</v>
      </c>
      <c r="K2" s="30" t="s">
        <v>13</v>
      </c>
      <c r="L2" s="31" t="s">
        <v>14</v>
      </c>
      <c r="M2" s="30" t="s">
        <v>15</v>
      </c>
      <c r="N2" s="31" t="s">
        <v>16</v>
      </c>
      <c r="O2" s="30" t="s">
        <v>17</v>
      </c>
      <c r="P2" s="31" t="s">
        <v>18</v>
      </c>
      <c r="Q2" s="30" t="s">
        <v>19</v>
      </c>
      <c r="R2" s="31" t="s">
        <v>20</v>
      </c>
      <c r="S2" s="30" t="s">
        <v>21</v>
      </c>
      <c r="T2" s="31" t="s">
        <v>22</v>
      </c>
      <c r="U2" s="30" t="s">
        <v>23</v>
      </c>
      <c r="V2" s="31" t="s">
        <v>24</v>
      </c>
      <c r="W2" s="7" t="s">
        <v>25</v>
      </c>
      <c r="X2" s="6" t="s">
        <v>26</v>
      </c>
      <c r="Y2" s="8" t="s">
        <v>27</v>
      </c>
      <c r="Z2" s="6" t="s">
        <v>28</v>
      </c>
      <c r="AA2" s="8" t="s">
        <v>29</v>
      </c>
      <c r="AB2" s="6" t="s">
        <v>30</v>
      </c>
      <c r="AC2" s="8" t="s">
        <v>31</v>
      </c>
      <c r="AD2" s="6" t="s">
        <v>32</v>
      </c>
      <c r="AE2" s="8" t="s">
        <v>33</v>
      </c>
      <c r="AF2" s="6" t="s">
        <v>34</v>
      </c>
      <c r="AG2" s="8" t="s">
        <v>35</v>
      </c>
      <c r="AH2" s="6" t="s">
        <v>36</v>
      </c>
      <c r="AI2" s="8" t="s">
        <v>37</v>
      </c>
      <c r="AJ2" s="6" t="s">
        <v>38</v>
      </c>
      <c r="AK2" s="8" t="s">
        <v>39</v>
      </c>
      <c r="AL2" s="6" t="s">
        <v>40</v>
      </c>
      <c r="AM2" s="8" t="s">
        <v>41</v>
      </c>
      <c r="AN2" s="6" t="s">
        <v>42</v>
      </c>
      <c r="AO2" s="8" t="s">
        <v>43</v>
      </c>
      <c r="AP2" s="6" t="s">
        <v>44</v>
      </c>
      <c r="AQ2" s="23" t="s">
        <v>45</v>
      </c>
      <c r="AR2" s="22" t="s">
        <v>46</v>
      </c>
      <c r="AS2" s="23" t="s">
        <v>47</v>
      </c>
      <c r="AT2" s="22" t="s">
        <v>48</v>
      </c>
    </row>
    <row r="3" spans="2:46">
      <c r="B3" s="4" t="s">
        <v>49</v>
      </c>
      <c r="C3" s="11" t="s">
        <v>50</v>
      </c>
      <c r="D3" s="15" t="s">
        <v>51</v>
      </c>
      <c r="E3" s="16" t="s">
        <v>51</v>
      </c>
      <c r="F3" s="16" t="s">
        <v>51</v>
      </c>
      <c r="G3" s="1"/>
      <c r="H3" s="15" t="s">
        <v>51</v>
      </c>
      <c r="I3" s="16" t="s">
        <v>51</v>
      </c>
      <c r="J3" s="1"/>
      <c r="K3" s="1"/>
      <c r="L3" s="1"/>
      <c r="M3" s="16" t="s">
        <v>51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6" t="s">
        <v>51</v>
      </c>
      <c r="AQ3" s="1"/>
      <c r="AR3" s="1"/>
      <c r="AS3" s="1"/>
      <c r="AT3" s="1"/>
    </row>
    <row r="4" spans="2:46">
      <c r="B4" s="3" t="s">
        <v>52</v>
      </c>
      <c r="C4" s="12" t="s">
        <v>53</v>
      </c>
      <c r="D4" s="17" t="s">
        <v>51</v>
      </c>
      <c r="E4" s="16" t="s">
        <v>51</v>
      </c>
      <c r="F4" s="16" t="s">
        <v>51</v>
      </c>
      <c r="G4" s="1"/>
      <c r="H4" s="17" t="s">
        <v>51</v>
      </c>
      <c r="I4" s="16" t="s">
        <v>51</v>
      </c>
      <c r="J4" s="1"/>
      <c r="K4" s="1"/>
      <c r="L4" s="1"/>
      <c r="M4" s="16" t="s">
        <v>51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6" t="s">
        <v>51</v>
      </c>
      <c r="AQ4" s="1"/>
      <c r="AR4" s="1"/>
      <c r="AS4" s="1"/>
      <c r="AT4" s="1"/>
    </row>
    <row r="5" spans="2:46">
      <c r="B5" s="3" t="s">
        <v>54</v>
      </c>
      <c r="C5" s="12" t="s">
        <v>55</v>
      </c>
      <c r="D5" s="17" t="s">
        <v>51</v>
      </c>
      <c r="E5" s="16" t="s">
        <v>51</v>
      </c>
      <c r="F5" s="16" t="s">
        <v>56</v>
      </c>
      <c r="G5" s="1"/>
      <c r="H5" s="17" t="s">
        <v>51</v>
      </c>
      <c r="I5" s="16" t="s">
        <v>51</v>
      </c>
      <c r="J5" s="1"/>
      <c r="K5" s="1"/>
      <c r="L5" s="1"/>
      <c r="M5" s="16" t="s">
        <v>51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6" t="s">
        <v>51</v>
      </c>
      <c r="AQ5" s="1"/>
      <c r="AR5" s="1"/>
      <c r="AS5" s="1"/>
      <c r="AT5" s="1"/>
    </row>
    <row r="6" spans="2:46">
      <c r="B6" s="3" t="s">
        <v>57</v>
      </c>
      <c r="C6" s="13" t="s">
        <v>58</v>
      </c>
      <c r="D6" s="17" t="s">
        <v>51</v>
      </c>
      <c r="E6" s="16" t="s">
        <v>51</v>
      </c>
      <c r="F6" s="16" t="s">
        <v>51</v>
      </c>
      <c r="G6" s="1"/>
      <c r="H6" s="17" t="s">
        <v>51</v>
      </c>
      <c r="I6" s="16" t="s">
        <v>51</v>
      </c>
      <c r="J6" s="1"/>
      <c r="K6" s="1"/>
      <c r="L6" s="1"/>
      <c r="M6" s="16" t="s">
        <v>51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6" t="s">
        <v>51</v>
      </c>
      <c r="AQ6" s="1"/>
      <c r="AR6" s="1"/>
      <c r="AS6" s="1"/>
      <c r="AT6" s="1"/>
    </row>
    <row r="7" spans="2:46">
      <c r="B7" s="3" t="s">
        <v>59</v>
      </c>
      <c r="C7" s="12" t="s">
        <v>60</v>
      </c>
      <c r="D7" s="17" t="s">
        <v>51</v>
      </c>
      <c r="E7" s="16" t="s">
        <v>51</v>
      </c>
      <c r="F7" s="16" t="s">
        <v>51</v>
      </c>
      <c r="G7" s="1"/>
      <c r="H7" s="17" t="s">
        <v>51</v>
      </c>
      <c r="I7" s="16" t="s">
        <v>51</v>
      </c>
      <c r="J7" s="1"/>
      <c r="K7" s="1"/>
      <c r="L7" s="1"/>
      <c r="M7" s="16" t="s">
        <v>51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6" t="s">
        <v>51</v>
      </c>
      <c r="AQ7" s="1"/>
      <c r="AR7" s="1"/>
      <c r="AS7" s="1"/>
      <c r="AT7" s="1"/>
    </row>
    <row r="8" spans="2:46">
      <c r="B8" s="3" t="s">
        <v>61</v>
      </c>
      <c r="C8" s="12" t="s">
        <v>62</v>
      </c>
      <c r="D8" s="17" t="s">
        <v>51</v>
      </c>
      <c r="E8" s="16" t="s">
        <v>51</v>
      </c>
      <c r="F8" s="16" t="s">
        <v>51</v>
      </c>
      <c r="G8" s="1"/>
      <c r="H8" s="17" t="s">
        <v>51</v>
      </c>
      <c r="I8" s="16" t="s">
        <v>51</v>
      </c>
      <c r="J8" s="1"/>
      <c r="K8" s="1"/>
      <c r="L8" s="1"/>
      <c r="M8" s="16" t="s">
        <v>51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6" t="s">
        <v>51</v>
      </c>
      <c r="AQ8" s="1"/>
      <c r="AR8" s="1"/>
      <c r="AS8" s="1"/>
      <c r="AT8" s="1"/>
    </row>
    <row r="9" spans="2:46">
      <c r="B9" s="3" t="s">
        <v>63</v>
      </c>
      <c r="C9" s="13" t="s">
        <v>64</v>
      </c>
      <c r="D9" s="17" t="s">
        <v>51</v>
      </c>
      <c r="E9" s="16" t="s">
        <v>51</v>
      </c>
      <c r="F9" s="16" t="s">
        <v>51</v>
      </c>
      <c r="G9" s="1"/>
      <c r="H9" s="17" t="s">
        <v>51</v>
      </c>
      <c r="I9" s="16" t="s">
        <v>51</v>
      </c>
      <c r="J9" s="1"/>
      <c r="K9" s="1"/>
      <c r="L9" s="1"/>
      <c r="M9" s="16" t="s">
        <v>51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6" t="s">
        <v>51</v>
      </c>
      <c r="AQ9" s="1"/>
      <c r="AR9" s="1"/>
      <c r="AS9" s="1"/>
      <c r="AT9" s="1"/>
    </row>
    <row r="10" spans="2:46">
      <c r="B10" s="3" t="s">
        <v>65</v>
      </c>
      <c r="C10" s="13" t="s">
        <v>66</v>
      </c>
      <c r="D10" s="18" t="s">
        <v>56</v>
      </c>
      <c r="E10" s="16" t="s">
        <v>51</v>
      </c>
      <c r="F10" s="16" t="s">
        <v>51</v>
      </c>
      <c r="G10" s="1"/>
      <c r="H10" s="18" t="s">
        <v>56</v>
      </c>
      <c r="I10" s="18" t="s">
        <v>56</v>
      </c>
      <c r="J10" s="1"/>
      <c r="K10" s="1"/>
      <c r="L10" s="1"/>
      <c r="M10" s="16" t="s">
        <v>51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8" t="s">
        <v>56</v>
      </c>
      <c r="AQ10" s="1"/>
      <c r="AR10" s="1"/>
      <c r="AS10" s="1"/>
      <c r="AT10" s="1"/>
    </row>
    <row r="11" spans="2:46">
      <c r="B11" s="3" t="s">
        <v>67</v>
      </c>
      <c r="C11" s="13" t="s">
        <v>68</v>
      </c>
      <c r="D11" s="17" t="s">
        <v>51</v>
      </c>
      <c r="E11" s="16" t="s">
        <v>51</v>
      </c>
      <c r="F11" s="16" t="s">
        <v>51</v>
      </c>
      <c r="G11" s="1"/>
      <c r="H11" s="17" t="s">
        <v>51</v>
      </c>
      <c r="I11" s="16" t="s">
        <v>51</v>
      </c>
      <c r="J11" s="1"/>
      <c r="K11" s="1"/>
      <c r="L11" s="1"/>
      <c r="M11" s="16" t="s">
        <v>51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6" t="s">
        <v>51</v>
      </c>
      <c r="AQ11" s="1"/>
      <c r="AR11" s="1"/>
      <c r="AS11" s="1"/>
      <c r="AT11" s="1"/>
    </row>
    <row r="12" spans="2:46">
      <c r="B12" s="3" t="s">
        <v>69</v>
      </c>
      <c r="C12" s="13" t="s">
        <v>68</v>
      </c>
      <c r="D12" s="18" t="s">
        <v>56</v>
      </c>
      <c r="E12" s="16" t="s">
        <v>51</v>
      </c>
      <c r="F12" s="16" t="s">
        <v>56</v>
      </c>
      <c r="G12" s="1"/>
      <c r="H12" s="18" t="s">
        <v>56</v>
      </c>
      <c r="I12" s="16" t="s">
        <v>51</v>
      </c>
      <c r="J12" s="1"/>
      <c r="K12" s="1"/>
      <c r="L12" s="1"/>
      <c r="M12" s="16" t="s">
        <v>51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6" t="s">
        <v>51</v>
      </c>
      <c r="AQ12" s="1"/>
      <c r="AR12" s="1"/>
      <c r="AS12" s="1"/>
      <c r="AT12" s="1"/>
    </row>
    <row r="13" spans="2:46">
      <c r="B13" s="3" t="s">
        <v>70</v>
      </c>
      <c r="C13" s="13" t="s">
        <v>68</v>
      </c>
      <c r="D13" s="18" t="s">
        <v>56</v>
      </c>
      <c r="E13" s="16" t="s">
        <v>51</v>
      </c>
      <c r="F13" s="16" t="s">
        <v>56</v>
      </c>
      <c r="G13" s="1"/>
      <c r="H13" s="18" t="s">
        <v>56</v>
      </c>
      <c r="I13" s="18" t="s">
        <v>56</v>
      </c>
      <c r="J13" s="1"/>
      <c r="K13" s="1"/>
      <c r="L13" s="1"/>
      <c r="M13" s="16" t="s">
        <v>51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8" t="s">
        <v>56</v>
      </c>
      <c r="AQ13" s="1"/>
      <c r="AR13" s="1"/>
      <c r="AS13" s="1"/>
      <c r="AT13" s="1"/>
    </row>
    <row r="14" spans="2:46">
      <c r="B14" s="3" t="s">
        <v>71</v>
      </c>
      <c r="C14" s="13" t="s">
        <v>68</v>
      </c>
      <c r="D14" s="18" t="s">
        <v>56</v>
      </c>
      <c r="E14" s="16" t="s">
        <v>51</v>
      </c>
      <c r="F14" s="16" t="s">
        <v>51</v>
      </c>
      <c r="G14" s="1"/>
      <c r="H14" s="18" t="s">
        <v>56</v>
      </c>
      <c r="I14" s="16" t="s">
        <v>51</v>
      </c>
      <c r="J14" s="1"/>
      <c r="K14" s="1"/>
      <c r="L14" s="1"/>
      <c r="M14" s="16" t="s">
        <v>51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6" t="s">
        <v>51</v>
      </c>
      <c r="AQ14" s="1"/>
      <c r="AR14" s="1"/>
      <c r="AS14" s="1"/>
      <c r="AT14" s="1"/>
    </row>
    <row r="15" spans="2:46">
      <c r="B15" s="3" t="s">
        <v>72</v>
      </c>
      <c r="C15" s="13" t="s">
        <v>73</v>
      </c>
      <c r="D15" s="19" t="s">
        <v>51</v>
      </c>
      <c r="E15" s="16" t="s">
        <v>51</v>
      </c>
      <c r="F15" s="16" t="s">
        <v>51</v>
      </c>
      <c r="G15" s="1"/>
      <c r="H15" s="19" t="s">
        <v>51</v>
      </c>
      <c r="I15" s="16" t="s">
        <v>51</v>
      </c>
      <c r="J15" s="1"/>
      <c r="K15" s="1"/>
      <c r="L15" s="1"/>
      <c r="M15" s="16" t="s">
        <v>51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6" t="s">
        <v>51</v>
      </c>
      <c r="AQ15" s="1"/>
      <c r="AR15" s="1"/>
      <c r="AS15" s="1"/>
      <c r="AT15" s="1"/>
    </row>
    <row r="16" spans="2:46">
      <c r="B16" s="3" t="s">
        <v>74</v>
      </c>
      <c r="C16" s="13" t="s">
        <v>75</v>
      </c>
      <c r="D16" s="17" t="s">
        <v>51</v>
      </c>
      <c r="E16" s="16" t="s">
        <v>51</v>
      </c>
      <c r="F16" s="16" t="s">
        <v>51</v>
      </c>
      <c r="G16" s="1"/>
      <c r="H16" s="17" t="s">
        <v>51</v>
      </c>
      <c r="I16" s="16" t="s">
        <v>51</v>
      </c>
      <c r="J16" s="1"/>
      <c r="K16" s="1"/>
      <c r="L16" s="1"/>
      <c r="M16" s="16" t="s">
        <v>51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6" t="s">
        <v>51</v>
      </c>
      <c r="AQ16" s="1"/>
      <c r="AR16" s="1"/>
      <c r="AS16" s="1"/>
      <c r="AT16" s="1"/>
    </row>
    <row r="17" spans="2:46">
      <c r="B17" s="3" t="s">
        <v>76</v>
      </c>
      <c r="C17" s="13" t="s">
        <v>66</v>
      </c>
      <c r="D17" s="17" t="s">
        <v>51</v>
      </c>
      <c r="E17" s="16" t="s">
        <v>51</v>
      </c>
      <c r="F17" s="16" t="s">
        <v>51</v>
      </c>
      <c r="G17" s="1"/>
      <c r="H17" s="17" t="s">
        <v>51</v>
      </c>
      <c r="I17" s="18" t="s">
        <v>56</v>
      </c>
      <c r="J17" s="1"/>
      <c r="K17" s="1"/>
      <c r="L17" s="1"/>
      <c r="M17" s="16" t="s">
        <v>51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8" t="s">
        <v>56</v>
      </c>
      <c r="AQ17" s="1"/>
      <c r="AR17" s="1"/>
      <c r="AS17" s="1"/>
      <c r="AT17" s="1"/>
    </row>
    <row r="18" spans="2:46">
      <c r="B18" s="3" t="s">
        <v>77</v>
      </c>
      <c r="C18" s="13" t="s">
        <v>73</v>
      </c>
      <c r="D18" s="17" t="s">
        <v>51</v>
      </c>
      <c r="E18" s="16" t="s">
        <v>51</v>
      </c>
      <c r="F18" s="16" t="s">
        <v>51</v>
      </c>
      <c r="G18" s="1"/>
      <c r="H18" s="17" t="s">
        <v>51</v>
      </c>
      <c r="I18" s="18" t="s">
        <v>56</v>
      </c>
      <c r="J18" s="1"/>
      <c r="K18" s="1"/>
      <c r="L18" s="1"/>
      <c r="M18" s="16" t="s">
        <v>51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8" t="s">
        <v>56</v>
      </c>
      <c r="AQ18" s="1"/>
      <c r="AR18" s="1"/>
      <c r="AS18" s="1"/>
      <c r="AT18" s="1"/>
    </row>
    <row r="19" spans="2:46">
      <c r="B19" s="3" t="s">
        <v>78</v>
      </c>
      <c r="C19" s="13" t="s">
        <v>68</v>
      </c>
      <c r="D19" s="17" t="s">
        <v>51</v>
      </c>
      <c r="E19" s="16" t="s">
        <v>51</v>
      </c>
      <c r="F19" s="16" t="s">
        <v>51</v>
      </c>
      <c r="G19" s="1"/>
      <c r="H19" s="17" t="s">
        <v>51</v>
      </c>
      <c r="I19" s="16" t="s">
        <v>51</v>
      </c>
      <c r="J19" s="1"/>
      <c r="K19" s="1"/>
      <c r="L19" s="1"/>
      <c r="M19" s="16" t="s">
        <v>51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6" t="s">
        <v>51</v>
      </c>
      <c r="AQ19" s="1"/>
      <c r="AR19" s="1"/>
      <c r="AS19" s="1"/>
      <c r="AT19" s="1"/>
    </row>
    <row r="20" spans="2:46">
      <c r="B20" s="3" t="s">
        <v>79</v>
      </c>
      <c r="C20" s="13" t="s">
        <v>68</v>
      </c>
      <c r="D20" s="18" t="s">
        <v>56</v>
      </c>
      <c r="E20" s="16" t="s">
        <v>51</v>
      </c>
      <c r="F20" s="16" t="s">
        <v>51</v>
      </c>
      <c r="G20" s="1"/>
      <c r="H20" s="18" t="s">
        <v>56</v>
      </c>
      <c r="I20" s="18" t="s">
        <v>56</v>
      </c>
      <c r="J20" s="1"/>
      <c r="K20" s="1"/>
      <c r="L20" s="1"/>
      <c r="M20" s="16" t="s">
        <v>51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8" t="s">
        <v>56</v>
      </c>
      <c r="AQ20" s="1"/>
      <c r="AR20" s="1"/>
      <c r="AS20" s="1"/>
      <c r="AT20" s="1"/>
    </row>
    <row r="21" spans="2:46">
      <c r="B21" s="3" t="s">
        <v>80</v>
      </c>
      <c r="C21" s="13" t="s">
        <v>81</v>
      </c>
      <c r="D21" s="18" t="s">
        <v>56</v>
      </c>
      <c r="E21" s="16" t="s">
        <v>51</v>
      </c>
      <c r="F21" s="16" t="s">
        <v>51</v>
      </c>
      <c r="G21" s="1"/>
      <c r="H21" s="18" t="s">
        <v>56</v>
      </c>
      <c r="I21" s="16" t="s">
        <v>51</v>
      </c>
      <c r="J21" s="1"/>
      <c r="K21" s="1"/>
      <c r="L21" s="1"/>
      <c r="M21" s="16" t="s">
        <v>51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6" t="s">
        <v>51</v>
      </c>
      <c r="AQ21" s="1"/>
      <c r="AR21" s="1"/>
      <c r="AS21" s="1"/>
      <c r="AT21" s="1"/>
    </row>
    <row r="22" spans="2:46">
      <c r="B22" s="3" t="s">
        <v>82</v>
      </c>
      <c r="C22" s="13" t="s">
        <v>83</v>
      </c>
      <c r="D22" s="18" t="s">
        <v>56</v>
      </c>
      <c r="E22" s="16" t="s">
        <v>51</v>
      </c>
      <c r="F22" s="16" t="s">
        <v>56</v>
      </c>
      <c r="G22" s="1"/>
      <c r="H22" s="18" t="s">
        <v>56</v>
      </c>
      <c r="I22" s="16" t="s">
        <v>51</v>
      </c>
      <c r="J22" s="1"/>
      <c r="K22" s="1"/>
      <c r="L22" s="1"/>
      <c r="M22" s="16" t="s">
        <v>51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6" t="s">
        <v>51</v>
      </c>
      <c r="AQ22" s="1"/>
      <c r="AR22" s="1"/>
      <c r="AS22" s="1"/>
      <c r="AT22" s="1"/>
    </row>
    <row r="23" spans="2:46">
      <c r="B23" s="3" t="s">
        <v>84</v>
      </c>
      <c r="C23" s="13" t="s">
        <v>66</v>
      </c>
      <c r="D23" s="17" t="s">
        <v>51</v>
      </c>
      <c r="E23" s="16" t="s">
        <v>51</v>
      </c>
      <c r="F23" s="16" t="s">
        <v>51</v>
      </c>
      <c r="G23" s="1"/>
      <c r="H23" s="17" t="s">
        <v>51</v>
      </c>
      <c r="I23" s="18" t="s">
        <v>56</v>
      </c>
      <c r="J23" s="1"/>
      <c r="K23" s="1"/>
      <c r="L23" s="1"/>
      <c r="M23" s="16" t="s">
        <v>51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8" t="s">
        <v>56</v>
      </c>
      <c r="AQ23" s="1"/>
      <c r="AR23" s="1"/>
      <c r="AS23" s="1"/>
      <c r="AT23" s="1"/>
    </row>
    <row r="24" spans="2:46">
      <c r="B24" s="3" t="s">
        <v>85</v>
      </c>
      <c r="C24" s="13" t="s">
        <v>86</v>
      </c>
      <c r="D24" s="18" t="s">
        <v>56</v>
      </c>
      <c r="E24" s="16" t="s">
        <v>51</v>
      </c>
      <c r="F24" s="16" t="s">
        <v>56</v>
      </c>
      <c r="G24" s="1"/>
      <c r="H24" s="18" t="s">
        <v>56</v>
      </c>
      <c r="I24" s="18" t="s">
        <v>56</v>
      </c>
      <c r="J24" s="1"/>
      <c r="K24" s="1"/>
      <c r="L24" s="1"/>
      <c r="M24" s="16" t="s">
        <v>51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8" t="s">
        <v>56</v>
      </c>
      <c r="AQ24" s="1"/>
      <c r="AR24" s="1"/>
      <c r="AS24" s="1"/>
      <c r="AT24" s="1"/>
    </row>
    <row r="25" spans="2:46">
      <c r="B25" s="3" t="s">
        <v>87</v>
      </c>
      <c r="C25" s="13" t="s">
        <v>88</v>
      </c>
      <c r="D25" s="17" t="s">
        <v>51</v>
      </c>
      <c r="E25" s="16" t="s">
        <v>51</v>
      </c>
      <c r="F25" s="16" t="s">
        <v>51</v>
      </c>
      <c r="G25" s="1"/>
      <c r="H25" s="17" t="s">
        <v>51</v>
      </c>
      <c r="I25" s="16" t="s">
        <v>51</v>
      </c>
      <c r="J25" s="1"/>
      <c r="K25" s="1"/>
      <c r="L25" s="1"/>
      <c r="M25" s="16" t="s">
        <v>51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6" t="s">
        <v>51</v>
      </c>
      <c r="AQ25" s="1"/>
      <c r="AR25" s="1"/>
      <c r="AS25" s="1"/>
      <c r="AT25" s="1"/>
    </row>
    <row r="26" spans="2:46">
      <c r="B26" s="3" t="s">
        <v>89</v>
      </c>
      <c r="C26" s="13" t="s">
        <v>68</v>
      </c>
      <c r="D26" s="18" t="s">
        <v>56</v>
      </c>
      <c r="E26" s="16" t="s">
        <v>51</v>
      </c>
      <c r="F26" s="16" t="s">
        <v>56</v>
      </c>
      <c r="G26" s="1"/>
      <c r="H26" s="18" t="s">
        <v>56</v>
      </c>
      <c r="I26" s="16" t="s">
        <v>51</v>
      </c>
      <c r="J26" s="1"/>
      <c r="K26" s="1"/>
      <c r="L26" s="1"/>
      <c r="M26" s="16" t="s">
        <v>51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6" t="s">
        <v>51</v>
      </c>
      <c r="AQ26" s="1"/>
      <c r="AR26" s="1"/>
      <c r="AS26" s="1"/>
      <c r="AT26" s="1"/>
    </row>
    <row r="27" spans="2:46">
      <c r="B27" s="3" t="s">
        <v>90</v>
      </c>
      <c r="C27" s="13" t="s">
        <v>58</v>
      </c>
      <c r="D27" s="17" t="s">
        <v>51</v>
      </c>
      <c r="E27" s="16" t="s">
        <v>51</v>
      </c>
      <c r="F27" s="16" t="s">
        <v>51</v>
      </c>
      <c r="G27" s="1"/>
      <c r="H27" s="17" t="s">
        <v>51</v>
      </c>
      <c r="I27" s="16" t="s">
        <v>51</v>
      </c>
      <c r="J27" s="1"/>
      <c r="K27" s="1"/>
      <c r="L27" s="1"/>
      <c r="M27" s="16" t="s">
        <v>51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6" t="s">
        <v>51</v>
      </c>
      <c r="AQ27" s="1"/>
      <c r="AR27" s="1"/>
      <c r="AS27" s="1"/>
      <c r="AT27" s="1"/>
    </row>
    <row r="28" spans="2:46">
      <c r="B28" s="3" t="s">
        <v>91</v>
      </c>
      <c r="C28" s="13" t="s">
        <v>58</v>
      </c>
      <c r="D28" s="17" t="s">
        <v>51</v>
      </c>
      <c r="E28" s="16" t="s">
        <v>51</v>
      </c>
      <c r="F28" s="16" t="s">
        <v>51</v>
      </c>
      <c r="G28" s="1"/>
      <c r="H28" s="17" t="s">
        <v>51</v>
      </c>
      <c r="I28" s="16" t="s">
        <v>51</v>
      </c>
      <c r="J28" s="1"/>
      <c r="K28" s="1"/>
      <c r="L28" s="1"/>
      <c r="M28" s="16" t="s">
        <v>51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6" t="s">
        <v>51</v>
      </c>
      <c r="AQ28" s="1"/>
      <c r="AR28" s="1"/>
      <c r="AS28" s="1"/>
      <c r="AT28" s="1"/>
    </row>
    <row r="29" spans="2:46">
      <c r="B29" s="3" t="s">
        <v>92</v>
      </c>
      <c r="C29" s="13" t="s">
        <v>88</v>
      </c>
      <c r="D29" s="17" t="s">
        <v>51</v>
      </c>
      <c r="E29" s="16" t="s">
        <v>51</v>
      </c>
      <c r="F29" s="16" t="s">
        <v>51</v>
      </c>
      <c r="G29" s="1"/>
      <c r="H29" s="17" t="s">
        <v>51</v>
      </c>
      <c r="I29" s="16" t="s">
        <v>51</v>
      </c>
      <c r="J29" s="1"/>
      <c r="K29" s="1"/>
      <c r="L29" s="1"/>
      <c r="M29" s="16" t="s">
        <v>51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6" t="s">
        <v>51</v>
      </c>
      <c r="AQ29" s="1"/>
      <c r="AR29" s="1"/>
      <c r="AS29" s="1"/>
      <c r="AT29" s="1"/>
    </row>
    <row r="30" spans="2:46" ht="30">
      <c r="B30" s="3" t="s">
        <v>93</v>
      </c>
      <c r="C30" s="12" t="s">
        <v>94</v>
      </c>
      <c r="D30" s="17" t="s">
        <v>51</v>
      </c>
      <c r="E30" s="16" t="s">
        <v>51</v>
      </c>
      <c r="F30" s="16" t="s">
        <v>51</v>
      </c>
      <c r="G30" s="1"/>
      <c r="H30" s="17" t="s">
        <v>51</v>
      </c>
      <c r="I30" s="16" t="s">
        <v>51</v>
      </c>
      <c r="J30" s="1"/>
      <c r="K30" s="1"/>
      <c r="L30" s="1"/>
      <c r="M30" s="16" t="s">
        <v>51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6" t="s">
        <v>51</v>
      </c>
      <c r="AQ30" s="1"/>
      <c r="AR30" s="1"/>
      <c r="AS30" s="1"/>
      <c r="AT30" s="1"/>
    </row>
    <row r="31" spans="2:46">
      <c r="B31" s="3" t="s">
        <v>95</v>
      </c>
      <c r="C31" s="13" t="s">
        <v>96</v>
      </c>
      <c r="D31" s="16" t="s">
        <v>97</v>
      </c>
      <c r="E31" s="16" t="s">
        <v>97</v>
      </c>
      <c r="F31" s="16" t="s">
        <v>51</v>
      </c>
      <c r="G31" s="1"/>
      <c r="H31" s="16" t="s">
        <v>97</v>
      </c>
      <c r="I31" s="16" t="s">
        <v>51</v>
      </c>
      <c r="J31" s="1"/>
      <c r="K31" s="1"/>
      <c r="L31" s="1"/>
      <c r="M31" s="16" t="s">
        <v>51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6" t="s">
        <v>51</v>
      </c>
      <c r="AQ31" s="1"/>
      <c r="AR31" s="1"/>
      <c r="AS31" s="1"/>
      <c r="AT31" s="1"/>
    </row>
    <row r="32" spans="2:46" ht="15.75" thickBot="1">
      <c r="B32" s="2" t="s">
        <v>98</v>
      </c>
      <c r="C32" s="14" t="s">
        <v>99</v>
      </c>
      <c r="D32" s="20" t="s">
        <v>97</v>
      </c>
      <c r="E32" s="16" t="s">
        <v>97</v>
      </c>
      <c r="F32" s="16"/>
      <c r="G32" s="1"/>
      <c r="H32" s="20" t="s">
        <v>97</v>
      </c>
      <c r="I32" s="16" t="s">
        <v>97</v>
      </c>
      <c r="J32" s="1"/>
      <c r="K32" s="1"/>
      <c r="L32" s="1"/>
      <c r="M32" s="16" t="s">
        <v>51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6" t="s">
        <v>97</v>
      </c>
      <c r="AQ32" s="1"/>
      <c r="AR32" s="1"/>
      <c r="AS32" s="1"/>
      <c r="AT32" s="1"/>
    </row>
    <row r="34" spans="2:46">
      <c r="B34" s="24"/>
      <c r="C34" s="25" t="s">
        <v>100</v>
      </c>
      <c r="D34" s="28">
        <f>COUNTIF(D3:D32,"X")</f>
        <v>19</v>
      </c>
      <c r="E34" s="28">
        <f>COUNTIF(E3:E32,"X")</f>
        <v>28</v>
      </c>
      <c r="F34" s="28">
        <f>COUNTIF(F3:F32,"X")</f>
        <v>23</v>
      </c>
      <c r="G34" s="28">
        <f>COUNTIF(G3:G32,"X")</f>
        <v>0</v>
      </c>
      <c r="H34" s="28">
        <f t="shared" ref="H34:AT34" si="0">COUNTIF(H3:H32,"X")</f>
        <v>19</v>
      </c>
      <c r="I34" s="28">
        <f t="shared" si="0"/>
        <v>22</v>
      </c>
      <c r="J34" s="28">
        <f t="shared" si="0"/>
        <v>0</v>
      </c>
      <c r="K34" s="28">
        <f t="shared" si="0"/>
        <v>0</v>
      </c>
      <c r="L34" s="28">
        <f t="shared" si="0"/>
        <v>0</v>
      </c>
      <c r="M34" s="28">
        <f t="shared" si="0"/>
        <v>30</v>
      </c>
      <c r="N34" s="28">
        <f t="shared" si="0"/>
        <v>0</v>
      </c>
      <c r="O34" s="28">
        <f t="shared" si="0"/>
        <v>0</v>
      </c>
      <c r="P34" s="28">
        <f t="shared" si="0"/>
        <v>0</v>
      </c>
      <c r="Q34" s="28">
        <f t="shared" si="0"/>
        <v>0</v>
      </c>
      <c r="R34" s="28">
        <f t="shared" si="0"/>
        <v>0</v>
      </c>
      <c r="S34" s="28">
        <f t="shared" si="0"/>
        <v>0</v>
      </c>
      <c r="T34" s="28">
        <f t="shared" si="0"/>
        <v>0</v>
      </c>
      <c r="U34" s="28">
        <f t="shared" si="0"/>
        <v>0</v>
      </c>
      <c r="V34" s="28">
        <f t="shared" si="0"/>
        <v>0</v>
      </c>
      <c r="W34" s="28">
        <f t="shared" si="0"/>
        <v>0</v>
      </c>
      <c r="X34" s="28">
        <f t="shared" si="0"/>
        <v>0</v>
      </c>
      <c r="Y34" s="28">
        <f t="shared" si="0"/>
        <v>0</v>
      </c>
      <c r="Z34" s="28">
        <f t="shared" si="0"/>
        <v>0</v>
      </c>
      <c r="AA34" s="28">
        <f t="shared" si="0"/>
        <v>0</v>
      </c>
      <c r="AB34" s="28">
        <f t="shared" si="0"/>
        <v>0</v>
      </c>
      <c r="AC34" s="28">
        <f t="shared" si="0"/>
        <v>0</v>
      </c>
      <c r="AD34" s="28">
        <f t="shared" si="0"/>
        <v>0</v>
      </c>
      <c r="AE34" s="28">
        <f t="shared" si="0"/>
        <v>0</v>
      </c>
      <c r="AF34" s="28">
        <f t="shared" si="0"/>
        <v>0</v>
      </c>
      <c r="AG34" s="28">
        <f t="shared" si="0"/>
        <v>0</v>
      </c>
      <c r="AH34" s="28">
        <f t="shared" si="0"/>
        <v>0</v>
      </c>
      <c r="AI34" s="28">
        <f t="shared" si="0"/>
        <v>0</v>
      </c>
      <c r="AJ34" s="28">
        <f t="shared" si="0"/>
        <v>0</v>
      </c>
      <c r="AK34" s="28">
        <f t="shared" si="0"/>
        <v>0</v>
      </c>
      <c r="AL34" s="28">
        <f t="shared" si="0"/>
        <v>0</v>
      </c>
      <c r="AM34" s="28">
        <f t="shared" si="0"/>
        <v>0</v>
      </c>
      <c r="AN34" s="28">
        <f t="shared" si="0"/>
        <v>0</v>
      </c>
      <c r="AO34" s="28">
        <f t="shared" si="0"/>
        <v>0</v>
      </c>
      <c r="AP34" s="28">
        <f t="shared" si="0"/>
        <v>22</v>
      </c>
      <c r="AQ34" s="28">
        <f t="shared" si="0"/>
        <v>0</v>
      </c>
      <c r="AR34" s="28">
        <f t="shared" si="0"/>
        <v>0</v>
      </c>
      <c r="AS34" s="28">
        <f t="shared" si="0"/>
        <v>0</v>
      </c>
      <c r="AT34" s="28">
        <f t="shared" si="0"/>
        <v>0</v>
      </c>
    </row>
    <row r="35" spans="2:46">
      <c r="C35" s="26" t="s">
        <v>101</v>
      </c>
      <c r="D35" s="28">
        <f>COUNTIF(D3:D32,"S/C")</f>
        <v>9</v>
      </c>
      <c r="E35" s="28">
        <f t="shared" ref="E35:AT35" si="1">COUNTIF(E3:E32,"S/C")</f>
        <v>0</v>
      </c>
      <c r="F35" s="28">
        <f t="shared" ref="F35" si="2">COUNTIF(F3:F32,"S/C")</f>
        <v>6</v>
      </c>
      <c r="G35" s="28">
        <f t="shared" si="1"/>
        <v>0</v>
      </c>
      <c r="H35" s="28">
        <f t="shared" si="1"/>
        <v>9</v>
      </c>
      <c r="I35" s="28">
        <f t="shared" si="1"/>
        <v>7</v>
      </c>
      <c r="J35" s="28">
        <f t="shared" si="1"/>
        <v>0</v>
      </c>
      <c r="K35" s="28">
        <f t="shared" si="1"/>
        <v>0</v>
      </c>
      <c r="L35" s="28">
        <f t="shared" si="1"/>
        <v>0</v>
      </c>
      <c r="M35" s="28">
        <f t="shared" si="1"/>
        <v>0</v>
      </c>
      <c r="N35" s="28">
        <f t="shared" si="1"/>
        <v>0</v>
      </c>
      <c r="O35" s="28">
        <f t="shared" si="1"/>
        <v>0</v>
      </c>
      <c r="P35" s="28">
        <f t="shared" si="1"/>
        <v>0</v>
      </c>
      <c r="Q35" s="28">
        <f t="shared" si="1"/>
        <v>0</v>
      </c>
      <c r="R35" s="28">
        <f t="shared" si="1"/>
        <v>0</v>
      </c>
      <c r="S35" s="28">
        <f t="shared" si="1"/>
        <v>0</v>
      </c>
      <c r="T35" s="28">
        <f t="shared" si="1"/>
        <v>0</v>
      </c>
      <c r="U35" s="28">
        <f t="shared" si="1"/>
        <v>0</v>
      </c>
      <c r="V35" s="28">
        <f t="shared" si="1"/>
        <v>0</v>
      </c>
      <c r="W35" s="28">
        <f t="shared" si="1"/>
        <v>0</v>
      </c>
      <c r="X35" s="28">
        <f t="shared" si="1"/>
        <v>0</v>
      </c>
      <c r="Y35" s="28">
        <f t="shared" si="1"/>
        <v>0</v>
      </c>
      <c r="Z35" s="28">
        <f t="shared" si="1"/>
        <v>0</v>
      </c>
      <c r="AA35" s="28">
        <f t="shared" si="1"/>
        <v>0</v>
      </c>
      <c r="AB35" s="28">
        <f t="shared" si="1"/>
        <v>0</v>
      </c>
      <c r="AC35" s="28">
        <f t="shared" si="1"/>
        <v>0</v>
      </c>
      <c r="AD35" s="28">
        <f t="shared" si="1"/>
        <v>0</v>
      </c>
      <c r="AE35" s="28">
        <f t="shared" si="1"/>
        <v>0</v>
      </c>
      <c r="AF35" s="28">
        <f t="shared" si="1"/>
        <v>0</v>
      </c>
      <c r="AG35" s="28">
        <f t="shared" si="1"/>
        <v>0</v>
      </c>
      <c r="AH35" s="28">
        <f t="shared" si="1"/>
        <v>0</v>
      </c>
      <c r="AI35" s="28">
        <f t="shared" si="1"/>
        <v>0</v>
      </c>
      <c r="AJ35" s="28">
        <f t="shared" si="1"/>
        <v>0</v>
      </c>
      <c r="AK35" s="28">
        <f t="shared" si="1"/>
        <v>0</v>
      </c>
      <c r="AL35" s="28">
        <f t="shared" si="1"/>
        <v>0</v>
      </c>
      <c r="AM35" s="28">
        <f t="shared" si="1"/>
        <v>0</v>
      </c>
      <c r="AN35" s="28">
        <f t="shared" si="1"/>
        <v>0</v>
      </c>
      <c r="AO35" s="28">
        <f t="shared" si="1"/>
        <v>0</v>
      </c>
      <c r="AP35" s="28">
        <f t="shared" si="1"/>
        <v>7</v>
      </c>
      <c r="AQ35" s="28">
        <f t="shared" si="1"/>
        <v>0</v>
      </c>
      <c r="AR35" s="28">
        <f t="shared" si="1"/>
        <v>0</v>
      </c>
      <c r="AS35" s="28">
        <f t="shared" si="1"/>
        <v>0</v>
      </c>
      <c r="AT35" s="28">
        <f t="shared" si="1"/>
        <v>0</v>
      </c>
    </row>
    <row r="36" spans="2:46">
      <c r="C36" s="26" t="s">
        <v>102</v>
      </c>
      <c r="D36" s="28">
        <f>COUNTIF(D3:D32,"NA")</f>
        <v>2</v>
      </c>
      <c r="E36" s="28">
        <f t="shared" ref="E36:AT36" si="3">COUNTIF(E3:E32,"NA")</f>
        <v>2</v>
      </c>
      <c r="F36" s="28">
        <f t="shared" ref="F36" si="4">COUNTIF(F3:F32,"NA")</f>
        <v>0</v>
      </c>
      <c r="G36" s="28">
        <f t="shared" si="3"/>
        <v>0</v>
      </c>
      <c r="H36" s="28">
        <f t="shared" si="3"/>
        <v>2</v>
      </c>
      <c r="I36" s="28">
        <f t="shared" si="3"/>
        <v>1</v>
      </c>
      <c r="J36" s="28">
        <f t="shared" si="3"/>
        <v>0</v>
      </c>
      <c r="K36" s="28">
        <f t="shared" si="3"/>
        <v>0</v>
      </c>
      <c r="L36" s="28">
        <f t="shared" si="3"/>
        <v>0</v>
      </c>
      <c r="M36" s="28">
        <f t="shared" si="3"/>
        <v>0</v>
      </c>
      <c r="N36" s="28">
        <f t="shared" si="3"/>
        <v>0</v>
      </c>
      <c r="O36" s="28">
        <f t="shared" si="3"/>
        <v>0</v>
      </c>
      <c r="P36" s="28">
        <f t="shared" si="3"/>
        <v>0</v>
      </c>
      <c r="Q36" s="28">
        <f t="shared" si="3"/>
        <v>0</v>
      </c>
      <c r="R36" s="28">
        <f t="shared" si="3"/>
        <v>0</v>
      </c>
      <c r="S36" s="28">
        <f t="shared" si="3"/>
        <v>0</v>
      </c>
      <c r="T36" s="28">
        <f t="shared" si="3"/>
        <v>0</v>
      </c>
      <c r="U36" s="28">
        <f t="shared" si="3"/>
        <v>0</v>
      </c>
      <c r="V36" s="28">
        <f t="shared" si="3"/>
        <v>0</v>
      </c>
      <c r="W36" s="28">
        <f t="shared" si="3"/>
        <v>0</v>
      </c>
      <c r="X36" s="28">
        <f t="shared" si="3"/>
        <v>0</v>
      </c>
      <c r="Y36" s="28">
        <f t="shared" si="3"/>
        <v>0</v>
      </c>
      <c r="Z36" s="28">
        <f t="shared" si="3"/>
        <v>0</v>
      </c>
      <c r="AA36" s="28">
        <f t="shared" si="3"/>
        <v>0</v>
      </c>
      <c r="AB36" s="28">
        <f t="shared" si="3"/>
        <v>0</v>
      </c>
      <c r="AC36" s="28">
        <f t="shared" si="3"/>
        <v>0</v>
      </c>
      <c r="AD36" s="28">
        <f t="shared" si="3"/>
        <v>0</v>
      </c>
      <c r="AE36" s="28">
        <f t="shared" si="3"/>
        <v>0</v>
      </c>
      <c r="AF36" s="28">
        <f t="shared" si="3"/>
        <v>0</v>
      </c>
      <c r="AG36" s="28">
        <f t="shared" si="3"/>
        <v>0</v>
      </c>
      <c r="AH36" s="28">
        <f t="shared" si="3"/>
        <v>0</v>
      </c>
      <c r="AI36" s="28">
        <f t="shared" si="3"/>
        <v>0</v>
      </c>
      <c r="AJ36" s="28">
        <f t="shared" si="3"/>
        <v>0</v>
      </c>
      <c r="AK36" s="28">
        <f t="shared" si="3"/>
        <v>0</v>
      </c>
      <c r="AL36" s="28">
        <f t="shared" si="3"/>
        <v>0</v>
      </c>
      <c r="AM36" s="28">
        <f t="shared" si="3"/>
        <v>0</v>
      </c>
      <c r="AN36" s="28">
        <f t="shared" si="3"/>
        <v>0</v>
      </c>
      <c r="AO36" s="28">
        <f t="shared" si="3"/>
        <v>0</v>
      </c>
      <c r="AP36" s="28">
        <f t="shared" si="3"/>
        <v>1</v>
      </c>
      <c r="AQ36" s="28">
        <f t="shared" si="3"/>
        <v>0</v>
      </c>
      <c r="AR36" s="28">
        <f t="shared" si="3"/>
        <v>0</v>
      </c>
      <c r="AS36" s="28">
        <f t="shared" si="3"/>
        <v>0</v>
      </c>
      <c r="AT36" s="28">
        <f t="shared" si="3"/>
        <v>0</v>
      </c>
    </row>
    <row r="38" spans="2:46">
      <c r="C38" s="27" t="s">
        <v>103</v>
      </c>
      <c r="D38" s="29">
        <f>D34/(SUM(D34:D36)-D36)*100</f>
        <v>67.857142857142861</v>
      </c>
      <c r="E38" s="29">
        <f t="shared" ref="E38:AT38" si="5">E34/(SUM(E34:E36)-E36)*100</f>
        <v>100</v>
      </c>
      <c r="F38" s="29">
        <f t="shared" ref="F38" si="6">F34/(SUM(F34:F36)-F36)*100</f>
        <v>79.310344827586206</v>
      </c>
      <c r="G38" s="29" t="e">
        <f t="shared" si="5"/>
        <v>#DIV/0!</v>
      </c>
      <c r="H38" s="29">
        <f t="shared" si="5"/>
        <v>67.857142857142861</v>
      </c>
      <c r="I38" s="29">
        <f t="shared" si="5"/>
        <v>75.862068965517238</v>
      </c>
      <c r="J38" s="29" t="e">
        <f t="shared" si="5"/>
        <v>#DIV/0!</v>
      </c>
      <c r="K38" s="29" t="e">
        <f t="shared" si="5"/>
        <v>#DIV/0!</v>
      </c>
      <c r="L38" s="29" t="e">
        <f t="shared" si="5"/>
        <v>#DIV/0!</v>
      </c>
      <c r="M38" s="29">
        <f t="shared" si="5"/>
        <v>100</v>
      </c>
      <c r="N38" s="29" t="e">
        <f t="shared" si="5"/>
        <v>#DIV/0!</v>
      </c>
      <c r="O38" s="29" t="e">
        <f t="shared" si="5"/>
        <v>#DIV/0!</v>
      </c>
      <c r="P38" s="29" t="e">
        <f t="shared" si="5"/>
        <v>#DIV/0!</v>
      </c>
      <c r="Q38" s="29" t="e">
        <f t="shared" si="5"/>
        <v>#DIV/0!</v>
      </c>
      <c r="R38" s="29" t="e">
        <f t="shared" si="5"/>
        <v>#DIV/0!</v>
      </c>
      <c r="S38" s="29" t="e">
        <f t="shared" si="5"/>
        <v>#DIV/0!</v>
      </c>
      <c r="T38" s="29" t="e">
        <f t="shared" si="5"/>
        <v>#DIV/0!</v>
      </c>
      <c r="U38" s="29" t="e">
        <f t="shared" si="5"/>
        <v>#DIV/0!</v>
      </c>
      <c r="V38" s="29" t="e">
        <f t="shared" si="5"/>
        <v>#DIV/0!</v>
      </c>
      <c r="W38" s="29" t="e">
        <f t="shared" si="5"/>
        <v>#DIV/0!</v>
      </c>
      <c r="X38" s="29" t="e">
        <f t="shared" si="5"/>
        <v>#DIV/0!</v>
      </c>
      <c r="Y38" s="29" t="e">
        <f t="shared" si="5"/>
        <v>#DIV/0!</v>
      </c>
      <c r="Z38" s="29" t="e">
        <f t="shared" si="5"/>
        <v>#DIV/0!</v>
      </c>
      <c r="AA38" s="29" t="e">
        <f t="shared" si="5"/>
        <v>#DIV/0!</v>
      </c>
      <c r="AB38" s="29" t="e">
        <f t="shared" si="5"/>
        <v>#DIV/0!</v>
      </c>
      <c r="AC38" s="29" t="e">
        <f t="shared" si="5"/>
        <v>#DIV/0!</v>
      </c>
      <c r="AD38" s="29" t="e">
        <f t="shared" si="5"/>
        <v>#DIV/0!</v>
      </c>
      <c r="AE38" s="29" t="e">
        <f t="shared" si="5"/>
        <v>#DIV/0!</v>
      </c>
      <c r="AF38" s="29" t="e">
        <f t="shared" si="5"/>
        <v>#DIV/0!</v>
      </c>
      <c r="AG38" s="29" t="e">
        <f t="shared" si="5"/>
        <v>#DIV/0!</v>
      </c>
      <c r="AH38" s="29" t="e">
        <f t="shared" si="5"/>
        <v>#DIV/0!</v>
      </c>
      <c r="AI38" s="29" t="e">
        <f t="shared" si="5"/>
        <v>#DIV/0!</v>
      </c>
      <c r="AJ38" s="29" t="e">
        <f t="shared" si="5"/>
        <v>#DIV/0!</v>
      </c>
      <c r="AK38" s="29" t="e">
        <f t="shared" si="5"/>
        <v>#DIV/0!</v>
      </c>
      <c r="AL38" s="29" t="e">
        <f t="shared" si="5"/>
        <v>#DIV/0!</v>
      </c>
      <c r="AM38" s="29" t="e">
        <f t="shared" si="5"/>
        <v>#DIV/0!</v>
      </c>
      <c r="AN38" s="29" t="e">
        <f t="shared" si="5"/>
        <v>#DIV/0!</v>
      </c>
      <c r="AO38" s="29" t="e">
        <f t="shared" si="5"/>
        <v>#DIV/0!</v>
      </c>
      <c r="AP38" s="29">
        <f t="shared" si="5"/>
        <v>75.862068965517238</v>
      </c>
      <c r="AQ38" s="29" t="e">
        <f t="shared" si="5"/>
        <v>#DIV/0!</v>
      </c>
      <c r="AR38" s="29" t="e">
        <f t="shared" si="5"/>
        <v>#DIV/0!</v>
      </c>
      <c r="AS38" s="29" t="e">
        <f t="shared" si="5"/>
        <v>#DIV/0!</v>
      </c>
      <c r="AT38" s="29" t="e">
        <f t="shared" si="5"/>
        <v>#DIV/0!</v>
      </c>
    </row>
  </sheetData>
  <autoFilter ref="B2:AT2" xr:uid="{00000000-0009-0000-0000-000000000000}"/>
  <mergeCells count="4">
    <mergeCell ref="D1:V1"/>
    <mergeCell ref="W1:AO1"/>
    <mergeCell ref="AQ1:AT1"/>
    <mergeCell ref="B1:C1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 xml:space="preserve">&amp;L&amp;"Arial,Normal"&amp;8&amp;G&amp;C&amp;"-,Negrita"&amp;14Capacitación No programada&amp;R&amp;9Revisión: XXXX
Clave: RHF01
Fecha: 06/07/2020
Página &amp;P de &amp;N&amp;11
</oddHead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N72"/>
  <sheetViews>
    <sheetView tabSelected="1" view="pageLayout" zoomScaleNormal="112" workbookViewId="0">
      <selection activeCell="G15" sqref="G15"/>
    </sheetView>
  </sheetViews>
  <sheetFormatPr defaultColWidth="11.42578125" defaultRowHeight="15"/>
  <cols>
    <col min="1" max="1" width="27.28515625" customWidth="1"/>
    <col min="2" max="2" width="21.5703125" style="5" customWidth="1"/>
    <col min="3" max="36" width="3.7109375" customWidth="1"/>
    <col min="37" max="37" width="4" customWidth="1"/>
    <col min="38" max="40" width="0" hidden="1" customWidth="1"/>
  </cols>
  <sheetData>
    <row r="1" spans="1:37">
      <c r="A1" s="45"/>
      <c r="B1" s="46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</row>
    <row r="2" spans="1:37">
      <c r="A2" s="45"/>
      <c r="B2" s="46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</row>
    <row r="3" spans="1:37">
      <c r="A3" s="45"/>
      <c r="B3" s="46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</row>
    <row r="4" spans="1:37" ht="26.25">
      <c r="A4" s="47" t="s">
        <v>104</v>
      </c>
      <c r="B4" s="46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</row>
    <row r="5" spans="1:37">
      <c r="A5" s="45"/>
      <c r="B5" s="46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</row>
    <row r="6" spans="1:37" ht="15.75" thickBot="1">
      <c r="A6" s="97" t="s">
        <v>0</v>
      </c>
      <c r="B6" s="97"/>
      <c r="C6" s="98" t="s">
        <v>1</v>
      </c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</row>
    <row r="7" spans="1:37" ht="90.75" customHeight="1" thickBot="1">
      <c r="A7" s="77" t="s">
        <v>4</v>
      </c>
      <c r="B7" s="78" t="s">
        <v>5</v>
      </c>
      <c r="C7" s="79"/>
      <c r="D7" s="79" t="s">
        <v>105</v>
      </c>
      <c r="E7" s="80"/>
      <c r="F7" s="80" t="s">
        <v>106</v>
      </c>
      <c r="G7" s="79"/>
      <c r="H7" s="79" t="s">
        <v>105</v>
      </c>
      <c r="I7" s="80"/>
      <c r="J7" s="80" t="s">
        <v>106</v>
      </c>
      <c r="K7" s="79"/>
      <c r="L7" s="79" t="s">
        <v>105</v>
      </c>
      <c r="M7" s="80"/>
      <c r="N7" s="80" t="s">
        <v>106</v>
      </c>
      <c r="O7" s="79"/>
      <c r="P7" s="79" t="s">
        <v>105</v>
      </c>
      <c r="Q7" s="79"/>
      <c r="R7" s="79" t="s">
        <v>105</v>
      </c>
      <c r="S7" s="80"/>
      <c r="T7" s="80" t="s">
        <v>106</v>
      </c>
      <c r="U7" s="79"/>
      <c r="V7" s="79" t="s">
        <v>105</v>
      </c>
      <c r="W7" s="80"/>
      <c r="X7" s="80" t="s">
        <v>106</v>
      </c>
      <c r="Y7" s="79"/>
      <c r="Z7" s="79" t="s">
        <v>105</v>
      </c>
      <c r="AA7" s="80"/>
      <c r="AB7" s="80" t="s">
        <v>106</v>
      </c>
      <c r="AC7" s="79"/>
      <c r="AD7" s="79" t="s">
        <v>105</v>
      </c>
      <c r="AE7" s="80"/>
      <c r="AF7" s="80" t="s">
        <v>106</v>
      </c>
      <c r="AG7" s="79"/>
      <c r="AH7" s="79" t="s">
        <v>105</v>
      </c>
      <c r="AI7" s="80"/>
      <c r="AJ7" s="80" t="s">
        <v>106</v>
      </c>
    </row>
    <row r="8" spans="1:37">
      <c r="A8" s="51"/>
      <c r="B8" s="52"/>
      <c r="C8" s="53"/>
      <c r="D8" s="54"/>
      <c r="E8" s="48"/>
      <c r="F8" s="54"/>
      <c r="G8" s="48"/>
      <c r="H8" s="53"/>
      <c r="I8" s="55"/>
      <c r="J8" s="53"/>
      <c r="K8" s="53"/>
      <c r="L8" s="54"/>
      <c r="M8" s="48"/>
      <c r="N8" s="54"/>
      <c r="O8" s="56"/>
      <c r="P8" s="56"/>
      <c r="Q8" s="55"/>
      <c r="R8" s="55"/>
      <c r="S8" s="48"/>
      <c r="T8" s="48"/>
      <c r="U8" s="55"/>
      <c r="V8" s="55"/>
      <c r="W8" s="55"/>
      <c r="X8" s="55"/>
      <c r="Y8" s="56"/>
      <c r="Z8" s="56"/>
      <c r="AA8" s="56"/>
      <c r="AB8" s="56"/>
      <c r="AC8" s="55"/>
      <c r="AD8" s="55"/>
      <c r="AE8" s="55"/>
      <c r="AF8" s="55"/>
      <c r="AG8" s="55"/>
      <c r="AH8" s="55"/>
      <c r="AI8" s="55"/>
      <c r="AJ8" s="55"/>
    </row>
    <row r="9" spans="1:37">
      <c r="A9" s="57"/>
      <c r="B9" s="58"/>
      <c r="C9" s="59"/>
      <c r="D9" s="54"/>
      <c r="E9" s="48"/>
      <c r="F9" s="48"/>
      <c r="G9" s="48"/>
      <c r="H9" s="53"/>
      <c r="I9" s="55"/>
      <c r="J9" s="59"/>
      <c r="K9" s="59"/>
      <c r="L9" s="54"/>
      <c r="M9" s="48"/>
      <c r="N9" s="54"/>
      <c r="O9" s="56"/>
      <c r="P9" s="56"/>
      <c r="Q9" s="55"/>
      <c r="R9" s="55"/>
      <c r="S9" s="48"/>
      <c r="T9" s="48"/>
      <c r="U9" s="55"/>
      <c r="V9" s="55"/>
      <c r="W9" s="55"/>
      <c r="X9" s="55"/>
      <c r="Y9" s="56"/>
      <c r="Z9" s="56"/>
      <c r="AA9" s="56"/>
      <c r="AB9" s="56"/>
      <c r="AC9" s="55"/>
      <c r="AD9" s="55"/>
      <c r="AE9" s="55"/>
      <c r="AF9" s="55"/>
      <c r="AG9" s="55"/>
      <c r="AH9" s="55"/>
      <c r="AI9" s="55"/>
      <c r="AJ9" s="55"/>
    </row>
    <row r="10" spans="1:37">
      <c r="A10" s="57"/>
      <c r="B10" s="58"/>
      <c r="C10" s="59"/>
      <c r="D10" s="54"/>
      <c r="E10" s="48"/>
      <c r="F10" s="48"/>
      <c r="G10" s="48"/>
      <c r="H10" s="53"/>
      <c r="I10" s="55"/>
      <c r="J10" s="59"/>
      <c r="K10" s="59"/>
      <c r="L10" s="54"/>
      <c r="M10" s="48"/>
      <c r="N10" s="54"/>
      <c r="O10" s="56"/>
      <c r="P10" s="56"/>
      <c r="Q10" s="55"/>
      <c r="R10" s="55"/>
      <c r="S10" s="48"/>
      <c r="T10" s="48"/>
      <c r="U10" s="55"/>
      <c r="V10" s="55"/>
      <c r="W10" s="55"/>
      <c r="X10" s="55"/>
      <c r="Y10" s="56"/>
      <c r="Z10" s="56"/>
      <c r="AA10" s="56"/>
      <c r="AB10" s="56"/>
      <c r="AC10" s="55"/>
      <c r="AD10" s="55"/>
      <c r="AE10" s="55"/>
      <c r="AF10" s="55"/>
      <c r="AG10" s="55"/>
      <c r="AH10" s="55"/>
      <c r="AI10" s="55"/>
      <c r="AJ10" s="55"/>
    </row>
    <row r="11" spans="1:37">
      <c r="A11" s="57"/>
      <c r="B11" s="60"/>
      <c r="C11" s="59"/>
      <c r="D11" s="54"/>
      <c r="E11" s="48"/>
      <c r="F11" s="54"/>
      <c r="G11" s="48"/>
      <c r="H11" s="53"/>
      <c r="I11" s="55"/>
      <c r="J11" s="59"/>
      <c r="K11" s="59"/>
      <c r="L11" s="54"/>
      <c r="M11" s="48"/>
      <c r="N11" s="54"/>
      <c r="O11" s="56"/>
      <c r="P11" s="56"/>
      <c r="Q11" s="55"/>
      <c r="R11" s="55"/>
      <c r="S11" s="48"/>
      <c r="T11" s="48"/>
      <c r="U11" s="55"/>
      <c r="V11" s="55"/>
      <c r="W11" s="55"/>
      <c r="X11" s="55"/>
      <c r="Y11" s="56"/>
      <c r="Z11" s="56"/>
      <c r="AA11" s="56"/>
      <c r="AB11" s="56"/>
      <c r="AC11" s="55"/>
      <c r="AD11" s="55"/>
      <c r="AE11" s="55"/>
      <c r="AF11" s="55"/>
      <c r="AG11" s="55"/>
      <c r="AH11" s="55"/>
      <c r="AI11" s="55"/>
      <c r="AJ11" s="55"/>
    </row>
    <row r="12" spans="1:37">
      <c r="A12" s="57"/>
      <c r="B12" s="58"/>
      <c r="C12" s="59"/>
      <c r="D12" s="48"/>
      <c r="E12" s="48"/>
      <c r="F12" s="48"/>
      <c r="G12" s="48"/>
      <c r="H12" s="53"/>
      <c r="I12" s="55"/>
      <c r="J12" s="59"/>
      <c r="K12" s="59"/>
      <c r="L12" s="54"/>
      <c r="M12" s="48"/>
      <c r="N12" s="48"/>
      <c r="O12" s="56"/>
      <c r="P12" s="56"/>
      <c r="Q12" s="55"/>
      <c r="R12" s="55"/>
      <c r="S12" s="48"/>
      <c r="T12" s="48"/>
      <c r="U12" s="55"/>
      <c r="V12" s="55"/>
      <c r="W12" s="55"/>
      <c r="X12" s="55"/>
      <c r="Y12" s="56"/>
      <c r="Z12" s="56"/>
      <c r="AA12" s="56"/>
      <c r="AB12" s="56"/>
      <c r="AC12" s="55"/>
      <c r="AD12" s="55"/>
      <c r="AE12" s="55"/>
      <c r="AF12" s="55"/>
      <c r="AG12" s="55"/>
      <c r="AH12" s="55"/>
      <c r="AI12" s="55"/>
      <c r="AJ12" s="55"/>
    </row>
    <row r="13" spans="1:37">
      <c r="A13" s="57"/>
      <c r="B13" s="58"/>
      <c r="C13" s="59"/>
      <c r="D13" s="54"/>
      <c r="E13" s="48"/>
      <c r="F13" s="54"/>
      <c r="G13" s="48"/>
      <c r="H13" s="53"/>
      <c r="I13" s="55"/>
      <c r="J13" s="59"/>
      <c r="K13" s="59"/>
      <c r="L13" s="54"/>
      <c r="M13" s="48"/>
      <c r="N13" s="54"/>
      <c r="O13" s="56"/>
      <c r="P13" s="56"/>
      <c r="Q13" s="55"/>
      <c r="R13" s="55"/>
      <c r="S13" s="48"/>
      <c r="T13" s="48"/>
      <c r="U13" s="55"/>
      <c r="V13" s="55"/>
      <c r="W13" s="55"/>
      <c r="X13" s="55"/>
      <c r="Y13" s="56"/>
      <c r="Z13" s="56"/>
      <c r="AA13" s="56"/>
      <c r="AB13" s="56"/>
      <c r="AC13" s="55"/>
      <c r="AD13" s="55"/>
      <c r="AE13" s="55"/>
      <c r="AF13" s="55"/>
      <c r="AG13" s="55"/>
      <c r="AH13" s="55"/>
      <c r="AI13" s="55"/>
      <c r="AJ13" s="55"/>
    </row>
    <row r="14" spans="1:37">
      <c r="A14" s="57"/>
      <c r="B14" s="60"/>
      <c r="C14" s="59"/>
      <c r="D14" s="54"/>
      <c r="E14" s="48"/>
      <c r="F14" s="54"/>
      <c r="G14" s="48"/>
      <c r="H14" s="53"/>
      <c r="I14" s="55"/>
      <c r="J14" s="55"/>
      <c r="K14" s="59"/>
      <c r="L14" s="54"/>
      <c r="M14" s="48"/>
      <c r="N14" s="54"/>
      <c r="O14" s="56"/>
      <c r="P14" s="56"/>
      <c r="Q14" s="55"/>
      <c r="R14" s="55"/>
      <c r="S14" s="48"/>
      <c r="T14" s="48"/>
      <c r="U14" s="55"/>
      <c r="V14" s="55"/>
      <c r="W14" s="55"/>
      <c r="X14" s="55"/>
      <c r="Y14" s="56"/>
      <c r="Z14" s="56"/>
      <c r="AA14" s="56"/>
      <c r="AB14" s="56"/>
      <c r="AC14" s="55"/>
      <c r="AD14" s="55"/>
      <c r="AE14" s="55"/>
      <c r="AF14" s="55"/>
      <c r="AG14" s="55"/>
      <c r="AH14" s="55"/>
      <c r="AI14" s="55"/>
      <c r="AJ14" s="55"/>
    </row>
    <row r="15" spans="1:37">
      <c r="A15" s="57"/>
      <c r="B15" s="60"/>
      <c r="C15" s="48"/>
      <c r="D15" s="48"/>
      <c r="E15" s="48"/>
      <c r="F15" s="48"/>
      <c r="G15" s="48"/>
      <c r="H15" s="53"/>
      <c r="I15" s="55"/>
      <c r="J15" s="55"/>
      <c r="K15" s="48"/>
      <c r="L15" s="48"/>
      <c r="M15" s="48"/>
      <c r="N15" s="48"/>
      <c r="O15" s="56"/>
      <c r="P15" s="56"/>
      <c r="Q15" s="55"/>
      <c r="R15" s="55"/>
      <c r="S15" s="48"/>
      <c r="T15" s="48"/>
      <c r="U15" s="55"/>
      <c r="V15" s="55"/>
      <c r="W15" s="55"/>
      <c r="X15" s="55"/>
      <c r="Y15" s="56"/>
      <c r="Z15" s="56"/>
      <c r="AA15" s="56"/>
      <c r="AB15" s="56"/>
      <c r="AC15" s="55"/>
      <c r="AD15" s="55"/>
      <c r="AE15" s="55"/>
      <c r="AF15" s="55"/>
      <c r="AG15" s="55"/>
      <c r="AH15" s="55"/>
      <c r="AI15" s="55"/>
      <c r="AJ15" s="55"/>
    </row>
    <row r="16" spans="1:37">
      <c r="A16" s="57"/>
      <c r="B16" s="60"/>
      <c r="C16" s="59"/>
      <c r="D16" s="54"/>
      <c r="E16" s="48"/>
      <c r="F16" s="48"/>
      <c r="G16" s="48"/>
      <c r="H16" s="53"/>
      <c r="I16" s="55"/>
      <c r="J16" s="55"/>
      <c r="K16" s="59"/>
      <c r="L16" s="54"/>
      <c r="M16" s="48"/>
      <c r="N16" s="54"/>
      <c r="O16" s="56"/>
      <c r="P16" s="56"/>
      <c r="Q16" s="55"/>
      <c r="R16" s="55"/>
      <c r="S16" s="48"/>
      <c r="T16" s="48"/>
      <c r="U16" s="55"/>
      <c r="V16" s="55"/>
      <c r="W16" s="55"/>
      <c r="X16" s="55"/>
      <c r="Y16" s="56"/>
      <c r="Z16" s="56"/>
      <c r="AA16" s="56"/>
      <c r="AB16" s="56"/>
      <c r="AC16" s="55"/>
      <c r="AD16" s="55"/>
      <c r="AE16" s="55"/>
      <c r="AF16" s="55"/>
      <c r="AG16" s="55"/>
      <c r="AH16" s="55"/>
      <c r="AI16" s="55"/>
      <c r="AJ16" s="55"/>
    </row>
    <row r="17" spans="1:36">
      <c r="A17" s="57"/>
      <c r="B17" s="60"/>
      <c r="C17" s="48"/>
      <c r="D17" s="48"/>
      <c r="E17" s="48"/>
      <c r="F17" s="48"/>
      <c r="G17" s="48"/>
      <c r="H17" s="53"/>
      <c r="I17" s="55"/>
      <c r="J17" s="55"/>
      <c r="K17" s="48"/>
      <c r="L17" s="48"/>
      <c r="M17" s="48"/>
      <c r="N17" s="48"/>
      <c r="O17" s="56"/>
      <c r="P17" s="56"/>
      <c r="Q17" s="55"/>
      <c r="R17" s="55"/>
      <c r="S17" s="48"/>
      <c r="T17" s="48"/>
      <c r="U17" s="55"/>
      <c r="V17" s="55"/>
      <c r="W17" s="55"/>
      <c r="X17" s="55"/>
      <c r="Y17" s="56"/>
      <c r="Z17" s="56"/>
      <c r="AA17" s="56"/>
      <c r="AB17" s="56"/>
      <c r="AC17" s="55"/>
      <c r="AD17" s="55"/>
      <c r="AE17" s="55"/>
      <c r="AF17" s="55"/>
      <c r="AG17" s="55"/>
      <c r="AH17" s="55"/>
      <c r="AI17" s="55"/>
      <c r="AJ17" s="55"/>
    </row>
    <row r="18" spans="1:36">
      <c r="A18" s="57"/>
      <c r="B18" s="60"/>
      <c r="C18" s="48"/>
      <c r="D18" s="48"/>
      <c r="E18" s="48"/>
      <c r="F18" s="48"/>
      <c r="G18" s="48"/>
      <c r="H18" s="53"/>
      <c r="I18" s="55"/>
      <c r="J18" s="55"/>
      <c r="K18" s="48"/>
      <c r="L18" s="48"/>
      <c r="M18" s="48"/>
      <c r="N18" s="48"/>
      <c r="O18" s="56"/>
      <c r="P18" s="56"/>
      <c r="Q18" s="55"/>
      <c r="R18" s="55"/>
      <c r="S18" s="48"/>
      <c r="T18" s="48"/>
      <c r="U18" s="55"/>
      <c r="V18" s="55"/>
      <c r="W18" s="55"/>
      <c r="X18" s="55"/>
      <c r="Y18" s="56"/>
      <c r="Z18" s="56"/>
      <c r="AA18" s="56"/>
      <c r="AB18" s="56"/>
      <c r="AC18" s="55"/>
      <c r="AD18" s="55"/>
      <c r="AE18" s="55"/>
      <c r="AF18" s="55"/>
      <c r="AG18" s="55"/>
      <c r="AH18" s="55"/>
      <c r="AI18" s="55"/>
      <c r="AJ18" s="55"/>
    </row>
    <row r="19" spans="1:36">
      <c r="A19" s="57"/>
      <c r="B19" s="60"/>
      <c r="C19" s="48"/>
      <c r="D19" s="48"/>
      <c r="E19" s="48"/>
      <c r="F19" s="54"/>
      <c r="G19" s="48"/>
      <c r="H19" s="53"/>
      <c r="I19" s="55"/>
      <c r="J19" s="55"/>
      <c r="K19" s="48"/>
      <c r="L19" s="48"/>
      <c r="M19" s="48"/>
      <c r="N19" s="54"/>
      <c r="O19" s="56"/>
      <c r="P19" s="56"/>
      <c r="Q19" s="55"/>
      <c r="R19" s="55"/>
      <c r="S19" s="48"/>
      <c r="T19" s="48"/>
      <c r="U19" s="55"/>
      <c r="V19" s="55"/>
      <c r="W19" s="55"/>
      <c r="X19" s="55"/>
      <c r="Y19" s="56"/>
      <c r="Z19" s="56"/>
      <c r="AA19" s="56"/>
      <c r="AB19" s="56"/>
      <c r="AC19" s="55"/>
      <c r="AD19" s="55"/>
      <c r="AE19" s="55"/>
      <c r="AF19" s="55"/>
      <c r="AG19" s="55"/>
      <c r="AH19" s="55"/>
      <c r="AI19" s="55"/>
      <c r="AJ19" s="55"/>
    </row>
    <row r="20" spans="1:36">
      <c r="A20" s="57"/>
      <c r="B20" s="60"/>
      <c r="C20" s="61"/>
      <c r="D20" s="62"/>
      <c r="E20" s="48"/>
      <c r="F20" s="62"/>
      <c r="G20" s="48"/>
      <c r="H20" s="53"/>
      <c r="I20" s="55"/>
      <c r="J20" s="55"/>
      <c r="K20" s="61"/>
      <c r="L20" s="62"/>
      <c r="M20" s="48"/>
      <c r="N20" s="48"/>
      <c r="O20" s="56"/>
      <c r="P20" s="56"/>
      <c r="Q20" s="55"/>
      <c r="R20" s="55"/>
      <c r="S20" s="48"/>
      <c r="T20" s="48"/>
      <c r="U20" s="55"/>
      <c r="V20" s="55"/>
      <c r="W20" s="55"/>
      <c r="X20" s="55"/>
      <c r="Y20" s="56"/>
      <c r="Z20" s="56"/>
      <c r="AA20" s="56"/>
      <c r="AB20" s="56"/>
      <c r="AC20" s="55"/>
      <c r="AD20" s="55"/>
      <c r="AE20" s="55"/>
      <c r="AF20" s="55"/>
      <c r="AG20" s="55"/>
      <c r="AH20" s="55"/>
      <c r="AI20" s="55"/>
      <c r="AJ20" s="55"/>
    </row>
    <row r="21" spans="1:36">
      <c r="A21" s="57"/>
      <c r="B21" s="60"/>
      <c r="C21" s="59"/>
      <c r="D21" s="54"/>
      <c r="E21" s="48"/>
      <c r="F21" s="54"/>
      <c r="G21" s="48"/>
      <c r="H21" s="53"/>
      <c r="I21" s="55"/>
      <c r="J21" s="55"/>
      <c r="K21" s="59"/>
      <c r="L21" s="54"/>
      <c r="M21" s="48"/>
      <c r="N21" s="54"/>
      <c r="O21" s="56"/>
      <c r="P21" s="56"/>
      <c r="Q21" s="55"/>
      <c r="R21" s="55"/>
      <c r="S21" s="48"/>
      <c r="T21" s="48"/>
      <c r="U21" s="55"/>
      <c r="V21" s="55"/>
      <c r="W21" s="55"/>
      <c r="X21" s="55"/>
      <c r="Y21" s="56"/>
      <c r="Z21" s="56"/>
      <c r="AA21" s="56"/>
      <c r="AB21" s="56"/>
      <c r="AC21" s="55"/>
      <c r="AD21" s="55"/>
      <c r="AE21" s="55"/>
      <c r="AF21" s="55"/>
      <c r="AG21" s="55"/>
      <c r="AH21" s="55"/>
      <c r="AI21" s="55"/>
      <c r="AJ21" s="55"/>
    </row>
    <row r="22" spans="1:36">
      <c r="A22" s="57"/>
      <c r="B22" s="60"/>
      <c r="C22" s="59"/>
      <c r="D22" s="54"/>
      <c r="E22" s="48"/>
      <c r="F22" s="54"/>
      <c r="G22" s="48"/>
      <c r="H22" s="53"/>
      <c r="I22" s="55"/>
      <c r="J22" s="55"/>
      <c r="K22" s="59"/>
      <c r="L22" s="54"/>
      <c r="M22" s="48"/>
      <c r="N22" s="48"/>
      <c r="O22" s="56"/>
      <c r="P22" s="56"/>
      <c r="Q22" s="55"/>
      <c r="R22" s="55"/>
      <c r="S22" s="48"/>
      <c r="T22" s="48"/>
      <c r="U22" s="55"/>
      <c r="V22" s="55"/>
      <c r="W22" s="55"/>
      <c r="X22" s="55"/>
      <c r="Y22" s="56"/>
      <c r="Z22" s="56"/>
      <c r="AA22" s="56"/>
      <c r="AB22" s="56"/>
      <c r="AC22" s="55"/>
      <c r="AD22" s="55"/>
      <c r="AE22" s="55"/>
      <c r="AF22" s="55"/>
      <c r="AG22" s="55"/>
      <c r="AH22" s="55"/>
      <c r="AI22" s="55"/>
      <c r="AJ22" s="55"/>
    </row>
    <row r="23" spans="1:36">
      <c r="A23" s="57"/>
      <c r="B23" s="60"/>
      <c r="C23" s="59"/>
      <c r="D23" s="48"/>
      <c r="E23" s="48"/>
      <c r="F23" s="48"/>
      <c r="G23" s="48"/>
      <c r="H23" s="53"/>
      <c r="I23" s="55"/>
      <c r="J23" s="55"/>
      <c r="K23" s="59"/>
      <c r="L23" s="48"/>
      <c r="M23" s="48"/>
      <c r="N23" s="48"/>
      <c r="O23" s="56"/>
      <c r="P23" s="56"/>
      <c r="Q23" s="55"/>
      <c r="R23" s="55"/>
      <c r="S23" s="48"/>
      <c r="T23" s="48"/>
      <c r="U23" s="55"/>
      <c r="V23" s="55"/>
      <c r="W23" s="55"/>
      <c r="X23" s="55"/>
      <c r="Y23" s="56"/>
      <c r="Z23" s="56"/>
      <c r="AA23" s="56"/>
      <c r="AB23" s="56"/>
      <c r="AC23" s="55"/>
      <c r="AD23" s="55"/>
      <c r="AE23" s="55"/>
      <c r="AF23" s="55"/>
      <c r="AG23" s="55"/>
      <c r="AH23" s="55"/>
      <c r="AI23" s="55"/>
      <c r="AJ23" s="55"/>
    </row>
    <row r="24" spans="1:36">
      <c r="A24" s="57"/>
      <c r="B24" s="60"/>
      <c r="C24" s="59"/>
      <c r="D24" s="54"/>
      <c r="E24" s="48"/>
      <c r="F24" s="48"/>
      <c r="G24" s="48"/>
      <c r="H24" s="53"/>
      <c r="I24" s="55"/>
      <c r="J24" s="55"/>
      <c r="K24" s="59"/>
      <c r="L24" s="54"/>
      <c r="M24" s="48"/>
      <c r="N24" s="48"/>
      <c r="O24" s="56"/>
      <c r="P24" s="56"/>
      <c r="Q24" s="55"/>
      <c r="R24" s="55"/>
      <c r="S24" s="48"/>
      <c r="T24" s="48"/>
      <c r="U24" s="55"/>
      <c r="V24" s="55"/>
      <c r="W24" s="55"/>
      <c r="X24" s="55"/>
      <c r="Y24" s="56"/>
      <c r="Z24" s="56"/>
      <c r="AA24" s="56"/>
      <c r="AB24" s="56"/>
      <c r="AC24" s="55"/>
      <c r="AD24" s="55"/>
      <c r="AE24" s="55"/>
      <c r="AF24" s="55"/>
      <c r="AG24" s="55"/>
      <c r="AH24" s="55"/>
      <c r="AI24" s="55"/>
      <c r="AJ24" s="55"/>
    </row>
    <row r="25" spans="1:36">
      <c r="A25" s="57"/>
      <c r="B25" s="60"/>
      <c r="C25" s="48"/>
      <c r="D25" s="48"/>
      <c r="E25" s="48"/>
      <c r="F25" s="48"/>
      <c r="G25" s="48"/>
      <c r="H25" s="53"/>
      <c r="I25" s="55"/>
      <c r="J25" s="55"/>
      <c r="K25" s="48"/>
      <c r="L25" s="48"/>
      <c r="M25" s="48"/>
      <c r="N25" s="48"/>
      <c r="O25" s="56"/>
      <c r="P25" s="56"/>
      <c r="Q25" s="55"/>
      <c r="R25" s="55"/>
      <c r="S25" s="48"/>
      <c r="T25" s="48"/>
      <c r="U25" s="55"/>
      <c r="V25" s="55"/>
      <c r="W25" s="55"/>
      <c r="X25" s="55"/>
      <c r="Y25" s="56"/>
      <c r="Z25" s="56"/>
      <c r="AA25" s="56"/>
      <c r="AB25" s="56"/>
      <c r="AC25" s="55"/>
      <c r="AD25" s="55"/>
      <c r="AE25" s="55"/>
      <c r="AF25" s="55"/>
      <c r="AG25" s="55"/>
      <c r="AH25" s="55"/>
      <c r="AI25" s="55"/>
      <c r="AJ25" s="55"/>
    </row>
    <row r="26" spans="1:36">
      <c r="A26" s="57"/>
      <c r="B26" s="60"/>
      <c r="C26" s="48"/>
      <c r="D26" s="48"/>
      <c r="E26" s="48"/>
      <c r="F26" s="54"/>
      <c r="G26" s="48"/>
      <c r="H26" s="53"/>
      <c r="I26" s="55"/>
      <c r="J26" s="55"/>
      <c r="K26" s="48"/>
      <c r="L26" s="48"/>
      <c r="M26" s="48"/>
      <c r="N26" s="54"/>
      <c r="O26" s="56"/>
      <c r="P26" s="56"/>
      <c r="Q26" s="55"/>
      <c r="R26" s="55"/>
      <c r="S26" s="48"/>
      <c r="T26" s="48"/>
      <c r="U26" s="55"/>
      <c r="V26" s="55"/>
      <c r="W26" s="55"/>
      <c r="X26" s="55"/>
      <c r="Y26" s="56"/>
      <c r="Z26" s="56"/>
      <c r="AA26" s="56"/>
      <c r="AB26" s="56"/>
      <c r="AC26" s="55"/>
      <c r="AD26" s="55"/>
      <c r="AE26" s="55"/>
      <c r="AF26" s="55"/>
      <c r="AG26" s="55"/>
      <c r="AH26" s="55"/>
      <c r="AI26" s="55"/>
      <c r="AJ26" s="55"/>
    </row>
    <row r="27" spans="1:36">
      <c r="A27" s="57"/>
      <c r="B27" s="60"/>
      <c r="C27" s="48"/>
      <c r="D27" s="48"/>
      <c r="E27" s="48"/>
      <c r="F27" s="54"/>
      <c r="G27" s="48"/>
      <c r="H27" s="53"/>
      <c r="I27" s="55"/>
      <c r="J27" s="48"/>
      <c r="K27" s="48"/>
      <c r="L27" s="48"/>
      <c r="M27" s="48"/>
      <c r="N27" s="54"/>
      <c r="O27" s="56"/>
      <c r="P27" s="56"/>
      <c r="Q27" s="55"/>
      <c r="R27" s="55"/>
      <c r="S27" s="48"/>
      <c r="T27" s="48"/>
      <c r="U27" s="55"/>
      <c r="V27" s="55"/>
      <c r="W27" s="55"/>
      <c r="X27" s="55"/>
      <c r="Y27" s="56"/>
      <c r="Z27" s="56"/>
      <c r="AA27" s="56"/>
      <c r="AB27" s="56"/>
      <c r="AC27" s="55"/>
      <c r="AD27" s="55"/>
      <c r="AE27" s="55"/>
      <c r="AF27" s="55"/>
      <c r="AG27" s="55"/>
      <c r="AH27" s="55"/>
      <c r="AI27" s="55"/>
      <c r="AJ27" s="55"/>
    </row>
    <row r="28" spans="1:36">
      <c r="A28" s="57"/>
      <c r="B28" s="60"/>
      <c r="C28" s="59"/>
      <c r="D28" s="48"/>
      <c r="E28" s="48"/>
      <c r="F28" s="48"/>
      <c r="G28" s="48"/>
      <c r="H28" s="53"/>
      <c r="I28" s="55"/>
      <c r="J28" s="55"/>
      <c r="K28" s="59"/>
      <c r="L28" s="48"/>
      <c r="M28" s="48"/>
      <c r="N28" s="48"/>
      <c r="O28" s="56"/>
      <c r="P28" s="56"/>
      <c r="Q28" s="55"/>
      <c r="R28" s="55"/>
      <c r="S28" s="48"/>
      <c r="T28" s="48"/>
      <c r="U28" s="55"/>
      <c r="V28" s="55"/>
      <c r="W28" s="55"/>
      <c r="X28" s="55"/>
      <c r="Y28" s="56"/>
      <c r="Z28" s="56"/>
      <c r="AA28" s="56"/>
      <c r="AB28" s="56"/>
      <c r="AC28" s="55"/>
      <c r="AD28" s="55"/>
      <c r="AE28" s="55"/>
      <c r="AF28" s="55"/>
      <c r="AG28" s="55"/>
      <c r="AH28" s="55"/>
      <c r="AI28" s="55"/>
      <c r="AJ28" s="55"/>
    </row>
    <row r="29" spans="1:36">
      <c r="A29" s="57"/>
      <c r="B29" s="60"/>
      <c r="C29" s="48"/>
      <c r="D29" s="48"/>
      <c r="E29" s="48"/>
      <c r="F29" s="48"/>
      <c r="G29" s="48"/>
      <c r="H29" s="53"/>
      <c r="I29" s="55"/>
      <c r="J29" s="55"/>
      <c r="K29" s="48"/>
      <c r="L29" s="48"/>
      <c r="M29" s="48"/>
      <c r="N29" s="48"/>
      <c r="O29" s="56"/>
      <c r="P29" s="56"/>
      <c r="Q29" s="55"/>
      <c r="R29" s="55"/>
      <c r="S29" s="48"/>
      <c r="T29" s="48"/>
      <c r="U29" s="55"/>
      <c r="V29" s="55"/>
      <c r="W29" s="55"/>
      <c r="X29" s="55"/>
      <c r="Y29" s="56"/>
      <c r="Z29" s="56"/>
      <c r="AA29" s="56"/>
      <c r="AB29" s="56"/>
      <c r="AC29" s="55"/>
      <c r="AD29" s="55"/>
      <c r="AE29" s="55"/>
      <c r="AF29" s="55"/>
      <c r="AG29" s="55"/>
      <c r="AH29" s="55"/>
      <c r="AI29" s="55"/>
      <c r="AJ29" s="55"/>
    </row>
    <row r="30" spans="1:36">
      <c r="A30" s="57"/>
      <c r="B30" s="60"/>
      <c r="C30" s="59"/>
      <c r="D30" s="54"/>
      <c r="E30" s="48"/>
      <c r="F30" s="54"/>
      <c r="G30" s="48"/>
      <c r="H30" s="53"/>
      <c r="I30" s="55"/>
      <c r="J30" s="59"/>
      <c r="K30" s="59"/>
      <c r="L30" s="54"/>
      <c r="M30" s="48"/>
      <c r="N30" s="54"/>
      <c r="O30" s="56"/>
      <c r="P30" s="56"/>
      <c r="Q30" s="55"/>
      <c r="R30" s="55"/>
      <c r="S30" s="48"/>
      <c r="T30" s="48"/>
      <c r="U30" s="55"/>
      <c r="V30" s="55"/>
      <c r="W30" s="55"/>
      <c r="X30" s="55"/>
      <c r="Y30" s="56"/>
      <c r="Z30" s="56"/>
      <c r="AA30" s="56"/>
      <c r="AB30" s="56"/>
      <c r="AC30" s="55"/>
      <c r="AD30" s="55"/>
      <c r="AE30" s="55"/>
      <c r="AF30" s="55"/>
      <c r="AG30" s="55"/>
      <c r="AH30" s="55"/>
      <c r="AI30" s="55"/>
      <c r="AJ30" s="55"/>
    </row>
    <row r="31" spans="1:36">
      <c r="A31" s="57"/>
      <c r="B31" s="60"/>
      <c r="C31" s="48"/>
      <c r="D31" s="48"/>
      <c r="E31" s="48"/>
      <c r="F31" s="48"/>
      <c r="G31" s="48"/>
      <c r="H31" s="53"/>
      <c r="I31" s="55"/>
      <c r="J31" s="55"/>
      <c r="K31" s="48"/>
      <c r="L31" s="48"/>
      <c r="M31" s="48"/>
      <c r="N31" s="48"/>
      <c r="O31" s="56"/>
      <c r="P31" s="56"/>
      <c r="Q31" s="55"/>
      <c r="R31" s="55"/>
      <c r="S31" s="48"/>
      <c r="T31" s="48"/>
      <c r="U31" s="55"/>
      <c r="V31" s="55"/>
      <c r="W31" s="55"/>
      <c r="X31" s="55"/>
      <c r="Y31" s="56"/>
      <c r="Z31" s="56"/>
      <c r="AA31" s="56"/>
      <c r="AB31" s="56"/>
      <c r="AC31" s="55"/>
      <c r="AD31" s="55"/>
      <c r="AE31" s="55"/>
      <c r="AF31" s="55"/>
      <c r="AG31" s="55"/>
      <c r="AH31" s="55"/>
      <c r="AI31" s="55"/>
      <c r="AJ31" s="55"/>
    </row>
    <row r="32" spans="1:36">
      <c r="A32" s="57"/>
      <c r="B32" s="60"/>
      <c r="C32" s="59"/>
      <c r="D32" s="54"/>
      <c r="E32" s="48"/>
      <c r="F32" s="54"/>
      <c r="G32" s="48"/>
      <c r="H32" s="53"/>
      <c r="I32" s="55"/>
      <c r="J32" s="59"/>
      <c r="K32" s="59"/>
      <c r="L32" s="48"/>
      <c r="M32" s="48"/>
      <c r="N32" s="54"/>
      <c r="O32" s="56"/>
      <c r="P32" s="56"/>
      <c r="Q32" s="55"/>
      <c r="R32" s="55"/>
      <c r="S32" s="48"/>
      <c r="T32" s="48"/>
      <c r="U32" s="55"/>
      <c r="V32" s="55"/>
      <c r="W32" s="55"/>
      <c r="X32" s="55"/>
      <c r="Y32" s="56"/>
      <c r="Z32" s="56"/>
      <c r="AA32" s="56"/>
      <c r="AB32" s="56"/>
      <c r="AC32" s="55"/>
      <c r="AD32" s="55"/>
      <c r="AE32" s="55"/>
      <c r="AF32" s="55"/>
      <c r="AG32" s="55"/>
      <c r="AH32" s="55"/>
      <c r="AI32" s="55"/>
      <c r="AJ32" s="55"/>
    </row>
    <row r="33" spans="1:40">
      <c r="A33" s="57"/>
      <c r="B33" s="60"/>
      <c r="C33" s="59"/>
      <c r="D33" s="54"/>
      <c r="E33" s="48"/>
      <c r="F33" s="54"/>
      <c r="G33" s="48"/>
      <c r="H33" s="53"/>
      <c r="I33" s="55"/>
      <c r="J33" s="59"/>
      <c r="K33" s="59"/>
      <c r="L33" s="54"/>
      <c r="M33" s="48"/>
      <c r="N33" s="54"/>
      <c r="O33" s="56"/>
      <c r="P33" s="56"/>
      <c r="Q33" s="55"/>
      <c r="R33" s="55"/>
      <c r="S33" s="48"/>
      <c r="T33" s="48"/>
      <c r="U33" s="55"/>
      <c r="V33" s="55"/>
      <c r="W33" s="55"/>
      <c r="X33" s="55"/>
      <c r="Y33" s="56"/>
      <c r="Z33" s="56"/>
      <c r="AA33" s="56"/>
      <c r="AB33" s="56"/>
      <c r="AC33" s="55"/>
      <c r="AD33" s="55"/>
      <c r="AE33" s="55"/>
      <c r="AF33" s="55"/>
      <c r="AG33" s="55"/>
      <c r="AH33" s="55"/>
      <c r="AI33" s="55"/>
      <c r="AJ33" s="55"/>
    </row>
    <row r="34" spans="1:40">
      <c r="A34" s="57"/>
      <c r="B34" s="60"/>
      <c r="C34" s="59"/>
      <c r="D34" s="54"/>
      <c r="E34" s="48"/>
      <c r="F34" s="54"/>
      <c r="G34" s="48"/>
      <c r="H34" s="53"/>
      <c r="I34" s="55"/>
      <c r="J34" s="59"/>
      <c r="K34" s="59"/>
      <c r="L34" s="54"/>
      <c r="M34" s="48"/>
      <c r="N34" s="54"/>
      <c r="O34" s="56"/>
      <c r="P34" s="56"/>
      <c r="Q34" s="55"/>
      <c r="R34" s="55"/>
      <c r="S34" s="48"/>
      <c r="T34" s="48"/>
      <c r="U34" s="55"/>
      <c r="V34" s="55"/>
      <c r="W34" s="55"/>
      <c r="X34" s="55"/>
      <c r="Y34" s="56"/>
      <c r="Z34" s="56"/>
      <c r="AA34" s="56"/>
      <c r="AB34" s="56"/>
      <c r="AC34" s="55"/>
      <c r="AD34" s="55"/>
      <c r="AE34" s="55"/>
      <c r="AF34" s="55"/>
      <c r="AG34" s="55"/>
      <c r="AH34" s="55"/>
      <c r="AI34" s="55"/>
      <c r="AJ34" s="55"/>
    </row>
    <row r="35" spans="1:40">
      <c r="A35" s="57"/>
      <c r="B35" s="58"/>
      <c r="C35" s="59"/>
      <c r="D35" s="54"/>
      <c r="E35" s="48"/>
      <c r="F35" s="54"/>
      <c r="G35" s="48"/>
      <c r="H35" s="53"/>
      <c r="I35" s="55"/>
      <c r="J35" s="59"/>
      <c r="K35" s="59"/>
      <c r="L35" s="54"/>
      <c r="M35" s="48"/>
      <c r="N35" s="54"/>
      <c r="O35" s="56"/>
      <c r="P35" s="56"/>
      <c r="Q35" s="55"/>
      <c r="R35" s="55"/>
      <c r="S35" s="48"/>
      <c r="T35" s="48"/>
      <c r="U35" s="55"/>
      <c r="V35" s="55"/>
      <c r="W35" s="55"/>
      <c r="X35" s="55"/>
      <c r="Y35" s="56"/>
      <c r="Z35" s="56"/>
      <c r="AA35" s="56"/>
      <c r="AB35" s="56"/>
      <c r="AC35" s="55"/>
      <c r="AD35" s="55"/>
      <c r="AE35" s="55"/>
      <c r="AF35" s="55"/>
      <c r="AG35" s="55"/>
      <c r="AH35" s="55"/>
      <c r="AI35" s="55"/>
      <c r="AJ35" s="55"/>
    </row>
    <row r="36" spans="1:40">
      <c r="A36" s="57"/>
      <c r="B36" s="60"/>
      <c r="C36" s="48"/>
      <c r="D36" s="48"/>
      <c r="E36" s="48"/>
      <c r="F36" s="48"/>
      <c r="G36" s="48"/>
      <c r="H36" s="53"/>
      <c r="I36" s="55"/>
      <c r="J36" s="55"/>
      <c r="K36" s="48"/>
      <c r="L36" s="48"/>
      <c r="M36" s="48"/>
      <c r="N36" s="54"/>
      <c r="O36" s="56"/>
      <c r="P36" s="56"/>
      <c r="Q36" s="55"/>
      <c r="R36" s="55"/>
      <c r="S36" s="48"/>
      <c r="T36" s="48"/>
      <c r="U36" s="55"/>
      <c r="V36" s="55"/>
      <c r="W36" s="55"/>
      <c r="X36" s="55"/>
      <c r="Y36" s="56"/>
      <c r="Z36" s="56"/>
      <c r="AA36" s="56"/>
      <c r="AB36" s="56"/>
      <c r="AC36" s="55"/>
      <c r="AD36" s="55"/>
      <c r="AE36" s="55"/>
      <c r="AF36" s="55"/>
      <c r="AG36" s="55"/>
      <c r="AH36" s="55"/>
      <c r="AI36" s="55"/>
      <c r="AJ36" s="55"/>
    </row>
    <row r="37" spans="1:40">
      <c r="A37" s="63"/>
      <c r="B37" s="64"/>
      <c r="C37" s="62"/>
      <c r="D37" s="62"/>
      <c r="E37" s="48"/>
      <c r="F37" s="48"/>
      <c r="G37" s="48"/>
      <c r="H37" s="53"/>
      <c r="I37" s="55"/>
      <c r="J37" s="55"/>
      <c r="K37" s="62"/>
      <c r="L37" s="62"/>
      <c r="M37" s="48"/>
      <c r="N37" s="48"/>
      <c r="O37" s="56"/>
      <c r="P37" s="56"/>
      <c r="Q37" s="55"/>
      <c r="R37" s="55"/>
      <c r="S37" s="48"/>
      <c r="T37" s="48"/>
      <c r="U37" s="55"/>
      <c r="V37" s="55"/>
      <c r="W37" s="55"/>
      <c r="X37" s="55"/>
      <c r="Y37" s="56"/>
      <c r="Z37" s="56"/>
      <c r="AA37" s="56"/>
      <c r="AB37" s="56"/>
      <c r="AC37" s="55"/>
      <c r="AD37" s="55"/>
      <c r="AE37" s="55"/>
      <c r="AF37" s="55"/>
      <c r="AG37" s="55"/>
      <c r="AH37" s="55"/>
      <c r="AI37" s="55"/>
      <c r="AJ37" s="55"/>
    </row>
    <row r="38" spans="1:40" ht="15.75" thickBot="1">
      <c r="A38" s="65"/>
      <c r="B38" s="66"/>
      <c r="C38" s="67"/>
      <c r="D38" s="62"/>
      <c r="E38" s="48"/>
      <c r="F38" s="48"/>
      <c r="G38" s="48"/>
      <c r="H38" s="53"/>
      <c r="I38" s="55"/>
      <c r="J38" s="55"/>
      <c r="K38" s="67"/>
      <c r="L38" s="67"/>
      <c r="M38" s="48"/>
      <c r="N38" s="48"/>
      <c r="O38" s="56"/>
      <c r="P38" s="56"/>
      <c r="Q38" s="55"/>
      <c r="R38" s="55"/>
      <c r="S38" s="48"/>
      <c r="T38" s="48"/>
      <c r="U38" s="55"/>
      <c r="V38" s="55"/>
      <c r="W38" s="55"/>
      <c r="X38" s="55"/>
      <c r="Y38" s="56"/>
      <c r="Z38" s="56"/>
      <c r="AA38" s="56"/>
      <c r="AB38" s="56"/>
      <c r="AC38" s="55"/>
      <c r="AD38" s="55"/>
      <c r="AE38" s="55"/>
      <c r="AF38" s="55"/>
      <c r="AG38" s="55"/>
      <c r="AH38" s="55"/>
      <c r="AI38" s="55"/>
      <c r="AJ38" s="55"/>
    </row>
    <row r="39" spans="1:40">
      <c r="A39" s="50"/>
      <c r="B39" s="68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</row>
    <row r="40" spans="1:40">
      <c r="A40" s="101" t="s">
        <v>100</v>
      </c>
      <c r="B40" s="101"/>
      <c r="C40" s="71">
        <f>COUNTIF(C8:C38,"X")</f>
        <v>0</v>
      </c>
      <c r="D40" s="71" t="e">
        <f>AVERAGE(D8:D38)</f>
        <v>#DIV/0!</v>
      </c>
      <c r="E40" s="71">
        <f>COUNTIF(E8:E38,"X")</f>
        <v>0</v>
      </c>
      <c r="F40" s="71" t="e">
        <f>AVERAGE(F8:F38)</f>
        <v>#DIV/0!</v>
      </c>
      <c r="G40" s="71">
        <f>COUNTIF(G8:G38,"X")</f>
        <v>0</v>
      </c>
      <c r="H40" s="71" t="e">
        <f>AVERAGE(H8:H38)</f>
        <v>#DIV/0!</v>
      </c>
      <c r="I40" s="71">
        <f>COUNTIF(I8:I38,"X")</f>
        <v>0</v>
      </c>
      <c r="J40" s="72" t="e">
        <f>AVERAGE(J8:J38)</f>
        <v>#DIV/0!</v>
      </c>
      <c r="K40" s="71">
        <f>COUNTIF(K8:K38,"X")</f>
        <v>0</v>
      </c>
      <c r="L40" s="71" t="e">
        <f>AVERAGE(L8:L38)</f>
        <v>#DIV/0!</v>
      </c>
      <c r="M40" s="71">
        <f>COUNTIF(M8:M38,"X")</f>
        <v>0</v>
      </c>
      <c r="N40" s="71" t="e">
        <f>AVERAGE(N8:N38)</f>
        <v>#DIV/0!</v>
      </c>
      <c r="O40" s="71">
        <f>COUNTIF(O8:O38,"X")</f>
        <v>0</v>
      </c>
      <c r="P40" s="71">
        <f>COUNTIF(P8:P38,"X")</f>
        <v>0</v>
      </c>
      <c r="Q40" s="71">
        <f>COUNTIF(Q8:Q38,"X")</f>
        <v>0</v>
      </c>
      <c r="R40" s="71" t="e">
        <f>AVERAGE(R8:R38)</f>
        <v>#DIV/0!</v>
      </c>
      <c r="S40" s="71">
        <f>COUNTIF(S8:S38,"X")</f>
        <v>0</v>
      </c>
      <c r="T40" s="71" t="e">
        <f>AVERAGE(T8:T38)</f>
        <v>#DIV/0!</v>
      </c>
      <c r="U40" s="71">
        <f>COUNTIF(U8:U38,"X")</f>
        <v>0</v>
      </c>
      <c r="V40" s="71" t="e">
        <f>AVERAGE(V8:V38)</f>
        <v>#DIV/0!</v>
      </c>
      <c r="W40" s="71">
        <f>COUNTIF(W8:W38,"X")</f>
        <v>0</v>
      </c>
      <c r="X40" s="71" t="e">
        <f>AVERAGE(X8:X38)</f>
        <v>#DIV/0!</v>
      </c>
      <c r="Y40" s="71">
        <f>COUNTIF(Y8:Y38,"X")</f>
        <v>0</v>
      </c>
      <c r="Z40" s="71" t="e">
        <f>AVERAGE(Z8:Z38)</f>
        <v>#DIV/0!</v>
      </c>
      <c r="AA40" s="71">
        <f>COUNTIF(AA8:AA38,"X")</f>
        <v>0</v>
      </c>
      <c r="AB40" s="71" t="e">
        <f>AVERAGE(AB8:AB38)</f>
        <v>#DIV/0!</v>
      </c>
      <c r="AC40" s="71">
        <f>COUNTIF(AC8:AC38,"X")</f>
        <v>0</v>
      </c>
      <c r="AD40" s="71" t="e">
        <f>AVERAGE(AD8:AD38)</f>
        <v>#DIV/0!</v>
      </c>
      <c r="AE40" s="71">
        <f>COUNTIF(AE8:AE38,"X")</f>
        <v>0</v>
      </c>
      <c r="AF40" s="71" t="e">
        <f>AVERAGE(AF8:AF38)</f>
        <v>#DIV/0!</v>
      </c>
      <c r="AG40" s="71">
        <f>COUNTIF(AG8:AG38,"X")</f>
        <v>0</v>
      </c>
      <c r="AH40" s="71" t="e">
        <f>AVERAGE(AH8:AH38)</f>
        <v>#DIV/0!</v>
      </c>
      <c r="AI40" s="71">
        <f>COUNTIF(AI8:AI38,"X")</f>
        <v>0</v>
      </c>
      <c r="AJ40" s="71" t="e">
        <f>AVERAGE(AJ8:AJ38)</f>
        <v>#DIV/0!</v>
      </c>
      <c r="AL40" s="40">
        <f>AVERAGE(C40+E40+G40+I40+K40+M40+O40+Q40+S40+U40+W40+Y40+AA40+AC40+AE40+AG40+AI40)</f>
        <v>0</v>
      </c>
    </row>
    <row r="41" spans="1:40">
      <c r="A41" s="102" t="s">
        <v>107</v>
      </c>
      <c r="B41" s="102"/>
      <c r="C41" s="71">
        <f>COUNTIF(C8:C38,"S/C")</f>
        <v>0</v>
      </c>
      <c r="D41" s="71">
        <f>C41</f>
        <v>0</v>
      </c>
      <c r="E41" s="71">
        <f>COUNTIF(E8:E38,"S/C")</f>
        <v>0</v>
      </c>
      <c r="F41" s="71">
        <f>COUNTIF(F8:F38,"&lt;80")</f>
        <v>0</v>
      </c>
      <c r="G41" s="71">
        <f>COUNTIF(G8:G38,"S/C")</f>
        <v>0</v>
      </c>
      <c r="H41" s="71">
        <f>COUNTIF(H8:H38,"&lt;80")</f>
        <v>0</v>
      </c>
      <c r="I41" s="71">
        <f>COUNTIF(I8:I38,"S/C")</f>
        <v>0</v>
      </c>
      <c r="J41" s="71">
        <f>COUNTIF(J8:J38,"&lt;80")</f>
        <v>0</v>
      </c>
      <c r="K41" s="71">
        <f>COUNTIF(K8:K38,"S/C")</f>
        <v>0</v>
      </c>
      <c r="L41" s="71">
        <f>COUNTIF(L8:L38,"&lt;80")</f>
        <v>0</v>
      </c>
      <c r="M41" s="71">
        <f>COUNTIF(M8:M38,"S/C")</f>
        <v>0</v>
      </c>
      <c r="N41" s="71">
        <f>COUNTIF(N8:N38,"&lt;80")</f>
        <v>0</v>
      </c>
      <c r="O41" s="71">
        <f>COUNTIF(O8:O38,"S/C")</f>
        <v>0</v>
      </c>
      <c r="P41" s="71">
        <f>COUNTIF(P8:P38,"&lt;80")</f>
        <v>0</v>
      </c>
      <c r="Q41" s="71">
        <f>COUNTIF(Q8:Q38,"S/C")</f>
        <v>0</v>
      </c>
      <c r="R41" s="71">
        <f>COUNTIF(R8:R38,"&lt;80")</f>
        <v>0</v>
      </c>
      <c r="S41" s="71">
        <f>COUNTIF(S8:S38,"S/C")</f>
        <v>0</v>
      </c>
      <c r="T41" s="71">
        <f>COUNTIF(T8:T38,"&lt;80")</f>
        <v>0</v>
      </c>
      <c r="U41" s="71">
        <f>COUNTIF(U8:U38,"S/C")</f>
        <v>0</v>
      </c>
      <c r="V41" s="71">
        <f>COUNTIF(V8:V38,"&lt;80")</f>
        <v>0</v>
      </c>
      <c r="W41" s="71">
        <f>COUNTIF(W8:W38,"S/C")</f>
        <v>0</v>
      </c>
      <c r="X41" s="71">
        <f>COUNTIF(X8:X38,"&lt;80")</f>
        <v>0</v>
      </c>
      <c r="Y41" s="71">
        <f>COUNTIF(Y8:Y38,"S/C")</f>
        <v>0</v>
      </c>
      <c r="Z41" s="71">
        <f>COUNTIF(Z8:Z38,"&lt;80")</f>
        <v>0</v>
      </c>
      <c r="AA41" s="71">
        <f>COUNTIF(AA8:AA38,"S/C")</f>
        <v>0</v>
      </c>
      <c r="AB41" s="71">
        <f>COUNTIF(AB8:AB38,"&lt;80")</f>
        <v>0</v>
      </c>
      <c r="AC41" s="71">
        <f>COUNTIF(AC8:AC38,"S/C")</f>
        <v>0</v>
      </c>
      <c r="AD41" s="71">
        <f>COUNTIF(AD8:AD38,"&lt;80")</f>
        <v>0</v>
      </c>
      <c r="AE41" s="71">
        <f>COUNTIF(AE8:AE38,"S/C")</f>
        <v>0</v>
      </c>
      <c r="AF41" s="71">
        <f>COUNTIF(AF8:AF38,"&lt;80")</f>
        <v>0</v>
      </c>
      <c r="AG41" s="71">
        <f>COUNTIF(AG8:AG38,"S/C")</f>
        <v>0</v>
      </c>
      <c r="AH41" s="71">
        <f>COUNTIF(AH8:AH38,"&lt;80")</f>
        <v>0</v>
      </c>
      <c r="AI41" s="71">
        <f>COUNTIF(AI8:AI38,"S/C")</f>
        <v>0</v>
      </c>
      <c r="AJ41" s="71">
        <f>COUNTIF(AJ8:AJ38,"&lt;80")</f>
        <v>0</v>
      </c>
      <c r="AL41">
        <f>SUM(C41:AJ41)</f>
        <v>0</v>
      </c>
    </row>
    <row r="42" spans="1:40">
      <c r="A42" s="102" t="s">
        <v>102</v>
      </c>
      <c r="B42" s="102"/>
      <c r="C42" s="71">
        <f>COUNTIF(C8:C38,"NA")</f>
        <v>0</v>
      </c>
      <c r="D42" s="71">
        <f>C42</f>
        <v>0</v>
      </c>
      <c r="E42" s="71">
        <f t="shared" ref="E42:AJ42" si="0">COUNTIF(E8:E38,"NA")</f>
        <v>0</v>
      </c>
      <c r="F42" s="71">
        <f t="shared" si="0"/>
        <v>0</v>
      </c>
      <c r="G42" s="71">
        <f t="shared" si="0"/>
        <v>0</v>
      </c>
      <c r="H42" s="71">
        <f t="shared" si="0"/>
        <v>0</v>
      </c>
      <c r="I42" s="71">
        <f t="shared" si="0"/>
        <v>0</v>
      </c>
      <c r="J42" s="71">
        <f t="shared" si="0"/>
        <v>0</v>
      </c>
      <c r="K42" s="71">
        <f t="shared" si="0"/>
        <v>0</v>
      </c>
      <c r="L42" s="71">
        <f t="shared" si="0"/>
        <v>0</v>
      </c>
      <c r="M42" s="71">
        <f t="shared" si="0"/>
        <v>0</v>
      </c>
      <c r="N42" s="71">
        <f t="shared" si="0"/>
        <v>0</v>
      </c>
      <c r="O42" s="71">
        <f t="shared" si="0"/>
        <v>0</v>
      </c>
      <c r="P42" s="71">
        <f t="shared" si="0"/>
        <v>0</v>
      </c>
      <c r="Q42" s="71">
        <f t="shared" si="0"/>
        <v>0</v>
      </c>
      <c r="R42" s="71">
        <f t="shared" si="0"/>
        <v>0</v>
      </c>
      <c r="S42" s="71">
        <f t="shared" si="0"/>
        <v>0</v>
      </c>
      <c r="T42" s="71">
        <f t="shared" si="0"/>
        <v>0</v>
      </c>
      <c r="U42" s="71">
        <f t="shared" si="0"/>
        <v>0</v>
      </c>
      <c r="V42" s="71">
        <f t="shared" si="0"/>
        <v>0</v>
      </c>
      <c r="W42" s="71">
        <f t="shared" si="0"/>
        <v>0</v>
      </c>
      <c r="X42" s="71">
        <f t="shared" si="0"/>
        <v>0</v>
      </c>
      <c r="Y42" s="71">
        <f t="shared" si="0"/>
        <v>0</v>
      </c>
      <c r="Z42" s="71">
        <f t="shared" si="0"/>
        <v>0</v>
      </c>
      <c r="AA42" s="71">
        <f t="shared" si="0"/>
        <v>0</v>
      </c>
      <c r="AB42" s="71">
        <f t="shared" si="0"/>
        <v>0</v>
      </c>
      <c r="AC42" s="71">
        <f t="shared" si="0"/>
        <v>0</v>
      </c>
      <c r="AD42" s="71">
        <f t="shared" si="0"/>
        <v>0</v>
      </c>
      <c r="AE42" s="71">
        <f t="shared" si="0"/>
        <v>0</v>
      </c>
      <c r="AF42" s="71">
        <f t="shared" si="0"/>
        <v>0</v>
      </c>
      <c r="AG42" s="71">
        <f t="shared" si="0"/>
        <v>0</v>
      </c>
      <c r="AH42" s="71">
        <f t="shared" si="0"/>
        <v>0</v>
      </c>
      <c r="AI42" s="71">
        <f t="shared" si="0"/>
        <v>0</v>
      </c>
      <c r="AJ42" s="71">
        <f t="shared" si="0"/>
        <v>0</v>
      </c>
    </row>
    <row r="43" spans="1:40" ht="17.25" customHeight="1">
      <c r="A43" s="103" t="s">
        <v>108</v>
      </c>
      <c r="B43" s="103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L43" s="43">
        <f>SUM(C43:AJ43)</f>
        <v>0</v>
      </c>
    </row>
    <row r="44" spans="1:40">
      <c r="A44" s="50"/>
      <c r="B44" s="74" t="s">
        <v>103</v>
      </c>
      <c r="C44" s="49" t="e">
        <f>C40/(SUM(C40:C42)-C42)*100</f>
        <v>#DIV/0!</v>
      </c>
      <c r="D44" s="49"/>
      <c r="E44" s="49" t="e">
        <f>E40/(SUM(E40:E42)-E42)*100</f>
        <v>#DIV/0!</v>
      </c>
      <c r="F44" s="49"/>
      <c r="G44" s="49" t="e">
        <f>G40/(SUM(G40:G42)-G42)*100</f>
        <v>#DIV/0!</v>
      </c>
      <c r="H44" s="49"/>
      <c r="I44" s="49" t="e">
        <f>I40/(SUM(I40:I42)-I42)*100</f>
        <v>#DIV/0!</v>
      </c>
      <c r="J44" s="49"/>
      <c r="K44" s="49" t="e">
        <f>K40/(SUM(K40:K42)-K42)*100</f>
        <v>#DIV/0!</v>
      </c>
      <c r="L44" s="49"/>
      <c r="M44" s="49" t="e">
        <f>M40/(SUM(M40:M42)-M42)*100</f>
        <v>#DIV/0!</v>
      </c>
      <c r="N44" s="49"/>
      <c r="O44" s="49"/>
      <c r="P44" s="49"/>
      <c r="Q44" s="49" t="e">
        <f>Q40/(SUM(Q40:Q42)-Q42)*100</f>
        <v>#DIV/0!</v>
      </c>
      <c r="R44" s="49"/>
      <c r="S44" s="49" t="e">
        <f>S40/(SUM(S40:S42)-S42)*100</f>
        <v>#DIV/0!</v>
      </c>
      <c r="T44" s="49"/>
      <c r="U44" s="49"/>
      <c r="V44" s="49"/>
      <c r="W44" s="49" t="e">
        <f>W40/(SUM(W40:W42)-W42)*100</f>
        <v>#DIV/0!</v>
      </c>
      <c r="X44" s="49"/>
      <c r="Y44" s="49"/>
      <c r="Z44" s="49"/>
      <c r="AA44" s="49"/>
      <c r="AB44" s="49"/>
      <c r="AC44" s="49"/>
      <c r="AD44" s="49"/>
      <c r="AE44" s="49" t="e">
        <f>AE40/(SUM(AE40:AE42)-AE42)*100</f>
        <v>#DIV/0!</v>
      </c>
      <c r="AF44" s="49"/>
      <c r="AG44" s="49" t="e">
        <f>AG40/(SUM(AG40:AG42)-AG42)*100</f>
        <v>#DIV/0!</v>
      </c>
      <c r="AH44" s="49"/>
      <c r="AI44" s="49" t="e">
        <f>AI40/(SUM(AI40:AI42)-AI42)*100</f>
        <v>#DIV/0!</v>
      </c>
      <c r="AJ44" s="49"/>
      <c r="AL44" s="40" t="e">
        <f>AVERAGE(C44:AJ44)</f>
        <v>#DIV/0!</v>
      </c>
      <c r="AN44" s="44" t="e">
        <f>AVERAGE(D40+F40+H40+J40+L40+N40+P40+R40+T40+V40+X40+Z40+AB40+AD40+AF40+AH40+AJ40)</f>
        <v>#DIV/0!</v>
      </c>
    </row>
    <row r="45" spans="1:40">
      <c r="A45" s="50"/>
      <c r="B45" s="68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</row>
    <row r="46" spans="1:40">
      <c r="A46" s="50"/>
      <c r="B46" s="68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</row>
    <row r="47" spans="1:40">
      <c r="A47" s="90" t="s">
        <v>109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L47">
        <v>94.11</v>
      </c>
    </row>
    <row r="48" spans="1:40">
      <c r="A48" s="75" t="s">
        <v>110</v>
      </c>
      <c r="B48" s="76" t="s">
        <v>111</v>
      </c>
      <c r="C48" s="94" t="s">
        <v>112</v>
      </c>
      <c r="D48" s="95"/>
      <c r="E48" s="95"/>
      <c r="F48" s="95"/>
      <c r="G48" s="95"/>
      <c r="H48" s="95"/>
      <c r="I48" s="95"/>
      <c r="J48" s="96"/>
      <c r="K48" s="99" t="s">
        <v>113</v>
      </c>
      <c r="L48" s="100"/>
      <c r="M48" s="100"/>
      <c r="N48" s="100"/>
      <c r="O48" s="10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</row>
    <row r="49" spans="1:36">
      <c r="A49" s="55"/>
      <c r="B49" s="60"/>
      <c r="C49" s="91"/>
      <c r="D49" s="92"/>
      <c r="E49" s="92"/>
      <c r="F49" s="92"/>
      <c r="G49" s="92"/>
      <c r="H49" s="92"/>
      <c r="I49" s="92"/>
      <c r="J49" s="93"/>
      <c r="K49" s="89"/>
      <c r="L49" s="89"/>
      <c r="M49" s="89"/>
      <c r="N49" s="89"/>
      <c r="O49" s="89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</row>
    <row r="50" spans="1:36">
      <c r="A50" s="55"/>
      <c r="B50" s="60"/>
      <c r="C50" s="91"/>
      <c r="D50" s="92"/>
      <c r="E50" s="92"/>
      <c r="F50" s="92"/>
      <c r="G50" s="92"/>
      <c r="H50" s="92"/>
      <c r="I50" s="92"/>
      <c r="J50" s="93"/>
      <c r="K50" s="89"/>
      <c r="L50" s="89"/>
      <c r="M50" s="89"/>
      <c r="N50" s="89"/>
      <c r="O50" s="89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</row>
    <row r="51" spans="1:36">
      <c r="A51" s="55"/>
      <c r="B51" s="60"/>
      <c r="C51" s="91"/>
      <c r="D51" s="92"/>
      <c r="E51" s="92"/>
      <c r="F51" s="92"/>
      <c r="G51" s="92"/>
      <c r="H51" s="92"/>
      <c r="I51" s="92"/>
      <c r="J51" s="93"/>
      <c r="K51" s="89"/>
      <c r="L51" s="89"/>
      <c r="M51" s="89"/>
      <c r="N51" s="89"/>
      <c r="O51" s="89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</row>
    <row r="52" spans="1:36">
      <c r="A52" s="55"/>
      <c r="B52" s="60"/>
      <c r="C52" s="91"/>
      <c r="D52" s="92"/>
      <c r="E52" s="92"/>
      <c r="F52" s="92"/>
      <c r="G52" s="92"/>
      <c r="H52" s="92"/>
      <c r="I52" s="92"/>
      <c r="J52" s="93"/>
      <c r="K52" s="89"/>
      <c r="L52" s="89"/>
      <c r="M52" s="89"/>
      <c r="N52" s="89"/>
      <c r="O52" s="89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</row>
    <row r="53" spans="1:36">
      <c r="A53" s="55"/>
      <c r="B53" s="60"/>
      <c r="C53" s="91"/>
      <c r="D53" s="92"/>
      <c r="E53" s="92"/>
      <c r="F53" s="92"/>
      <c r="G53" s="92"/>
      <c r="H53" s="92"/>
      <c r="I53" s="92"/>
      <c r="J53" s="93"/>
      <c r="K53" s="89"/>
      <c r="L53" s="89"/>
      <c r="M53" s="89"/>
      <c r="N53" s="89"/>
      <c r="O53" s="89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</row>
    <row r="54" spans="1:36">
      <c r="A54" s="55"/>
      <c r="B54" s="60"/>
      <c r="C54" s="91"/>
      <c r="D54" s="92"/>
      <c r="E54" s="92"/>
      <c r="F54" s="92"/>
      <c r="G54" s="92"/>
      <c r="H54" s="92"/>
      <c r="I54" s="92"/>
      <c r="J54" s="93"/>
      <c r="K54" s="89"/>
      <c r="L54" s="89"/>
      <c r="M54" s="89"/>
      <c r="N54" s="89"/>
      <c r="O54" s="89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</row>
    <row r="55" spans="1:36">
      <c r="A55" s="55"/>
      <c r="B55" s="60"/>
      <c r="C55" s="91"/>
      <c r="D55" s="92"/>
      <c r="E55" s="92"/>
      <c r="F55" s="92"/>
      <c r="G55" s="92"/>
      <c r="H55" s="92"/>
      <c r="I55" s="92"/>
      <c r="J55" s="93"/>
      <c r="K55" s="89"/>
      <c r="L55" s="89"/>
      <c r="M55" s="89"/>
      <c r="N55" s="89"/>
      <c r="O55" s="89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</row>
    <row r="56" spans="1:36">
      <c r="A56" s="55"/>
      <c r="B56" s="60"/>
      <c r="C56" s="91"/>
      <c r="D56" s="92"/>
      <c r="E56" s="92"/>
      <c r="F56" s="92"/>
      <c r="G56" s="92"/>
      <c r="H56" s="92"/>
      <c r="I56" s="92"/>
      <c r="J56" s="93"/>
      <c r="K56" s="89"/>
      <c r="L56" s="89"/>
      <c r="M56" s="89"/>
      <c r="N56" s="89"/>
      <c r="O56" s="89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</row>
    <row r="57" spans="1:36">
      <c r="A57" s="55"/>
      <c r="B57" s="60"/>
      <c r="C57" s="91"/>
      <c r="D57" s="92"/>
      <c r="E57" s="92"/>
      <c r="F57" s="92"/>
      <c r="G57" s="92"/>
      <c r="H57" s="92"/>
      <c r="I57" s="92"/>
      <c r="J57" s="93"/>
      <c r="K57" s="89"/>
      <c r="L57" s="89"/>
      <c r="M57" s="89"/>
      <c r="N57" s="89"/>
      <c r="O57" s="89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</row>
    <row r="58" spans="1:36">
      <c r="A58" s="55"/>
      <c r="B58" s="60"/>
      <c r="C58" s="91"/>
      <c r="D58" s="92"/>
      <c r="E58" s="92"/>
      <c r="F58" s="92"/>
      <c r="G58" s="92"/>
      <c r="H58" s="92"/>
      <c r="I58" s="92"/>
      <c r="J58" s="93"/>
      <c r="K58" s="89"/>
      <c r="L58" s="89"/>
      <c r="M58" s="89"/>
      <c r="N58" s="89"/>
      <c r="O58" s="89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</row>
    <row r="59" spans="1:36">
      <c r="A59" s="55"/>
      <c r="B59" s="60"/>
      <c r="C59" s="91"/>
      <c r="D59" s="92"/>
      <c r="E59" s="92"/>
      <c r="F59" s="92"/>
      <c r="G59" s="92"/>
      <c r="H59" s="92"/>
      <c r="I59" s="92"/>
      <c r="J59" s="93"/>
      <c r="K59" s="89"/>
      <c r="L59" s="89"/>
      <c r="M59" s="89"/>
      <c r="N59" s="89"/>
      <c r="O59" s="89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</row>
    <row r="60" spans="1:36">
      <c r="A60" s="55"/>
      <c r="B60" s="60"/>
      <c r="C60" s="91"/>
      <c r="D60" s="92"/>
      <c r="E60" s="92"/>
      <c r="F60" s="92"/>
      <c r="G60" s="92"/>
      <c r="H60" s="92"/>
      <c r="I60" s="92"/>
      <c r="J60" s="93"/>
      <c r="K60" s="89"/>
      <c r="L60" s="89"/>
      <c r="M60" s="89"/>
      <c r="N60" s="89"/>
      <c r="O60" s="89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</row>
    <row r="61" spans="1:36">
      <c r="A61" s="55"/>
      <c r="B61" s="60"/>
      <c r="C61" s="91"/>
      <c r="D61" s="92"/>
      <c r="E61" s="92"/>
      <c r="F61" s="92"/>
      <c r="G61" s="92"/>
      <c r="H61" s="92"/>
      <c r="I61" s="92"/>
      <c r="J61" s="93"/>
      <c r="K61" s="89"/>
      <c r="L61" s="89"/>
      <c r="M61" s="89"/>
      <c r="N61" s="89"/>
      <c r="O61" s="89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</row>
    <row r="62" spans="1:36">
      <c r="A62" s="55"/>
      <c r="B62" s="60"/>
      <c r="C62" s="91"/>
      <c r="D62" s="92"/>
      <c r="E62" s="92"/>
      <c r="F62" s="92"/>
      <c r="G62" s="92"/>
      <c r="H62" s="92"/>
      <c r="I62" s="92"/>
      <c r="J62" s="93"/>
      <c r="K62" s="89"/>
      <c r="L62" s="89"/>
      <c r="M62" s="89"/>
      <c r="N62" s="89"/>
      <c r="O62" s="89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</row>
    <row r="63" spans="1:36">
      <c r="A63" s="55"/>
      <c r="B63" s="60"/>
      <c r="C63" s="91"/>
      <c r="D63" s="92"/>
      <c r="E63" s="92"/>
      <c r="F63" s="92"/>
      <c r="G63" s="92"/>
      <c r="H63" s="92"/>
      <c r="I63" s="92"/>
      <c r="J63" s="93"/>
      <c r="K63" s="89"/>
      <c r="L63" s="89"/>
      <c r="M63" s="89"/>
      <c r="N63" s="89"/>
      <c r="O63" s="89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</row>
    <row r="64" spans="1:36">
      <c r="A64" s="55"/>
      <c r="B64" s="60"/>
      <c r="C64" s="91"/>
      <c r="D64" s="92"/>
      <c r="E64" s="92"/>
      <c r="F64" s="92"/>
      <c r="G64" s="92"/>
      <c r="H64" s="92"/>
      <c r="I64" s="92"/>
      <c r="J64" s="93"/>
      <c r="K64" s="89"/>
      <c r="L64" s="89"/>
      <c r="M64" s="89"/>
      <c r="N64" s="89"/>
      <c r="O64" s="89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</row>
    <row r="65" spans="1:36">
      <c r="A65" s="55"/>
      <c r="B65" s="60"/>
      <c r="C65" s="91"/>
      <c r="D65" s="92"/>
      <c r="E65" s="92"/>
      <c r="F65" s="92"/>
      <c r="G65" s="92"/>
      <c r="H65" s="92"/>
      <c r="I65" s="92"/>
      <c r="J65" s="93"/>
      <c r="K65" s="89"/>
      <c r="L65" s="89"/>
      <c r="M65" s="89"/>
      <c r="N65" s="89"/>
      <c r="O65" s="89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</row>
    <row r="66" spans="1:36">
      <c r="A66" s="55"/>
      <c r="B66" s="60"/>
      <c r="C66" s="91"/>
      <c r="D66" s="92"/>
      <c r="E66" s="92"/>
      <c r="F66" s="92"/>
      <c r="G66" s="92"/>
      <c r="H66" s="92"/>
      <c r="I66" s="92"/>
      <c r="J66" s="93"/>
      <c r="K66" s="89"/>
      <c r="L66" s="89"/>
      <c r="M66" s="89"/>
      <c r="N66" s="89"/>
      <c r="O66" s="89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</row>
    <row r="67" spans="1:36">
      <c r="A67" s="55"/>
      <c r="B67" s="60"/>
      <c r="C67" s="91"/>
      <c r="D67" s="92"/>
      <c r="E67" s="92"/>
      <c r="F67" s="92"/>
      <c r="G67" s="92"/>
      <c r="H67" s="92"/>
      <c r="I67" s="92"/>
      <c r="J67" s="93"/>
      <c r="K67" s="89"/>
      <c r="L67" s="89"/>
      <c r="M67" s="89"/>
      <c r="N67" s="89"/>
      <c r="O67" s="89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</row>
    <row r="68" spans="1:36">
      <c r="A68" s="55"/>
      <c r="B68" s="60"/>
      <c r="C68" s="91"/>
      <c r="D68" s="92"/>
      <c r="E68" s="92"/>
      <c r="F68" s="92"/>
      <c r="G68" s="92"/>
      <c r="H68" s="92"/>
      <c r="I68" s="92"/>
      <c r="J68" s="93"/>
      <c r="K68" s="89"/>
      <c r="L68" s="89"/>
      <c r="M68" s="89"/>
      <c r="N68" s="89"/>
      <c r="O68" s="89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</row>
    <row r="69" spans="1:36">
      <c r="A69" s="55"/>
      <c r="B69" s="60"/>
      <c r="C69" s="91"/>
      <c r="D69" s="92"/>
      <c r="E69" s="92"/>
      <c r="F69" s="92"/>
      <c r="G69" s="92"/>
      <c r="H69" s="92"/>
      <c r="I69" s="92"/>
      <c r="J69" s="93"/>
      <c r="K69" s="89"/>
      <c r="L69" s="89"/>
      <c r="M69" s="89"/>
      <c r="N69" s="89"/>
      <c r="O69" s="89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</row>
    <row r="70" spans="1:36">
      <c r="A70" s="55"/>
      <c r="B70" s="60"/>
      <c r="C70" s="91"/>
      <c r="D70" s="92"/>
      <c r="E70" s="92"/>
      <c r="F70" s="92"/>
      <c r="G70" s="92"/>
      <c r="H70" s="92"/>
      <c r="I70" s="92"/>
      <c r="J70" s="93"/>
      <c r="K70" s="89"/>
      <c r="L70" s="89"/>
      <c r="M70" s="89"/>
      <c r="N70" s="89"/>
      <c r="O70" s="89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</row>
    <row r="71" spans="1:36">
      <c r="A71" s="55"/>
      <c r="B71" s="60"/>
      <c r="C71" s="91"/>
      <c r="D71" s="92"/>
      <c r="E71" s="92"/>
      <c r="F71" s="92"/>
      <c r="G71" s="92"/>
      <c r="H71" s="92"/>
      <c r="I71" s="92"/>
      <c r="J71" s="93"/>
      <c r="K71" s="89"/>
      <c r="L71" s="89"/>
      <c r="M71" s="89"/>
      <c r="N71" s="89"/>
      <c r="O71" s="89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</row>
    <row r="72" spans="1:36">
      <c r="A72" s="50"/>
      <c r="B72" s="68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</row>
  </sheetData>
  <autoFilter ref="A7:AJ7" xr:uid="{00000000-0009-0000-0000-000001000000}"/>
  <mergeCells count="55">
    <mergeCell ref="A6:B6"/>
    <mergeCell ref="C6:AJ6"/>
    <mergeCell ref="K48:O48"/>
    <mergeCell ref="C54:J54"/>
    <mergeCell ref="C55:J55"/>
    <mergeCell ref="A40:B40"/>
    <mergeCell ref="A41:B41"/>
    <mergeCell ref="A42:B42"/>
    <mergeCell ref="A43:B43"/>
    <mergeCell ref="C56:J56"/>
    <mergeCell ref="C57:J57"/>
    <mergeCell ref="C49:J49"/>
    <mergeCell ref="C50:J50"/>
    <mergeCell ref="C51:J51"/>
    <mergeCell ref="C52:J52"/>
    <mergeCell ref="C68:J68"/>
    <mergeCell ref="C69:J69"/>
    <mergeCell ref="C70:J70"/>
    <mergeCell ref="C71:J71"/>
    <mergeCell ref="C48:J48"/>
    <mergeCell ref="C63:J63"/>
    <mergeCell ref="C64:J64"/>
    <mergeCell ref="C65:J65"/>
    <mergeCell ref="C66:J66"/>
    <mergeCell ref="C67:J67"/>
    <mergeCell ref="C58:J58"/>
    <mergeCell ref="C59:J59"/>
    <mergeCell ref="C60:J60"/>
    <mergeCell ref="C61:J61"/>
    <mergeCell ref="C62:J62"/>
    <mergeCell ref="C53:J53"/>
    <mergeCell ref="K56:O56"/>
    <mergeCell ref="K57:O57"/>
    <mergeCell ref="K58:O58"/>
    <mergeCell ref="K49:O49"/>
    <mergeCell ref="K50:O50"/>
    <mergeCell ref="K51:O51"/>
    <mergeCell ref="K52:O52"/>
    <mergeCell ref="K53:O53"/>
    <mergeCell ref="K69:O69"/>
    <mergeCell ref="K70:O70"/>
    <mergeCell ref="K71:O71"/>
    <mergeCell ref="A47:O47"/>
    <mergeCell ref="K64:O64"/>
    <mergeCell ref="K65:O65"/>
    <mergeCell ref="K66:O66"/>
    <mergeCell ref="K67:O67"/>
    <mergeCell ref="K68:O68"/>
    <mergeCell ref="K59:O59"/>
    <mergeCell ref="K60:O60"/>
    <mergeCell ref="K61:O61"/>
    <mergeCell ref="K62:O62"/>
    <mergeCell ref="K63:O63"/>
    <mergeCell ref="K54:O54"/>
    <mergeCell ref="K55:O55"/>
  </mergeCells>
  <pageMargins left="0.27559055118110237" right="0.27559055118110237" top="0.2265625" bottom="0.75" header="0.23622047244094491" footer="0.31496062992125984"/>
  <pageSetup scale="75" orientation="landscape" r:id="rId1"/>
  <headerFooter>
    <oddFooter>&amp;R&amp;"Abadi Extra Light,Normal"
RHF19 - Tercera - 01/03/2024                   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6180" r:id="rId4">
          <objectPr defaultSize="0" autoPict="0" r:id="rId5">
            <anchor moveWithCells="1" sizeWithCells="1">
              <from>
                <xdr:col>31</xdr:col>
                <xdr:colOff>28575</xdr:colOff>
                <xdr:row>0</xdr:row>
                <xdr:rowOff>47625</xdr:rowOff>
              </from>
              <to>
                <xdr:col>35</xdr:col>
                <xdr:colOff>209550</xdr:colOff>
                <xdr:row>2</xdr:row>
                <xdr:rowOff>114300</xdr:rowOff>
              </to>
            </anchor>
          </objectPr>
        </oleObject>
      </mc:Choice>
      <mc:Fallback>
        <oleObject progId="PBrush" shapeId="6180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R71"/>
  <sheetViews>
    <sheetView view="pageLayout" zoomScaleNormal="100" workbookViewId="0">
      <selection activeCell="N17" sqref="N17"/>
    </sheetView>
  </sheetViews>
  <sheetFormatPr defaultColWidth="11.42578125" defaultRowHeight="15"/>
  <cols>
    <col min="1" max="1" width="27.85546875" customWidth="1"/>
    <col min="2" max="2" width="28.85546875" style="5" customWidth="1"/>
    <col min="3" max="3" width="4" customWidth="1"/>
    <col min="4" max="4" width="3.28515625" customWidth="1"/>
    <col min="5" max="14" width="3.5703125" customWidth="1"/>
    <col min="15" max="15" width="4.28515625" customWidth="1"/>
    <col min="16" max="16" width="3.5703125" customWidth="1"/>
    <col min="17" max="17" width="4.42578125" customWidth="1"/>
    <col min="18" max="18" width="3.5703125" customWidth="1"/>
    <col min="19" max="19" width="2.85546875" customWidth="1"/>
    <col min="20" max="20" width="3" customWidth="1"/>
    <col min="21" max="21" width="4" customWidth="1"/>
    <col min="22" max="22" width="3.5703125" customWidth="1"/>
    <col min="23" max="23" width="4" customWidth="1"/>
    <col min="24" max="24" width="4.28515625" customWidth="1"/>
    <col min="25" max="25" width="7.140625" customWidth="1"/>
    <col min="26" max="26" width="4.28515625" customWidth="1"/>
    <col min="27" max="27" width="7.42578125" customWidth="1"/>
    <col min="28" max="28" width="4.28515625" customWidth="1"/>
    <col min="29" max="29" width="7" customWidth="1"/>
    <col min="30" max="30" width="4.28515625" customWidth="1"/>
    <col min="31" max="31" width="7.85546875" customWidth="1"/>
    <col min="32" max="32" width="4.28515625" customWidth="1"/>
    <col min="33" max="33" width="5.42578125" customWidth="1"/>
    <col min="34" max="34" width="4.28515625" customWidth="1"/>
    <col min="35" max="35" width="5" customWidth="1"/>
    <col min="36" max="36" width="4.28515625" customWidth="1"/>
    <col min="37" max="37" width="6.5703125" customWidth="1"/>
    <col min="38" max="38" width="4.28515625" customWidth="1"/>
    <col min="39" max="39" width="5.28515625" customWidth="1"/>
    <col min="40" max="40" width="4.28515625" customWidth="1"/>
    <col min="41" max="41" width="5.42578125" customWidth="1"/>
    <col min="42" max="42" width="4.28515625" customWidth="1"/>
    <col min="43" max="43" width="3.42578125" customWidth="1"/>
    <col min="44" max="44" width="15.85546875" customWidth="1"/>
  </cols>
  <sheetData>
    <row r="1" spans="1:42">
      <c r="A1" s="45"/>
      <c r="B1" s="46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</row>
    <row r="2" spans="1:42">
      <c r="A2" s="45"/>
      <c r="B2" s="46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42">
      <c r="A3" s="45"/>
      <c r="B3" s="46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  <c r="AN3" s="45"/>
      <c r="AO3" s="45"/>
      <c r="AP3" s="45"/>
    </row>
    <row r="4" spans="1:42" ht="26.25">
      <c r="A4" s="47" t="s">
        <v>104</v>
      </c>
      <c r="B4" s="46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  <c r="AN4" s="45"/>
      <c r="AO4" s="45"/>
      <c r="AP4" s="45"/>
    </row>
    <row r="5" spans="1:42">
      <c r="A5" s="45"/>
      <c r="B5" s="46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</row>
    <row r="6" spans="1:42" ht="15.75" thickBot="1">
      <c r="A6" s="108" t="s">
        <v>0</v>
      </c>
      <c r="B6" s="108"/>
      <c r="C6" s="86" t="s">
        <v>2</v>
      </c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21"/>
      <c r="AO6" s="21"/>
      <c r="AP6" s="21"/>
    </row>
    <row r="7" spans="1:42" ht="97.5" customHeight="1" thickBot="1">
      <c r="A7" s="77" t="s">
        <v>4</v>
      </c>
      <c r="B7" s="78" t="s">
        <v>5</v>
      </c>
      <c r="C7" s="32"/>
      <c r="D7" s="81" t="s">
        <v>105</v>
      </c>
      <c r="E7" s="82"/>
      <c r="F7" s="82" t="s">
        <v>105</v>
      </c>
      <c r="G7" s="83"/>
      <c r="H7" s="83" t="s">
        <v>105</v>
      </c>
      <c r="I7" s="82"/>
      <c r="J7" s="82" t="s">
        <v>105</v>
      </c>
      <c r="K7" s="83"/>
      <c r="L7" s="83" t="s">
        <v>105</v>
      </c>
      <c r="M7" s="82"/>
      <c r="N7" s="82" t="s">
        <v>105</v>
      </c>
      <c r="O7" s="83"/>
      <c r="P7" s="83" t="s">
        <v>105</v>
      </c>
      <c r="Q7" s="82"/>
      <c r="R7" s="82" t="s">
        <v>105</v>
      </c>
      <c r="S7" s="84"/>
      <c r="T7" s="83" t="s">
        <v>105</v>
      </c>
      <c r="U7" s="82"/>
      <c r="V7" s="82" t="s">
        <v>105</v>
      </c>
      <c r="W7" s="83"/>
      <c r="X7" s="83" t="s">
        <v>105</v>
      </c>
      <c r="Y7" s="82"/>
      <c r="Z7" s="82" t="s">
        <v>105</v>
      </c>
      <c r="AA7" s="83"/>
      <c r="AB7" s="83" t="s">
        <v>105</v>
      </c>
      <c r="AC7" s="82"/>
      <c r="AD7" s="82" t="s">
        <v>105</v>
      </c>
      <c r="AE7" s="83"/>
      <c r="AF7" s="83" t="s">
        <v>105</v>
      </c>
      <c r="AG7" s="82"/>
      <c r="AH7" s="82" t="s">
        <v>105</v>
      </c>
      <c r="AI7" s="83"/>
      <c r="AJ7" s="83" t="s">
        <v>105</v>
      </c>
      <c r="AK7" s="82"/>
      <c r="AL7" s="82" t="s">
        <v>105</v>
      </c>
      <c r="AM7" s="83"/>
      <c r="AN7" s="83" t="s">
        <v>105</v>
      </c>
      <c r="AO7" s="82"/>
      <c r="AP7" s="82" t="s">
        <v>105</v>
      </c>
    </row>
    <row r="8" spans="1:42">
      <c r="A8" s="51"/>
      <c r="B8" s="52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48"/>
      <c r="AP8" s="48"/>
    </row>
    <row r="9" spans="1:42">
      <c r="A9" s="57"/>
      <c r="B9" s="58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48"/>
      <c r="AP9" s="48"/>
    </row>
    <row r="10" spans="1:42">
      <c r="A10" s="57"/>
      <c r="B10" s="58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48"/>
      <c r="AP10" s="48"/>
    </row>
    <row r="11" spans="1:42">
      <c r="A11" s="57"/>
      <c r="B11" s="60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48"/>
      <c r="AP11" s="48"/>
    </row>
    <row r="12" spans="1:42">
      <c r="A12" s="57"/>
      <c r="B12" s="58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48"/>
      <c r="AP12" s="48"/>
    </row>
    <row r="13" spans="1:42">
      <c r="A13" s="57"/>
      <c r="B13" s="58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48"/>
      <c r="AP13" s="48"/>
    </row>
    <row r="14" spans="1:42">
      <c r="A14" s="57"/>
      <c r="B14" s="60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48"/>
      <c r="AP14" s="48"/>
    </row>
    <row r="15" spans="1:42">
      <c r="A15" s="57"/>
      <c r="B15" s="60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48"/>
      <c r="AP15" s="48"/>
    </row>
    <row r="16" spans="1:42">
      <c r="A16" s="57"/>
      <c r="B16" s="60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48"/>
      <c r="AP16" s="48"/>
    </row>
    <row r="17" spans="1:42">
      <c r="A17" s="57"/>
      <c r="B17" s="60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48"/>
      <c r="AP17" s="48"/>
    </row>
    <row r="18" spans="1:42">
      <c r="A18" s="57"/>
      <c r="B18" s="60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48"/>
      <c r="AP18" s="48"/>
    </row>
    <row r="19" spans="1:42">
      <c r="A19" s="57"/>
      <c r="B19" s="60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48"/>
      <c r="AP19" s="48"/>
    </row>
    <row r="20" spans="1:42">
      <c r="A20" s="57"/>
      <c r="B20" s="60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48"/>
      <c r="AP20" s="48"/>
    </row>
    <row r="21" spans="1:42">
      <c r="A21" s="57"/>
      <c r="B21" s="60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48"/>
      <c r="AP21" s="48"/>
    </row>
    <row r="22" spans="1:42">
      <c r="A22" s="57"/>
      <c r="B22" s="60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48"/>
      <c r="AP22" s="48"/>
    </row>
    <row r="23" spans="1:42">
      <c r="A23" s="57"/>
      <c r="B23" s="60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48"/>
      <c r="AP23" s="48"/>
    </row>
    <row r="24" spans="1:42">
      <c r="A24" s="57"/>
      <c r="B24" s="60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48"/>
      <c r="AP24" s="48"/>
    </row>
    <row r="25" spans="1:42">
      <c r="A25" s="57"/>
      <c r="B25" s="60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48"/>
      <c r="AP25" s="48"/>
    </row>
    <row r="26" spans="1:42">
      <c r="A26" s="57"/>
      <c r="B26" s="60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48"/>
      <c r="AP26" s="48"/>
    </row>
    <row r="27" spans="1:42">
      <c r="A27" s="57"/>
      <c r="B27" s="60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48"/>
      <c r="AP27" s="48"/>
    </row>
    <row r="28" spans="1:42">
      <c r="A28" s="57"/>
      <c r="B28" s="60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48"/>
      <c r="AP28" s="48"/>
    </row>
    <row r="29" spans="1:42">
      <c r="A29" s="57"/>
      <c r="B29" s="60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48"/>
      <c r="AP29" s="48"/>
    </row>
    <row r="30" spans="1:42">
      <c r="A30" s="57"/>
      <c r="B30" s="60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48"/>
      <c r="AP30" s="48"/>
    </row>
    <row r="31" spans="1:42">
      <c r="A31" s="57"/>
      <c r="B31" s="60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48"/>
      <c r="AP31" s="48"/>
    </row>
    <row r="32" spans="1:42">
      <c r="A32" s="57"/>
      <c r="B32" s="60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48"/>
      <c r="AP32" s="48"/>
    </row>
    <row r="33" spans="1:44">
      <c r="A33" s="57"/>
      <c r="B33" s="60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48"/>
      <c r="AP33" s="48"/>
    </row>
    <row r="34" spans="1:44">
      <c r="A34" s="57"/>
      <c r="B34" s="60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48"/>
      <c r="AP34" s="48"/>
    </row>
    <row r="35" spans="1:44">
      <c r="A35" s="57"/>
      <c r="B35" s="58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48"/>
      <c r="AP35" s="48"/>
    </row>
    <row r="36" spans="1:44">
      <c r="A36" s="57"/>
      <c r="B36" s="60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48"/>
      <c r="AP36" s="48"/>
    </row>
    <row r="37" spans="1:44">
      <c r="A37" s="63"/>
      <c r="B37" s="64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48"/>
      <c r="AP37" s="48"/>
    </row>
    <row r="38" spans="1:44" ht="15.75" thickBot="1">
      <c r="A38" s="65"/>
      <c r="B38" s="66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48"/>
      <c r="AP38" s="48"/>
    </row>
    <row r="39" spans="1:44">
      <c r="A39" s="50"/>
      <c r="B39" s="68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</row>
    <row r="40" spans="1:44">
      <c r="A40" s="69"/>
      <c r="B40" s="70" t="s">
        <v>100</v>
      </c>
      <c r="C40" s="71">
        <f>COUNTIF(C8:C38,"X")</f>
        <v>0</v>
      </c>
      <c r="D40" s="71" t="e">
        <f>AVERAGE(D8:D38)</f>
        <v>#DIV/0!</v>
      </c>
      <c r="E40" s="71">
        <f>COUNTIF(E8:E38,"X")</f>
        <v>0</v>
      </c>
      <c r="F40" s="71" t="e">
        <f>AVERAGE(F8:F38)</f>
        <v>#DIV/0!</v>
      </c>
      <c r="G40" s="71">
        <f>COUNTIF(G8:G38,"X")</f>
        <v>0</v>
      </c>
      <c r="H40" s="71" t="e">
        <f>AVERAGE(H8:H38)</f>
        <v>#DIV/0!</v>
      </c>
      <c r="I40" s="71">
        <f>COUNTIF(I8:I38,"X")</f>
        <v>0</v>
      </c>
      <c r="J40" s="71" t="e">
        <f>AVERAGE(J8:J38)</f>
        <v>#DIV/0!</v>
      </c>
      <c r="K40" s="71">
        <f>COUNTIF(K8:K38,"X")</f>
        <v>0</v>
      </c>
      <c r="L40" s="71" t="e">
        <f>AVERAGE(L8:L38)</f>
        <v>#DIV/0!</v>
      </c>
      <c r="M40" s="71">
        <f>COUNTIF(M8:M38,"X")</f>
        <v>0</v>
      </c>
      <c r="N40" s="71" t="e">
        <f>AVERAGE(N8:N38)</f>
        <v>#DIV/0!</v>
      </c>
      <c r="O40" s="71">
        <f>COUNTIF(O8:O38,"X")</f>
        <v>0</v>
      </c>
      <c r="P40" s="71" t="e">
        <f>AVERAGE(P8:P38)</f>
        <v>#DIV/0!</v>
      </c>
      <c r="Q40" s="71">
        <f>COUNTIF(Q8:Q38,"X")</f>
        <v>0</v>
      </c>
      <c r="R40" s="71" t="e">
        <f>AVERAGE(R8:R38)</f>
        <v>#DIV/0!</v>
      </c>
      <c r="S40" s="71">
        <f>COUNTIF(S8:S38,"X")</f>
        <v>0</v>
      </c>
      <c r="T40" s="71" t="e">
        <f>AVERAGE(T8:T38)</f>
        <v>#DIV/0!</v>
      </c>
      <c r="U40" s="71">
        <f>COUNTIF(U8:U38,"X")</f>
        <v>0</v>
      </c>
      <c r="V40" s="71" t="e">
        <f>AVERAGE(V8:V38)</f>
        <v>#DIV/0!</v>
      </c>
      <c r="W40" s="71">
        <f>COUNTIF(W8:W38,"X")</f>
        <v>0</v>
      </c>
      <c r="X40" s="71" t="e">
        <f>AVERAGE(X8:X38)</f>
        <v>#DIV/0!</v>
      </c>
      <c r="Y40" s="71">
        <f>COUNTIF(Y8:Y38,"X")</f>
        <v>0</v>
      </c>
      <c r="Z40" s="71" t="e">
        <f>AVERAGE(Z8:Z38)</f>
        <v>#DIV/0!</v>
      </c>
      <c r="AA40" s="71">
        <f>COUNTIF(AA8:AA38,"X")</f>
        <v>0</v>
      </c>
      <c r="AB40" s="71" t="e">
        <f>AVERAGE(AB8:AB38)</f>
        <v>#DIV/0!</v>
      </c>
      <c r="AC40" s="71">
        <f>COUNTIF(AC8:AC38,"X")</f>
        <v>0</v>
      </c>
      <c r="AD40" s="71" t="e">
        <f>AVERAGE(AD8:AD38)</f>
        <v>#DIV/0!</v>
      </c>
      <c r="AE40" s="71">
        <f>COUNTIF(AE8:AE38,"X")</f>
        <v>0</v>
      </c>
      <c r="AF40" s="71" t="e">
        <f>AVERAGE(AF8:AF38)</f>
        <v>#DIV/0!</v>
      </c>
      <c r="AG40" s="71">
        <f>COUNTIF(AG8:AG38,"X")</f>
        <v>0</v>
      </c>
      <c r="AH40" s="71" t="e">
        <f>AVERAGE(AH8:AH38)</f>
        <v>#DIV/0!</v>
      </c>
      <c r="AI40" s="71">
        <f>COUNTIF(AI8:AI38,"X")</f>
        <v>0</v>
      </c>
      <c r="AJ40" s="71" t="e">
        <f>AVERAGE(AJ8:AJ38)</f>
        <v>#DIV/0!</v>
      </c>
      <c r="AK40" s="71">
        <f>COUNTIF(AK8:AK38,"X")</f>
        <v>0</v>
      </c>
      <c r="AL40" s="71" t="e">
        <f>AVERAGE(AL8:AL38)</f>
        <v>#DIV/0!</v>
      </c>
      <c r="AM40" s="71">
        <f>COUNTIF(AM8:AM38,"X")</f>
        <v>0</v>
      </c>
      <c r="AN40" s="71" t="e">
        <f>AVERAGE(AN8:AN38)</f>
        <v>#DIV/0!</v>
      </c>
      <c r="AO40" s="71">
        <f>COUNTIF(AO8:AO38,"X")</f>
        <v>0</v>
      </c>
      <c r="AP40" s="71" t="e">
        <f>AVERAGE(AP8:AP38)</f>
        <v>#DIV/0!</v>
      </c>
      <c r="AR40" s="39"/>
    </row>
    <row r="41" spans="1:44">
      <c r="A41" s="50"/>
      <c r="B41" s="73" t="s">
        <v>107</v>
      </c>
      <c r="C41" s="71">
        <f>COUNTIF(C8:C38,"S/C")</f>
        <v>0</v>
      </c>
      <c r="D41" s="71">
        <f>COUNTIF(D8:D38,"&lt;80")</f>
        <v>0</v>
      </c>
      <c r="E41" s="71">
        <f>COUNTIF(E8:E38,"S/C")</f>
        <v>0</v>
      </c>
      <c r="F41" s="71">
        <f>COUNTIF(F8:F38,"&lt;80")</f>
        <v>0</v>
      </c>
      <c r="G41" s="71">
        <f>COUNTIF(G8:G38,"S/C")</f>
        <v>0</v>
      </c>
      <c r="H41" s="71">
        <f>COUNTIF(H8:H38,"&lt;80")</f>
        <v>0</v>
      </c>
      <c r="I41" s="71">
        <f>COUNTIF(I8:I38,"S/C")</f>
        <v>0</v>
      </c>
      <c r="J41" s="71">
        <f>COUNTIF(J8:J38,"&lt;80")</f>
        <v>0</v>
      </c>
      <c r="K41" s="71">
        <f>COUNTIF(K8:K38,"S/C")</f>
        <v>0</v>
      </c>
      <c r="L41" s="71">
        <f>COUNTIF(L8:L38,"&lt;80")</f>
        <v>0</v>
      </c>
      <c r="M41" s="71">
        <f>COUNTIF(M8:M38,"S/C")</f>
        <v>0</v>
      </c>
      <c r="N41" s="71">
        <f>COUNTIF(N8:N38,"&lt;80")</f>
        <v>0</v>
      </c>
      <c r="O41" s="71">
        <f>COUNTIF(O8:O38,"S/C")</f>
        <v>0</v>
      </c>
      <c r="P41" s="71">
        <f>COUNTIF(P8:P38,"&lt;80")</f>
        <v>0</v>
      </c>
      <c r="Q41" s="71">
        <f>COUNTIF(Q8:Q38,"S/C")</f>
        <v>0</v>
      </c>
      <c r="R41" s="71">
        <f>COUNTIF(R8:R38,"&lt;80")</f>
        <v>0</v>
      </c>
      <c r="S41" s="71">
        <f>COUNTIF(S8:S38,"S/C")</f>
        <v>0</v>
      </c>
      <c r="T41" s="71">
        <f>COUNTIF(T8:T38,"&lt;80")</f>
        <v>0</v>
      </c>
      <c r="U41" s="71">
        <f>COUNTIF(U8:U38,"S/C")</f>
        <v>0</v>
      </c>
      <c r="V41" s="71">
        <f>COUNTIF(V8:V38,"&lt;80")</f>
        <v>0</v>
      </c>
      <c r="W41" s="71">
        <f>COUNTIF(W8:W38,"S/C")</f>
        <v>0</v>
      </c>
      <c r="X41" s="71">
        <f>COUNTIF(X8:X38,"&lt;80")</f>
        <v>0</v>
      </c>
      <c r="Y41" s="71">
        <f>COUNTIF(Y8:Y38,"S/C")</f>
        <v>0</v>
      </c>
      <c r="Z41" s="71">
        <f>COUNTIF(Z8:Z38,"&lt;80")</f>
        <v>0</v>
      </c>
      <c r="AA41" s="71">
        <f>COUNTIF(AA8:AA38,"S/C")</f>
        <v>0</v>
      </c>
      <c r="AB41" s="71">
        <f>COUNTIF(AB8:AB38,"&lt;80")</f>
        <v>0</v>
      </c>
      <c r="AC41" s="71">
        <f>COUNTIF(AC8:AC38,"S/C")</f>
        <v>0</v>
      </c>
      <c r="AD41" s="71">
        <f>COUNTIF(AD8:AD38,"&lt;80")</f>
        <v>0</v>
      </c>
      <c r="AE41" s="71">
        <f>COUNTIF(AE8:AE38,"S/C")</f>
        <v>0</v>
      </c>
      <c r="AF41" s="71">
        <f>COUNTIF(AF8:AF38,"&lt;80")</f>
        <v>0</v>
      </c>
      <c r="AG41" s="71">
        <f>COUNTIF(AG8:AG38,"S/C")</f>
        <v>0</v>
      </c>
      <c r="AH41" s="71">
        <f>COUNTIF(AH8:AH38,"&lt;80")</f>
        <v>0</v>
      </c>
      <c r="AI41" s="71">
        <f>COUNTIF(AI8:AI38,"S/C")</f>
        <v>0</v>
      </c>
      <c r="AJ41" s="71">
        <f>COUNTIF(AJ8:AJ38,"&lt;80")</f>
        <v>0</v>
      </c>
      <c r="AK41" s="71">
        <f>COUNTIF(AK8:AK38,"S/C")</f>
        <v>0</v>
      </c>
      <c r="AL41" s="71">
        <f>COUNTIF(AL8:AL38,"&lt;80")</f>
        <v>0</v>
      </c>
      <c r="AM41" s="71">
        <f>COUNTIF(AM8:AM38,"S/C")</f>
        <v>0</v>
      </c>
      <c r="AN41" s="71">
        <f>COUNTIF(AN8:AN38,"&lt;80")</f>
        <v>0</v>
      </c>
      <c r="AO41" s="71">
        <f>COUNTIF(AO8:AO38,"S/C")</f>
        <v>0</v>
      </c>
      <c r="AP41" s="71">
        <f>COUNTIF(AP8:AP38,"&lt;80")</f>
        <v>0</v>
      </c>
    </row>
    <row r="42" spans="1:44">
      <c r="A42" s="50"/>
      <c r="B42" s="73" t="s">
        <v>102</v>
      </c>
      <c r="C42" s="71">
        <f t="shared" ref="C42:AP42" si="0">COUNTIF(C8:C38,"NA")</f>
        <v>0</v>
      </c>
      <c r="D42" s="71">
        <f t="shared" si="0"/>
        <v>0</v>
      </c>
      <c r="E42" s="71">
        <f t="shared" si="0"/>
        <v>0</v>
      </c>
      <c r="F42" s="71">
        <f t="shared" si="0"/>
        <v>0</v>
      </c>
      <c r="G42" s="71">
        <f t="shared" si="0"/>
        <v>0</v>
      </c>
      <c r="H42" s="71">
        <f t="shared" si="0"/>
        <v>0</v>
      </c>
      <c r="I42" s="71">
        <f t="shared" si="0"/>
        <v>0</v>
      </c>
      <c r="J42" s="71">
        <f t="shared" si="0"/>
        <v>0</v>
      </c>
      <c r="K42" s="71">
        <f t="shared" si="0"/>
        <v>0</v>
      </c>
      <c r="L42" s="71">
        <f t="shared" si="0"/>
        <v>0</v>
      </c>
      <c r="M42" s="71">
        <f t="shared" si="0"/>
        <v>0</v>
      </c>
      <c r="N42" s="71">
        <f t="shared" si="0"/>
        <v>0</v>
      </c>
      <c r="O42" s="71">
        <f t="shared" si="0"/>
        <v>0</v>
      </c>
      <c r="P42" s="71">
        <f t="shared" si="0"/>
        <v>0</v>
      </c>
      <c r="Q42" s="71">
        <f t="shared" si="0"/>
        <v>0</v>
      </c>
      <c r="R42" s="71">
        <f t="shared" si="0"/>
        <v>0</v>
      </c>
      <c r="S42" s="71">
        <f t="shared" si="0"/>
        <v>0</v>
      </c>
      <c r="T42" s="71">
        <f t="shared" si="0"/>
        <v>0</v>
      </c>
      <c r="U42" s="71">
        <f t="shared" si="0"/>
        <v>0</v>
      </c>
      <c r="V42" s="71">
        <f t="shared" si="0"/>
        <v>0</v>
      </c>
      <c r="W42" s="71">
        <f t="shared" si="0"/>
        <v>0</v>
      </c>
      <c r="X42" s="71">
        <f t="shared" si="0"/>
        <v>0</v>
      </c>
      <c r="Y42" s="71">
        <f t="shared" si="0"/>
        <v>0</v>
      </c>
      <c r="Z42" s="71">
        <f t="shared" si="0"/>
        <v>0</v>
      </c>
      <c r="AA42" s="71">
        <f t="shared" si="0"/>
        <v>0</v>
      </c>
      <c r="AB42" s="71">
        <f t="shared" si="0"/>
        <v>0</v>
      </c>
      <c r="AC42" s="71">
        <f t="shared" si="0"/>
        <v>0</v>
      </c>
      <c r="AD42" s="71">
        <f t="shared" si="0"/>
        <v>0</v>
      </c>
      <c r="AE42" s="71">
        <f t="shared" si="0"/>
        <v>0</v>
      </c>
      <c r="AF42" s="71">
        <f t="shared" si="0"/>
        <v>0</v>
      </c>
      <c r="AG42" s="71">
        <f t="shared" si="0"/>
        <v>0</v>
      </c>
      <c r="AH42" s="71">
        <f t="shared" si="0"/>
        <v>0</v>
      </c>
      <c r="AI42" s="71">
        <f t="shared" si="0"/>
        <v>0</v>
      </c>
      <c r="AJ42" s="71">
        <f t="shared" si="0"/>
        <v>0</v>
      </c>
      <c r="AK42" s="71">
        <f t="shared" si="0"/>
        <v>0</v>
      </c>
      <c r="AL42" s="71">
        <f t="shared" si="0"/>
        <v>0</v>
      </c>
      <c r="AM42" s="71">
        <f t="shared" si="0"/>
        <v>0</v>
      </c>
      <c r="AN42" s="71">
        <f t="shared" si="0"/>
        <v>0</v>
      </c>
      <c r="AO42" s="71">
        <f t="shared" si="0"/>
        <v>0</v>
      </c>
      <c r="AP42" s="71">
        <f t="shared" si="0"/>
        <v>0</v>
      </c>
    </row>
    <row r="43" spans="1:44">
      <c r="A43" s="50"/>
      <c r="B43" s="74" t="s">
        <v>114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R43" s="43"/>
    </row>
    <row r="44" spans="1:44">
      <c r="A44" s="50"/>
      <c r="B44" s="74" t="s">
        <v>103</v>
      </c>
      <c r="C44" s="49" t="e">
        <f t="shared" ref="C44:AO44" si="1">C40/(SUM(C40:C42)-C42)*100</f>
        <v>#DIV/0!</v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 t="e">
        <f t="shared" si="1"/>
        <v>#DIV/0!</v>
      </c>
      <c r="X44" s="49"/>
      <c r="Y44" s="49" t="e">
        <f t="shared" si="1"/>
        <v>#DIV/0!</v>
      </c>
      <c r="Z44" s="49"/>
      <c r="AA44" s="49" t="e">
        <f t="shared" si="1"/>
        <v>#DIV/0!</v>
      </c>
      <c r="AB44" s="49"/>
      <c r="AC44" s="49"/>
      <c r="AD44" s="49"/>
      <c r="AE44" s="49" t="e">
        <f t="shared" si="1"/>
        <v>#DIV/0!</v>
      </c>
      <c r="AF44" s="49"/>
      <c r="AG44" s="49"/>
      <c r="AH44" s="49"/>
      <c r="AI44" s="49" t="e">
        <f t="shared" si="1"/>
        <v>#DIV/0!</v>
      </c>
      <c r="AJ44" s="49"/>
      <c r="AK44" s="49" t="e">
        <f t="shared" si="1"/>
        <v>#DIV/0!</v>
      </c>
      <c r="AL44" s="49"/>
      <c r="AM44" s="49" t="e">
        <f t="shared" si="1"/>
        <v>#DIV/0!</v>
      </c>
      <c r="AN44" s="49"/>
      <c r="AO44" s="49" t="e">
        <f t="shared" si="1"/>
        <v>#DIV/0!</v>
      </c>
      <c r="AP44" s="49"/>
      <c r="AR44" s="39"/>
    </row>
    <row r="45" spans="1:44">
      <c r="A45" s="50"/>
      <c r="B45" s="68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</row>
    <row r="46" spans="1:44">
      <c r="A46" s="50"/>
      <c r="B46" s="68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</row>
    <row r="47" spans="1:44">
      <c r="A47" s="90" t="s">
        <v>109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</row>
    <row r="48" spans="1:44">
      <c r="A48" s="75" t="s">
        <v>110</v>
      </c>
      <c r="B48" s="76" t="s">
        <v>111</v>
      </c>
      <c r="C48" s="94" t="s">
        <v>112</v>
      </c>
      <c r="D48" s="95"/>
      <c r="E48" s="95"/>
      <c r="F48" s="95"/>
      <c r="G48" s="95"/>
      <c r="H48" s="95"/>
      <c r="I48" s="95"/>
      <c r="J48" s="96"/>
      <c r="K48" s="99" t="s">
        <v>113</v>
      </c>
      <c r="L48" s="100"/>
      <c r="M48" s="100"/>
      <c r="N48" s="100"/>
      <c r="O48" s="10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</row>
    <row r="49" spans="1:42">
      <c r="A49" s="55"/>
      <c r="B49" s="60"/>
      <c r="C49" s="91"/>
      <c r="D49" s="92"/>
      <c r="E49" s="92"/>
      <c r="F49" s="92"/>
      <c r="G49" s="92"/>
      <c r="H49" s="92"/>
      <c r="I49" s="92"/>
      <c r="J49" s="93"/>
      <c r="K49" s="89"/>
      <c r="L49" s="89"/>
      <c r="M49" s="89"/>
      <c r="N49" s="89"/>
      <c r="O49" s="89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</row>
    <row r="50" spans="1:42">
      <c r="A50" s="55"/>
      <c r="B50" s="60"/>
      <c r="C50" s="91"/>
      <c r="D50" s="92"/>
      <c r="E50" s="92"/>
      <c r="F50" s="92"/>
      <c r="G50" s="92"/>
      <c r="H50" s="92"/>
      <c r="I50" s="92"/>
      <c r="J50" s="93"/>
      <c r="K50" s="89"/>
      <c r="L50" s="89"/>
      <c r="M50" s="89"/>
      <c r="N50" s="89"/>
      <c r="O50" s="89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</row>
    <row r="51" spans="1:42">
      <c r="A51" s="55"/>
      <c r="B51" s="60"/>
      <c r="C51" s="91"/>
      <c r="D51" s="92"/>
      <c r="E51" s="92"/>
      <c r="F51" s="92"/>
      <c r="G51" s="92"/>
      <c r="H51" s="92"/>
      <c r="I51" s="92"/>
      <c r="J51" s="93"/>
      <c r="K51" s="89"/>
      <c r="L51" s="89"/>
      <c r="M51" s="89"/>
      <c r="N51" s="89"/>
      <c r="O51" s="89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</row>
    <row r="52" spans="1:42">
      <c r="A52" s="55"/>
      <c r="B52" s="60"/>
      <c r="C52" s="91"/>
      <c r="D52" s="92"/>
      <c r="E52" s="92"/>
      <c r="F52" s="92"/>
      <c r="G52" s="92"/>
      <c r="H52" s="92"/>
      <c r="I52" s="92"/>
      <c r="J52" s="93"/>
      <c r="K52" s="89"/>
      <c r="L52" s="89"/>
      <c r="M52" s="89"/>
      <c r="N52" s="89"/>
      <c r="O52" s="89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</row>
    <row r="53" spans="1:42">
      <c r="A53" s="55"/>
      <c r="B53" s="60"/>
      <c r="C53" s="91"/>
      <c r="D53" s="92"/>
      <c r="E53" s="92"/>
      <c r="F53" s="92"/>
      <c r="G53" s="92"/>
      <c r="H53" s="92"/>
      <c r="I53" s="92"/>
      <c r="J53" s="93"/>
      <c r="K53" s="89"/>
      <c r="L53" s="89"/>
      <c r="M53" s="89"/>
      <c r="N53" s="89"/>
      <c r="O53" s="89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</row>
    <row r="54" spans="1:42">
      <c r="A54" s="55"/>
      <c r="B54" s="60"/>
      <c r="C54" s="91"/>
      <c r="D54" s="92"/>
      <c r="E54" s="92"/>
      <c r="F54" s="92"/>
      <c r="G54" s="92"/>
      <c r="H54" s="92"/>
      <c r="I54" s="92"/>
      <c r="J54" s="93"/>
      <c r="K54" s="89"/>
      <c r="L54" s="89"/>
      <c r="M54" s="89"/>
      <c r="N54" s="89"/>
      <c r="O54" s="89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</row>
    <row r="55" spans="1:42">
      <c r="A55" s="55"/>
      <c r="B55" s="60"/>
      <c r="C55" s="91"/>
      <c r="D55" s="92"/>
      <c r="E55" s="92"/>
      <c r="F55" s="92"/>
      <c r="G55" s="92"/>
      <c r="H55" s="92"/>
      <c r="I55" s="92"/>
      <c r="J55" s="93"/>
      <c r="K55" s="89"/>
      <c r="L55" s="89"/>
      <c r="M55" s="89"/>
      <c r="N55" s="89"/>
      <c r="O55" s="89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</row>
    <row r="56" spans="1:42">
      <c r="A56" s="55"/>
      <c r="B56" s="60"/>
      <c r="C56" s="91"/>
      <c r="D56" s="92"/>
      <c r="E56" s="92"/>
      <c r="F56" s="92"/>
      <c r="G56" s="92"/>
      <c r="H56" s="92"/>
      <c r="I56" s="92"/>
      <c r="J56" s="93"/>
      <c r="K56" s="89"/>
      <c r="L56" s="89"/>
      <c r="M56" s="89"/>
      <c r="N56" s="89"/>
      <c r="O56" s="89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</row>
    <row r="57" spans="1:42">
      <c r="A57" s="55"/>
      <c r="B57" s="60"/>
      <c r="C57" s="91"/>
      <c r="D57" s="92"/>
      <c r="E57" s="92"/>
      <c r="F57" s="92"/>
      <c r="G57" s="92"/>
      <c r="H57" s="92"/>
      <c r="I57" s="92"/>
      <c r="J57" s="93"/>
      <c r="K57" s="89"/>
      <c r="L57" s="89"/>
      <c r="M57" s="89"/>
      <c r="N57" s="89"/>
      <c r="O57" s="89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</row>
    <row r="58" spans="1:42">
      <c r="A58" s="55"/>
      <c r="B58" s="60"/>
      <c r="C58" s="91"/>
      <c r="D58" s="92"/>
      <c r="E58" s="92"/>
      <c r="F58" s="92"/>
      <c r="G58" s="92"/>
      <c r="H58" s="92"/>
      <c r="I58" s="92"/>
      <c r="J58" s="93"/>
      <c r="K58" s="89"/>
      <c r="L58" s="89"/>
      <c r="M58" s="89"/>
      <c r="N58" s="89"/>
      <c r="O58" s="89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</row>
    <row r="59" spans="1:42">
      <c r="A59" s="55"/>
      <c r="B59" s="60"/>
      <c r="C59" s="91"/>
      <c r="D59" s="92"/>
      <c r="E59" s="92"/>
      <c r="F59" s="92"/>
      <c r="G59" s="92"/>
      <c r="H59" s="92"/>
      <c r="I59" s="92"/>
      <c r="J59" s="93"/>
      <c r="K59" s="89"/>
      <c r="L59" s="89"/>
      <c r="M59" s="89"/>
      <c r="N59" s="89"/>
      <c r="O59" s="89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</row>
    <row r="60" spans="1:42">
      <c r="A60" s="55"/>
      <c r="B60" s="60"/>
      <c r="C60" s="91"/>
      <c r="D60" s="92"/>
      <c r="E60" s="92"/>
      <c r="F60" s="92"/>
      <c r="G60" s="92"/>
      <c r="H60" s="92"/>
      <c r="I60" s="92"/>
      <c r="J60" s="93"/>
      <c r="K60" s="89"/>
      <c r="L60" s="89"/>
      <c r="M60" s="89"/>
      <c r="N60" s="89"/>
      <c r="O60" s="89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</row>
    <row r="61" spans="1:42">
      <c r="A61" s="55"/>
      <c r="B61" s="60"/>
      <c r="C61" s="91"/>
      <c r="D61" s="92"/>
      <c r="E61" s="92"/>
      <c r="F61" s="92"/>
      <c r="G61" s="92"/>
      <c r="H61" s="92"/>
      <c r="I61" s="92"/>
      <c r="J61" s="93"/>
      <c r="K61" s="89"/>
      <c r="L61" s="89"/>
      <c r="M61" s="89"/>
      <c r="N61" s="89"/>
      <c r="O61" s="89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</row>
    <row r="62" spans="1:42">
      <c r="A62" s="55"/>
      <c r="B62" s="60"/>
      <c r="C62" s="91"/>
      <c r="D62" s="92"/>
      <c r="E62" s="92"/>
      <c r="F62" s="92"/>
      <c r="G62" s="92"/>
      <c r="H62" s="92"/>
      <c r="I62" s="92"/>
      <c r="J62" s="93"/>
      <c r="K62" s="89"/>
      <c r="L62" s="89"/>
      <c r="M62" s="89"/>
      <c r="N62" s="89"/>
      <c r="O62" s="89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</row>
    <row r="63" spans="1:42">
      <c r="A63" s="55"/>
      <c r="B63" s="60"/>
      <c r="C63" s="91"/>
      <c r="D63" s="92"/>
      <c r="E63" s="92"/>
      <c r="F63" s="92"/>
      <c r="G63" s="92"/>
      <c r="H63" s="92"/>
      <c r="I63" s="92"/>
      <c r="J63" s="93"/>
      <c r="K63" s="89"/>
      <c r="L63" s="89"/>
      <c r="M63" s="89"/>
      <c r="N63" s="89"/>
      <c r="O63" s="89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</row>
    <row r="64" spans="1:42">
      <c r="A64" s="55"/>
      <c r="B64" s="60"/>
      <c r="C64" s="91"/>
      <c r="D64" s="92"/>
      <c r="E64" s="92"/>
      <c r="F64" s="92"/>
      <c r="G64" s="92"/>
      <c r="H64" s="92"/>
      <c r="I64" s="92"/>
      <c r="J64" s="93"/>
      <c r="K64" s="89"/>
      <c r="L64" s="89"/>
      <c r="M64" s="89"/>
      <c r="N64" s="89"/>
      <c r="O64" s="89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</row>
    <row r="65" spans="1:42">
      <c r="A65" s="55"/>
      <c r="B65" s="60"/>
      <c r="C65" s="91"/>
      <c r="D65" s="92"/>
      <c r="E65" s="92"/>
      <c r="F65" s="92"/>
      <c r="G65" s="92"/>
      <c r="H65" s="92"/>
      <c r="I65" s="92"/>
      <c r="J65" s="93"/>
      <c r="K65" s="89"/>
      <c r="L65" s="89"/>
      <c r="M65" s="89"/>
      <c r="N65" s="89"/>
      <c r="O65" s="89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</row>
    <row r="66" spans="1:42">
      <c r="A66" s="55"/>
      <c r="B66" s="60"/>
      <c r="C66" s="91"/>
      <c r="D66" s="92"/>
      <c r="E66" s="92"/>
      <c r="F66" s="92"/>
      <c r="G66" s="92"/>
      <c r="H66" s="92"/>
      <c r="I66" s="92"/>
      <c r="J66" s="93"/>
      <c r="K66" s="89"/>
      <c r="L66" s="89"/>
      <c r="M66" s="89"/>
      <c r="N66" s="89"/>
      <c r="O66" s="89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</row>
    <row r="67" spans="1:42">
      <c r="A67" s="55"/>
      <c r="B67" s="60"/>
      <c r="C67" s="91"/>
      <c r="D67" s="92"/>
      <c r="E67" s="92"/>
      <c r="F67" s="92"/>
      <c r="G67" s="92"/>
      <c r="H67" s="92"/>
      <c r="I67" s="92"/>
      <c r="J67" s="93"/>
      <c r="K67" s="89"/>
      <c r="L67" s="89"/>
      <c r="M67" s="89"/>
      <c r="N67" s="89"/>
      <c r="O67" s="89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</row>
    <row r="68" spans="1:42">
      <c r="A68" s="55"/>
      <c r="B68" s="60"/>
      <c r="C68" s="91"/>
      <c r="D68" s="92"/>
      <c r="E68" s="92"/>
      <c r="F68" s="92"/>
      <c r="G68" s="92"/>
      <c r="H68" s="92"/>
      <c r="I68" s="92"/>
      <c r="J68" s="93"/>
      <c r="K68" s="89"/>
      <c r="L68" s="89"/>
      <c r="M68" s="89"/>
      <c r="N68" s="89"/>
      <c r="O68" s="89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</row>
    <row r="69" spans="1:42">
      <c r="A69" s="55"/>
      <c r="B69" s="60"/>
      <c r="C69" s="91"/>
      <c r="D69" s="92"/>
      <c r="E69" s="92"/>
      <c r="F69" s="92"/>
      <c r="G69" s="92"/>
      <c r="H69" s="92"/>
      <c r="I69" s="92"/>
      <c r="J69" s="93"/>
      <c r="K69" s="89"/>
      <c r="L69" s="89"/>
      <c r="M69" s="89"/>
      <c r="N69" s="89"/>
      <c r="O69" s="89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</row>
    <row r="70" spans="1:42">
      <c r="A70" s="1"/>
      <c r="B70" s="13"/>
      <c r="C70" s="104"/>
      <c r="D70" s="105"/>
      <c r="E70" s="105"/>
      <c r="F70" s="105"/>
      <c r="G70" s="105"/>
      <c r="H70" s="105"/>
      <c r="I70" s="105"/>
      <c r="J70" s="106"/>
      <c r="K70" s="107"/>
      <c r="L70" s="107"/>
      <c r="M70" s="107"/>
      <c r="N70" s="107"/>
      <c r="O70" s="107"/>
    </row>
    <row r="71" spans="1:42">
      <c r="A71" s="1"/>
      <c r="B71" s="13"/>
      <c r="C71" s="104"/>
      <c r="D71" s="105"/>
      <c r="E71" s="105"/>
      <c r="F71" s="105"/>
      <c r="G71" s="105"/>
      <c r="H71" s="105"/>
      <c r="I71" s="105"/>
      <c r="J71" s="106"/>
      <c r="K71" s="107"/>
      <c r="L71" s="107"/>
      <c r="M71" s="107"/>
      <c r="N71" s="107"/>
      <c r="O71" s="107"/>
    </row>
  </sheetData>
  <autoFilter ref="A7:AP7" xr:uid="{00000000-0009-0000-0000-000002000000}"/>
  <mergeCells count="51">
    <mergeCell ref="A6:B6"/>
    <mergeCell ref="C48:J48"/>
    <mergeCell ref="K48:O48"/>
    <mergeCell ref="C49:J49"/>
    <mergeCell ref="K49:O49"/>
    <mergeCell ref="C6:AM6"/>
    <mergeCell ref="A47:O47"/>
    <mergeCell ref="C50:J50"/>
    <mergeCell ref="K50:O50"/>
    <mergeCell ref="C51:J51"/>
    <mergeCell ref="K51:O51"/>
    <mergeCell ref="C52:J52"/>
    <mergeCell ref="K52:O52"/>
    <mergeCell ref="C53:J53"/>
    <mergeCell ref="K53:O53"/>
    <mergeCell ref="C59:J59"/>
    <mergeCell ref="K59:O59"/>
    <mergeCell ref="C54:J54"/>
    <mergeCell ref="K54:O54"/>
    <mergeCell ref="C55:J55"/>
    <mergeCell ref="K55:O55"/>
    <mergeCell ref="C56:J56"/>
    <mergeCell ref="K56:O56"/>
    <mergeCell ref="C57:J57"/>
    <mergeCell ref="K57:O57"/>
    <mergeCell ref="C58:J58"/>
    <mergeCell ref="K58:O58"/>
    <mergeCell ref="C68:J68"/>
    <mergeCell ref="K68:O68"/>
    <mergeCell ref="C63:J63"/>
    <mergeCell ref="K63:O63"/>
    <mergeCell ref="C64:J64"/>
    <mergeCell ref="K64:O64"/>
    <mergeCell ref="C65:J65"/>
    <mergeCell ref="K65:O65"/>
    <mergeCell ref="C66:J66"/>
    <mergeCell ref="K66:O66"/>
    <mergeCell ref="C67:J67"/>
    <mergeCell ref="K67:O67"/>
    <mergeCell ref="C60:J60"/>
    <mergeCell ref="K60:O60"/>
    <mergeCell ref="C61:J61"/>
    <mergeCell ref="K61:O61"/>
    <mergeCell ref="C62:J62"/>
    <mergeCell ref="K62:O62"/>
    <mergeCell ref="C71:J71"/>
    <mergeCell ref="K71:O71"/>
    <mergeCell ref="C69:J69"/>
    <mergeCell ref="K69:O69"/>
    <mergeCell ref="C70:J70"/>
    <mergeCell ref="K70:O70"/>
  </mergeCells>
  <pageMargins left="0.27559055118110237" right="0.27559055118110237" top="7.9687499999999994E-2" bottom="0.62864583333333335" header="0.23622047244094491" footer="0.31496062992125984"/>
  <pageSetup scale="85" orientation="landscape" r:id="rId1"/>
  <headerFooter>
    <oddFooter>&amp;R&amp;"Abadi Extra Light,Normal"&amp;10RHF19 - Tercera - 01/03/2024                   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7185" r:id="rId4">
          <objectPr defaultSize="0" autoPict="0" r:id="rId5">
            <anchor moveWithCells="1" sizeWithCells="1">
              <from>
                <xdr:col>38</xdr:col>
                <xdr:colOff>19050</xdr:colOff>
                <xdr:row>0</xdr:row>
                <xdr:rowOff>57150</xdr:rowOff>
              </from>
              <to>
                <xdr:col>41</xdr:col>
                <xdr:colOff>190500</xdr:colOff>
                <xdr:row>2</xdr:row>
                <xdr:rowOff>123825</xdr:rowOff>
              </to>
            </anchor>
          </objectPr>
        </oleObject>
      </mc:Choice>
      <mc:Fallback>
        <oleObject progId="PBrush" shapeId="7185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885F0-7303-400B-977C-84C4864D8543}">
  <dimension ref="A1:AB71"/>
  <sheetViews>
    <sheetView view="pageLayout" zoomScaleNormal="100" workbookViewId="0">
      <selection activeCell="N24" sqref="N24"/>
    </sheetView>
  </sheetViews>
  <sheetFormatPr defaultColWidth="11.42578125" defaultRowHeight="15"/>
  <cols>
    <col min="1" max="1" width="27.85546875" customWidth="1"/>
    <col min="2" max="2" width="28.85546875" style="5" customWidth="1"/>
    <col min="3" max="3" width="4" customWidth="1"/>
    <col min="4" max="4" width="3.28515625" customWidth="1"/>
    <col min="5" max="14" width="3.5703125" customWidth="1"/>
    <col min="15" max="15" width="4.28515625" customWidth="1"/>
    <col min="16" max="16" width="3.5703125" customWidth="1"/>
    <col min="17" max="17" width="4.42578125" customWidth="1"/>
    <col min="18" max="18" width="3.5703125" customWidth="1"/>
    <col min="19" max="19" width="2.85546875" customWidth="1"/>
    <col min="20" max="20" width="3" customWidth="1"/>
    <col min="21" max="21" width="4" customWidth="1"/>
    <col min="22" max="22" width="3.5703125" customWidth="1"/>
    <col min="23" max="23" width="4" customWidth="1"/>
    <col min="24" max="24" width="4.28515625" customWidth="1"/>
    <col min="25" max="25" width="7.140625" customWidth="1"/>
    <col min="26" max="26" width="4.28515625" customWidth="1"/>
    <col min="27" max="27" width="3.42578125" customWidth="1"/>
    <col min="28" max="28" width="15.85546875" customWidth="1"/>
  </cols>
  <sheetData>
    <row r="1" spans="1:27">
      <c r="A1" s="45"/>
      <c r="B1" s="46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</row>
    <row r="2" spans="1:27">
      <c r="A2" s="45"/>
      <c r="B2" s="46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27">
      <c r="A3" s="45"/>
      <c r="B3" s="46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 spans="1:27" ht="26.25">
      <c r="A4" s="47" t="s">
        <v>104</v>
      </c>
      <c r="B4" s="46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 spans="1:27">
      <c r="A5" s="45"/>
      <c r="B5" s="46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 spans="1:27" ht="15.75" thickBot="1">
      <c r="A6" s="108" t="s">
        <v>0</v>
      </c>
      <c r="B6" s="108"/>
      <c r="C6" s="109" t="s">
        <v>115</v>
      </c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spans="1:27" ht="97.5" customHeight="1" thickBot="1">
      <c r="A7" s="77" t="s">
        <v>4</v>
      </c>
      <c r="B7" s="78" t="s">
        <v>5</v>
      </c>
      <c r="C7" s="81"/>
      <c r="D7" s="81" t="s">
        <v>105</v>
      </c>
      <c r="E7" s="82"/>
      <c r="F7" s="82" t="s">
        <v>105</v>
      </c>
      <c r="G7" s="83"/>
      <c r="H7" s="83" t="s">
        <v>105</v>
      </c>
      <c r="I7" s="82"/>
      <c r="J7" s="82" t="s">
        <v>105</v>
      </c>
      <c r="K7" s="83"/>
      <c r="L7" s="83" t="s">
        <v>105</v>
      </c>
      <c r="M7" s="82"/>
      <c r="N7" s="82" t="s">
        <v>105</v>
      </c>
      <c r="O7" s="83"/>
      <c r="P7" s="83" t="s">
        <v>105</v>
      </c>
      <c r="Q7" s="82"/>
      <c r="R7" s="82" t="s">
        <v>105</v>
      </c>
      <c r="S7" s="84"/>
      <c r="T7" s="83" t="s">
        <v>105</v>
      </c>
      <c r="U7" s="82"/>
      <c r="V7" s="82" t="s">
        <v>105</v>
      </c>
      <c r="W7" s="83"/>
      <c r="X7" s="83" t="s">
        <v>105</v>
      </c>
      <c r="Y7" s="82"/>
      <c r="Z7" s="33" t="s">
        <v>105</v>
      </c>
    </row>
    <row r="8" spans="1:27">
      <c r="A8" s="51"/>
      <c r="B8" s="52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36"/>
    </row>
    <row r="9" spans="1:27">
      <c r="A9" s="57"/>
      <c r="B9" s="58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36"/>
    </row>
    <row r="10" spans="1:27">
      <c r="A10" s="57"/>
      <c r="B10" s="58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36"/>
    </row>
    <row r="11" spans="1:27">
      <c r="A11" s="57"/>
      <c r="B11" s="60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36"/>
    </row>
    <row r="12" spans="1:27">
      <c r="A12" s="57"/>
      <c r="B12" s="58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36"/>
    </row>
    <row r="13" spans="1:27">
      <c r="A13" s="57"/>
      <c r="B13" s="58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36"/>
    </row>
    <row r="14" spans="1:27">
      <c r="A14" s="57"/>
      <c r="B14" s="60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36"/>
    </row>
    <row r="15" spans="1:27">
      <c r="A15" s="57"/>
      <c r="B15" s="60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36"/>
    </row>
    <row r="16" spans="1:27">
      <c r="A16" s="57"/>
      <c r="B16" s="60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36"/>
    </row>
    <row r="17" spans="1:26">
      <c r="A17" s="57"/>
      <c r="B17" s="60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36"/>
    </row>
    <row r="18" spans="1:26">
      <c r="A18" s="57"/>
      <c r="B18" s="60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36"/>
    </row>
    <row r="19" spans="1:26">
      <c r="A19" s="57"/>
      <c r="B19" s="60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36"/>
    </row>
    <row r="20" spans="1:26">
      <c r="A20" s="57"/>
      <c r="B20" s="60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36"/>
    </row>
    <row r="21" spans="1:26">
      <c r="A21" s="57"/>
      <c r="B21" s="60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36"/>
    </row>
    <row r="22" spans="1:26">
      <c r="A22" s="57"/>
      <c r="B22" s="60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36"/>
    </row>
    <row r="23" spans="1:26">
      <c r="A23" s="57"/>
      <c r="B23" s="60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36"/>
    </row>
    <row r="24" spans="1:26">
      <c r="A24" s="57"/>
      <c r="B24" s="60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36"/>
    </row>
    <row r="25" spans="1:26">
      <c r="A25" s="57"/>
      <c r="B25" s="60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36"/>
    </row>
    <row r="26" spans="1:26">
      <c r="A26" s="57"/>
      <c r="B26" s="60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36"/>
    </row>
    <row r="27" spans="1:26">
      <c r="A27" s="57"/>
      <c r="B27" s="60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36"/>
    </row>
    <row r="28" spans="1:26">
      <c r="A28" s="57"/>
      <c r="B28" s="60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36"/>
    </row>
    <row r="29" spans="1:26">
      <c r="A29" s="57"/>
      <c r="B29" s="60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36"/>
    </row>
    <row r="30" spans="1:26">
      <c r="A30" s="57"/>
      <c r="B30" s="60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36"/>
    </row>
    <row r="31" spans="1:26">
      <c r="A31" s="57"/>
      <c r="B31" s="60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36"/>
    </row>
    <row r="32" spans="1:26">
      <c r="A32" s="57"/>
      <c r="B32" s="60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36"/>
    </row>
    <row r="33" spans="1:28">
      <c r="A33" s="57"/>
      <c r="B33" s="60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36"/>
    </row>
    <row r="34" spans="1:28">
      <c r="A34" s="57"/>
      <c r="B34" s="60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36"/>
    </row>
    <row r="35" spans="1:28">
      <c r="A35" s="57"/>
      <c r="B35" s="58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36"/>
    </row>
    <row r="36" spans="1:28">
      <c r="A36" s="57"/>
      <c r="B36" s="60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36"/>
    </row>
    <row r="37" spans="1:28">
      <c r="A37" s="63"/>
      <c r="B37" s="64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36"/>
    </row>
    <row r="38" spans="1:28" ht="15.75" thickBot="1">
      <c r="A38" s="65"/>
      <c r="B38" s="66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36"/>
    </row>
    <row r="39" spans="1:28">
      <c r="A39" s="50"/>
      <c r="B39" s="68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8">
      <c r="A40" s="69"/>
      <c r="B40" s="70" t="s">
        <v>100</v>
      </c>
      <c r="C40" s="71">
        <f>COUNTIF(C8:C38,"X")</f>
        <v>0</v>
      </c>
      <c r="D40" s="71" t="e">
        <f>AVERAGE(D8:D38)</f>
        <v>#DIV/0!</v>
      </c>
      <c r="E40" s="71">
        <f>COUNTIF(E8:E38,"X")</f>
        <v>0</v>
      </c>
      <c r="F40" s="71" t="e">
        <f>AVERAGE(F8:F38)</f>
        <v>#DIV/0!</v>
      </c>
      <c r="G40" s="71">
        <f>COUNTIF(G8:G38,"X")</f>
        <v>0</v>
      </c>
      <c r="H40" s="71" t="e">
        <f>AVERAGE(H8:H38)</f>
        <v>#DIV/0!</v>
      </c>
      <c r="I40" s="71">
        <f>COUNTIF(I8:I38,"X")</f>
        <v>0</v>
      </c>
      <c r="J40" s="71" t="e">
        <f>AVERAGE(J8:J38)</f>
        <v>#DIV/0!</v>
      </c>
      <c r="K40" s="71">
        <f>COUNTIF(K8:K38,"X")</f>
        <v>0</v>
      </c>
      <c r="L40" s="71" t="e">
        <f>AVERAGE(L8:L38)</f>
        <v>#DIV/0!</v>
      </c>
      <c r="M40" s="71">
        <f>COUNTIF(M8:M38,"X")</f>
        <v>0</v>
      </c>
      <c r="N40" s="71" t="e">
        <f>AVERAGE(N8:N38)</f>
        <v>#DIV/0!</v>
      </c>
      <c r="O40" s="71">
        <f>COUNTIF(O8:O38,"X")</f>
        <v>0</v>
      </c>
      <c r="P40" s="71" t="e">
        <f>AVERAGE(P8:P38)</f>
        <v>#DIV/0!</v>
      </c>
      <c r="Q40" s="71">
        <f>COUNTIF(Q8:Q38,"X")</f>
        <v>0</v>
      </c>
      <c r="R40" s="71" t="e">
        <f>AVERAGE(R8:R38)</f>
        <v>#DIV/0!</v>
      </c>
      <c r="S40" s="71">
        <f>COUNTIF(S8:S38,"X")</f>
        <v>0</v>
      </c>
      <c r="T40" s="71" t="e">
        <f>AVERAGE(T8:T38)</f>
        <v>#DIV/0!</v>
      </c>
      <c r="U40" s="71">
        <f>COUNTIF(U8:U38,"X")</f>
        <v>0</v>
      </c>
      <c r="V40" s="71" t="e">
        <f>AVERAGE(V8:V38)</f>
        <v>#DIV/0!</v>
      </c>
      <c r="W40" s="71">
        <f>COUNTIF(W8:W38,"X")</f>
        <v>0</v>
      </c>
      <c r="X40" s="71" t="e">
        <f>AVERAGE(X8:X38)</f>
        <v>#DIV/0!</v>
      </c>
      <c r="Y40" s="71">
        <f>COUNTIF(Y8:Y38,"X")</f>
        <v>0</v>
      </c>
      <c r="Z40" s="34" t="e">
        <f>AVERAGE(Z8:Z38)</f>
        <v>#DIV/0!</v>
      </c>
      <c r="AB40" s="39"/>
    </row>
    <row r="41" spans="1:28">
      <c r="A41" s="50"/>
      <c r="B41" s="73" t="s">
        <v>107</v>
      </c>
      <c r="C41" s="71">
        <f>COUNTIF(C8:C38,"S/C")</f>
        <v>0</v>
      </c>
      <c r="D41" s="71">
        <f>COUNTIF(D8:D38,"&lt;80")</f>
        <v>0</v>
      </c>
      <c r="E41" s="71">
        <f>COUNTIF(E8:E38,"S/C")</f>
        <v>0</v>
      </c>
      <c r="F41" s="71">
        <f>COUNTIF(F8:F38,"&lt;80")</f>
        <v>0</v>
      </c>
      <c r="G41" s="71">
        <f>COUNTIF(G8:G38,"S/C")</f>
        <v>0</v>
      </c>
      <c r="H41" s="71">
        <f>COUNTIF(H8:H38,"&lt;80")</f>
        <v>0</v>
      </c>
      <c r="I41" s="71">
        <f>COUNTIF(I8:I38,"S/C")</f>
        <v>0</v>
      </c>
      <c r="J41" s="71">
        <f>COUNTIF(J8:J38,"&lt;80")</f>
        <v>0</v>
      </c>
      <c r="K41" s="71">
        <f>COUNTIF(K8:K38,"S/C")</f>
        <v>0</v>
      </c>
      <c r="L41" s="71">
        <f>COUNTIF(L8:L38,"&lt;80")</f>
        <v>0</v>
      </c>
      <c r="M41" s="71">
        <f>COUNTIF(M8:M38,"S/C")</f>
        <v>0</v>
      </c>
      <c r="N41" s="71">
        <f>COUNTIF(N8:N38,"&lt;80")</f>
        <v>0</v>
      </c>
      <c r="O41" s="71">
        <f>COUNTIF(O8:O38,"S/C")</f>
        <v>0</v>
      </c>
      <c r="P41" s="71">
        <f>COUNTIF(P8:P38,"&lt;80")</f>
        <v>0</v>
      </c>
      <c r="Q41" s="71">
        <f>COUNTIF(Q8:Q38,"S/C")</f>
        <v>0</v>
      </c>
      <c r="R41" s="71">
        <f>COUNTIF(R8:R38,"&lt;80")</f>
        <v>0</v>
      </c>
      <c r="S41" s="71">
        <f>COUNTIF(S8:S38,"S/C")</f>
        <v>0</v>
      </c>
      <c r="T41" s="71">
        <f>COUNTIF(T8:T38,"&lt;80")</f>
        <v>0</v>
      </c>
      <c r="U41" s="71">
        <f>COUNTIF(U8:U38,"S/C")</f>
        <v>0</v>
      </c>
      <c r="V41" s="71">
        <f>COUNTIF(V8:V38,"&lt;80")</f>
        <v>0</v>
      </c>
      <c r="W41" s="71">
        <f>COUNTIF(W8:W38,"S/C")</f>
        <v>0</v>
      </c>
      <c r="X41" s="71">
        <f>COUNTIF(X8:X38,"&lt;80")</f>
        <v>0</v>
      </c>
      <c r="Y41" s="71">
        <f>COUNTIF(Y8:Y38,"S/C")</f>
        <v>0</v>
      </c>
      <c r="Z41" s="28">
        <f>COUNTIF(Z8:Z38,"&lt;80")</f>
        <v>0</v>
      </c>
    </row>
    <row r="42" spans="1:28">
      <c r="A42" s="50"/>
      <c r="B42" s="73" t="s">
        <v>102</v>
      </c>
      <c r="C42" s="71">
        <f t="shared" ref="C42:Z42" si="0">COUNTIF(C8:C38,"NA")</f>
        <v>0</v>
      </c>
      <c r="D42" s="71">
        <f t="shared" si="0"/>
        <v>0</v>
      </c>
      <c r="E42" s="71">
        <f t="shared" si="0"/>
        <v>0</v>
      </c>
      <c r="F42" s="71">
        <f t="shared" si="0"/>
        <v>0</v>
      </c>
      <c r="G42" s="71">
        <f t="shared" si="0"/>
        <v>0</v>
      </c>
      <c r="H42" s="71">
        <f t="shared" si="0"/>
        <v>0</v>
      </c>
      <c r="I42" s="71">
        <f t="shared" si="0"/>
        <v>0</v>
      </c>
      <c r="J42" s="71">
        <f t="shared" si="0"/>
        <v>0</v>
      </c>
      <c r="K42" s="71">
        <f t="shared" si="0"/>
        <v>0</v>
      </c>
      <c r="L42" s="71">
        <f t="shared" si="0"/>
        <v>0</v>
      </c>
      <c r="M42" s="71">
        <f t="shared" si="0"/>
        <v>0</v>
      </c>
      <c r="N42" s="71">
        <f t="shared" si="0"/>
        <v>0</v>
      </c>
      <c r="O42" s="71">
        <f t="shared" si="0"/>
        <v>0</v>
      </c>
      <c r="P42" s="71">
        <f t="shared" si="0"/>
        <v>0</v>
      </c>
      <c r="Q42" s="71">
        <f t="shared" si="0"/>
        <v>0</v>
      </c>
      <c r="R42" s="71">
        <f t="shared" si="0"/>
        <v>0</v>
      </c>
      <c r="S42" s="71">
        <f t="shared" si="0"/>
        <v>0</v>
      </c>
      <c r="T42" s="71">
        <f t="shared" si="0"/>
        <v>0</v>
      </c>
      <c r="U42" s="71">
        <f t="shared" si="0"/>
        <v>0</v>
      </c>
      <c r="V42" s="71">
        <f t="shared" si="0"/>
        <v>0</v>
      </c>
      <c r="W42" s="71">
        <f t="shared" si="0"/>
        <v>0</v>
      </c>
      <c r="X42" s="71">
        <f t="shared" si="0"/>
        <v>0</v>
      </c>
      <c r="Y42" s="71">
        <f t="shared" si="0"/>
        <v>0</v>
      </c>
      <c r="Z42" s="28">
        <f t="shared" si="0"/>
        <v>0</v>
      </c>
    </row>
    <row r="43" spans="1:28">
      <c r="A43" s="50"/>
      <c r="B43" s="74" t="s">
        <v>114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28"/>
      <c r="AB43" s="43"/>
    </row>
    <row r="44" spans="1:28">
      <c r="A44" s="50"/>
      <c r="B44" s="74" t="s">
        <v>103</v>
      </c>
      <c r="C44" s="49" t="e">
        <f t="shared" ref="C44:Y44" si="1">C40/(SUM(C40:C42)-C42)*100</f>
        <v>#DIV/0!</v>
      </c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 t="e">
        <f t="shared" si="1"/>
        <v>#DIV/0!</v>
      </c>
      <c r="X44" s="49"/>
      <c r="Y44" s="49" t="e">
        <f t="shared" si="1"/>
        <v>#DIV/0!</v>
      </c>
      <c r="Z44" s="37"/>
      <c r="AB44" s="39"/>
    </row>
    <row r="45" spans="1:28">
      <c r="A45" s="50"/>
      <c r="B45" s="68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spans="1:28">
      <c r="A46" s="50"/>
      <c r="B46" s="68"/>
      <c r="C46" s="50"/>
      <c r="D46" s="50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8">
      <c r="A47" s="90" t="s">
        <v>109</v>
      </c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8">
      <c r="A48" s="75" t="s">
        <v>110</v>
      </c>
      <c r="B48" s="76" t="s">
        <v>111</v>
      </c>
      <c r="C48" s="94" t="s">
        <v>112</v>
      </c>
      <c r="D48" s="95"/>
      <c r="E48" s="95"/>
      <c r="F48" s="95"/>
      <c r="G48" s="95"/>
      <c r="H48" s="95"/>
      <c r="I48" s="95"/>
      <c r="J48" s="96"/>
      <c r="K48" s="99" t="s">
        <v>113</v>
      </c>
      <c r="L48" s="100"/>
      <c r="M48" s="100"/>
      <c r="N48" s="100"/>
      <c r="O48" s="10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>
      <c r="A49" s="55"/>
      <c r="B49" s="60"/>
      <c r="C49" s="91"/>
      <c r="D49" s="92"/>
      <c r="E49" s="92"/>
      <c r="F49" s="92"/>
      <c r="G49" s="92"/>
      <c r="H49" s="92"/>
      <c r="I49" s="92"/>
      <c r="J49" s="93"/>
      <c r="K49" s="89"/>
      <c r="L49" s="89"/>
      <c r="M49" s="89"/>
      <c r="N49" s="89"/>
      <c r="O49" s="89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>
      <c r="A50" s="55"/>
      <c r="B50" s="60"/>
      <c r="C50" s="91"/>
      <c r="D50" s="92"/>
      <c r="E50" s="92"/>
      <c r="F50" s="92"/>
      <c r="G50" s="92"/>
      <c r="H50" s="92"/>
      <c r="I50" s="92"/>
      <c r="J50" s="93"/>
      <c r="K50" s="89"/>
      <c r="L50" s="89"/>
      <c r="M50" s="89"/>
      <c r="N50" s="89"/>
      <c r="O50" s="89"/>
      <c r="P50" s="50"/>
      <c r="Q50" s="50"/>
      <c r="R50" s="50"/>
      <c r="S50" s="50"/>
      <c r="T50" s="50"/>
      <c r="U50" s="50"/>
      <c r="V50" s="50"/>
      <c r="W50" s="50"/>
      <c r="X50" s="50"/>
      <c r="Y50" s="50"/>
    </row>
    <row r="51" spans="1:25">
      <c r="A51" s="55"/>
      <c r="B51" s="60"/>
      <c r="C51" s="91"/>
      <c r="D51" s="92"/>
      <c r="E51" s="92"/>
      <c r="F51" s="92"/>
      <c r="G51" s="92"/>
      <c r="H51" s="92"/>
      <c r="I51" s="92"/>
      <c r="J51" s="93"/>
      <c r="K51" s="89"/>
      <c r="L51" s="89"/>
      <c r="M51" s="89"/>
      <c r="N51" s="89"/>
      <c r="O51" s="89"/>
      <c r="P51" s="50"/>
      <c r="Q51" s="50"/>
      <c r="R51" s="50"/>
      <c r="S51" s="50"/>
      <c r="T51" s="50"/>
      <c r="U51" s="50"/>
      <c r="V51" s="50"/>
      <c r="W51" s="50"/>
      <c r="X51" s="50"/>
      <c r="Y51" s="50"/>
    </row>
    <row r="52" spans="1:25">
      <c r="A52" s="55"/>
      <c r="B52" s="60"/>
      <c r="C52" s="91"/>
      <c r="D52" s="92"/>
      <c r="E52" s="92"/>
      <c r="F52" s="92"/>
      <c r="G52" s="92"/>
      <c r="H52" s="92"/>
      <c r="I52" s="92"/>
      <c r="J52" s="93"/>
      <c r="K52" s="89"/>
      <c r="L52" s="89"/>
      <c r="M52" s="89"/>
      <c r="N52" s="89"/>
      <c r="O52" s="89"/>
      <c r="P52" s="50"/>
      <c r="Q52" s="50"/>
      <c r="R52" s="50"/>
      <c r="S52" s="50"/>
      <c r="T52" s="50"/>
      <c r="U52" s="50"/>
      <c r="V52" s="50"/>
      <c r="W52" s="50"/>
      <c r="X52" s="50"/>
      <c r="Y52" s="50"/>
    </row>
    <row r="53" spans="1:25">
      <c r="A53" s="55"/>
      <c r="B53" s="60"/>
      <c r="C53" s="91"/>
      <c r="D53" s="92"/>
      <c r="E53" s="92"/>
      <c r="F53" s="92"/>
      <c r="G53" s="92"/>
      <c r="H53" s="92"/>
      <c r="I53" s="92"/>
      <c r="J53" s="93"/>
      <c r="K53" s="89"/>
      <c r="L53" s="89"/>
      <c r="M53" s="89"/>
      <c r="N53" s="89"/>
      <c r="O53" s="89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 spans="1:25">
      <c r="A54" s="55"/>
      <c r="B54" s="60"/>
      <c r="C54" s="91"/>
      <c r="D54" s="92"/>
      <c r="E54" s="92"/>
      <c r="F54" s="92"/>
      <c r="G54" s="92"/>
      <c r="H54" s="92"/>
      <c r="I54" s="92"/>
      <c r="J54" s="93"/>
      <c r="K54" s="89"/>
      <c r="L54" s="89"/>
      <c r="M54" s="89"/>
      <c r="N54" s="89"/>
      <c r="O54" s="89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spans="1:25">
      <c r="A55" s="55"/>
      <c r="B55" s="60"/>
      <c r="C55" s="91"/>
      <c r="D55" s="92"/>
      <c r="E55" s="92"/>
      <c r="F55" s="92"/>
      <c r="G55" s="92"/>
      <c r="H55" s="92"/>
      <c r="I55" s="92"/>
      <c r="J55" s="93"/>
      <c r="K55" s="89"/>
      <c r="L55" s="89"/>
      <c r="M55" s="89"/>
      <c r="N55" s="89"/>
      <c r="O55" s="89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spans="1:25">
      <c r="A56" s="55"/>
      <c r="B56" s="60"/>
      <c r="C56" s="91"/>
      <c r="D56" s="92"/>
      <c r="E56" s="92"/>
      <c r="F56" s="92"/>
      <c r="G56" s="92"/>
      <c r="H56" s="92"/>
      <c r="I56" s="92"/>
      <c r="J56" s="93"/>
      <c r="K56" s="89"/>
      <c r="L56" s="89"/>
      <c r="M56" s="89"/>
      <c r="N56" s="89"/>
      <c r="O56" s="89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 spans="1:25">
      <c r="A57" s="55"/>
      <c r="B57" s="60"/>
      <c r="C57" s="91"/>
      <c r="D57" s="92"/>
      <c r="E57" s="92"/>
      <c r="F57" s="92"/>
      <c r="G57" s="92"/>
      <c r="H57" s="92"/>
      <c r="I57" s="92"/>
      <c r="J57" s="93"/>
      <c r="K57" s="89"/>
      <c r="L57" s="89"/>
      <c r="M57" s="89"/>
      <c r="N57" s="89"/>
      <c r="O57" s="89"/>
      <c r="P57" s="50"/>
      <c r="Q57" s="50"/>
      <c r="R57" s="50"/>
      <c r="S57" s="50"/>
      <c r="T57" s="50"/>
      <c r="U57" s="50"/>
      <c r="V57" s="50"/>
      <c r="W57" s="50"/>
      <c r="X57" s="50"/>
      <c r="Y57" s="50"/>
    </row>
    <row r="58" spans="1:25">
      <c r="A58" s="55"/>
      <c r="B58" s="60"/>
      <c r="C58" s="91"/>
      <c r="D58" s="92"/>
      <c r="E58" s="92"/>
      <c r="F58" s="92"/>
      <c r="G58" s="92"/>
      <c r="H58" s="92"/>
      <c r="I58" s="92"/>
      <c r="J58" s="93"/>
      <c r="K58" s="89"/>
      <c r="L58" s="89"/>
      <c r="M58" s="89"/>
      <c r="N58" s="89"/>
      <c r="O58" s="89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 spans="1:25">
      <c r="A59" s="55"/>
      <c r="B59" s="60"/>
      <c r="C59" s="91"/>
      <c r="D59" s="92"/>
      <c r="E59" s="92"/>
      <c r="F59" s="92"/>
      <c r="G59" s="92"/>
      <c r="H59" s="92"/>
      <c r="I59" s="92"/>
      <c r="J59" s="93"/>
      <c r="K59" s="89"/>
      <c r="L59" s="89"/>
      <c r="M59" s="89"/>
      <c r="N59" s="89"/>
      <c r="O59" s="89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 spans="1:25">
      <c r="A60" s="55"/>
      <c r="B60" s="60"/>
      <c r="C60" s="91"/>
      <c r="D60" s="92"/>
      <c r="E60" s="92"/>
      <c r="F60" s="92"/>
      <c r="G60" s="92"/>
      <c r="H60" s="92"/>
      <c r="I60" s="92"/>
      <c r="J60" s="93"/>
      <c r="K60" s="89"/>
      <c r="L60" s="89"/>
      <c r="M60" s="89"/>
      <c r="N60" s="89"/>
      <c r="O60" s="89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spans="1:25">
      <c r="A61" s="55"/>
      <c r="B61" s="60"/>
      <c r="C61" s="91"/>
      <c r="D61" s="92"/>
      <c r="E61" s="92"/>
      <c r="F61" s="92"/>
      <c r="G61" s="92"/>
      <c r="H61" s="92"/>
      <c r="I61" s="92"/>
      <c r="J61" s="93"/>
      <c r="K61" s="89"/>
      <c r="L61" s="89"/>
      <c r="M61" s="89"/>
      <c r="N61" s="89"/>
      <c r="O61" s="89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spans="1:25">
      <c r="A62" s="55"/>
      <c r="B62" s="60"/>
      <c r="C62" s="91"/>
      <c r="D62" s="92"/>
      <c r="E62" s="92"/>
      <c r="F62" s="92"/>
      <c r="G62" s="92"/>
      <c r="H62" s="92"/>
      <c r="I62" s="92"/>
      <c r="J62" s="93"/>
      <c r="K62" s="89"/>
      <c r="L62" s="89"/>
      <c r="M62" s="89"/>
      <c r="N62" s="89"/>
      <c r="O62" s="89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spans="1:25">
      <c r="A63" s="55"/>
      <c r="B63" s="60"/>
      <c r="C63" s="91"/>
      <c r="D63" s="92"/>
      <c r="E63" s="92"/>
      <c r="F63" s="92"/>
      <c r="G63" s="92"/>
      <c r="H63" s="92"/>
      <c r="I63" s="92"/>
      <c r="J63" s="93"/>
      <c r="K63" s="89"/>
      <c r="L63" s="89"/>
      <c r="M63" s="89"/>
      <c r="N63" s="89"/>
      <c r="O63" s="89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spans="1:25">
      <c r="A64" s="55"/>
      <c r="B64" s="60"/>
      <c r="C64" s="91"/>
      <c r="D64" s="92"/>
      <c r="E64" s="92"/>
      <c r="F64" s="92"/>
      <c r="G64" s="92"/>
      <c r="H64" s="92"/>
      <c r="I64" s="92"/>
      <c r="J64" s="93"/>
      <c r="K64" s="89"/>
      <c r="L64" s="89"/>
      <c r="M64" s="89"/>
      <c r="N64" s="89"/>
      <c r="O64" s="89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 spans="1:25">
      <c r="A65" s="55"/>
      <c r="B65" s="60"/>
      <c r="C65" s="91"/>
      <c r="D65" s="92"/>
      <c r="E65" s="92"/>
      <c r="F65" s="92"/>
      <c r="G65" s="92"/>
      <c r="H65" s="92"/>
      <c r="I65" s="92"/>
      <c r="J65" s="93"/>
      <c r="K65" s="89"/>
      <c r="L65" s="89"/>
      <c r="M65" s="89"/>
      <c r="N65" s="89"/>
      <c r="O65" s="89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>
      <c r="A66" s="55"/>
      <c r="B66" s="60"/>
      <c r="C66" s="91"/>
      <c r="D66" s="92"/>
      <c r="E66" s="92"/>
      <c r="F66" s="92"/>
      <c r="G66" s="92"/>
      <c r="H66" s="92"/>
      <c r="I66" s="92"/>
      <c r="J66" s="93"/>
      <c r="K66" s="89"/>
      <c r="L66" s="89"/>
      <c r="M66" s="89"/>
      <c r="N66" s="89"/>
      <c r="O66" s="89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 spans="1:25">
      <c r="A67" s="55"/>
      <c r="B67" s="60"/>
      <c r="C67" s="91"/>
      <c r="D67" s="92"/>
      <c r="E67" s="92"/>
      <c r="F67" s="92"/>
      <c r="G67" s="92"/>
      <c r="H67" s="92"/>
      <c r="I67" s="92"/>
      <c r="J67" s="93"/>
      <c r="K67" s="89"/>
      <c r="L67" s="89"/>
      <c r="M67" s="89"/>
      <c r="N67" s="89"/>
      <c r="O67" s="89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 spans="1:25">
      <c r="A68" s="55"/>
      <c r="B68" s="60"/>
      <c r="C68" s="91"/>
      <c r="D68" s="92"/>
      <c r="E68" s="92"/>
      <c r="F68" s="92"/>
      <c r="G68" s="92"/>
      <c r="H68" s="92"/>
      <c r="I68" s="92"/>
      <c r="J68" s="93"/>
      <c r="K68" s="89"/>
      <c r="L68" s="89"/>
      <c r="M68" s="89"/>
      <c r="N68" s="89"/>
      <c r="O68" s="89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 spans="1:25">
      <c r="A69" s="55"/>
      <c r="B69" s="60"/>
      <c r="C69" s="91"/>
      <c r="D69" s="92"/>
      <c r="E69" s="92"/>
      <c r="F69" s="92"/>
      <c r="G69" s="92"/>
      <c r="H69" s="92"/>
      <c r="I69" s="92"/>
      <c r="J69" s="93"/>
      <c r="K69" s="89"/>
      <c r="L69" s="89"/>
      <c r="M69" s="89"/>
      <c r="N69" s="89"/>
      <c r="O69" s="89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 spans="1:25">
      <c r="A70" s="55"/>
      <c r="B70" s="60"/>
      <c r="C70" s="91"/>
      <c r="D70" s="92"/>
      <c r="E70" s="92"/>
      <c r="F70" s="92"/>
      <c r="G70" s="92"/>
      <c r="H70" s="92"/>
      <c r="I70" s="92"/>
      <c r="J70" s="93"/>
      <c r="K70" s="89"/>
      <c r="L70" s="89"/>
      <c r="M70" s="89"/>
      <c r="N70" s="89"/>
      <c r="O70" s="89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 spans="1:25">
      <c r="A71" s="55"/>
      <c r="B71" s="60"/>
      <c r="C71" s="91"/>
      <c r="D71" s="92"/>
      <c r="E71" s="92"/>
      <c r="F71" s="92"/>
      <c r="G71" s="92"/>
      <c r="H71" s="92"/>
      <c r="I71" s="92"/>
      <c r="J71" s="93"/>
      <c r="K71" s="89"/>
      <c r="L71" s="89"/>
      <c r="M71" s="89"/>
      <c r="N71" s="89"/>
      <c r="O71" s="89"/>
      <c r="P71" s="50"/>
      <c r="Q71" s="50"/>
      <c r="R71" s="50"/>
      <c r="S71" s="50"/>
      <c r="T71" s="50"/>
      <c r="U71" s="50"/>
      <c r="V71" s="50"/>
      <c r="W71" s="50"/>
      <c r="X71" s="50"/>
      <c r="Y71" s="50"/>
    </row>
  </sheetData>
  <autoFilter ref="A7:Z7" xr:uid="{00000000-0009-0000-0000-000002000000}"/>
  <mergeCells count="51">
    <mergeCell ref="C71:J71"/>
    <mergeCell ref="K71:O71"/>
    <mergeCell ref="C68:J68"/>
    <mergeCell ref="K68:O68"/>
    <mergeCell ref="C69:J69"/>
    <mergeCell ref="K69:O69"/>
    <mergeCell ref="C70:J70"/>
    <mergeCell ref="K70:O70"/>
    <mergeCell ref="C65:J65"/>
    <mergeCell ref="K65:O65"/>
    <mergeCell ref="C66:J66"/>
    <mergeCell ref="K66:O66"/>
    <mergeCell ref="C67:J67"/>
    <mergeCell ref="K67:O67"/>
    <mergeCell ref="C62:J62"/>
    <mergeCell ref="K62:O62"/>
    <mergeCell ref="C63:J63"/>
    <mergeCell ref="K63:O63"/>
    <mergeCell ref="C64:J64"/>
    <mergeCell ref="K64:O64"/>
    <mergeCell ref="C59:J59"/>
    <mergeCell ref="K59:O59"/>
    <mergeCell ref="C60:J60"/>
    <mergeCell ref="K60:O60"/>
    <mergeCell ref="C61:J61"/>
    <mergeCell ref="K61:O61"/>
    <mergeCell ref="C56:J56"/>
    <mergeCell ref="K56:O56"/>
    <mergeCell ref="C57:J57"/>
    <mergeCell ref="K57:O57"/>
    <mergeCell ref="C58:J58"/>
    <mergeCell ref="K58:O58"/>
    <mergeCell ref="C53:J53"/>
    <mergeCell ref="K53:O53"/>
    <mergeCell ref="C54:J54"/>
    <mergeCell ref="K54:O54"/>
    <mergeCell ref="C55:J55"/>
    <mergeCell ref="K55:O55"/>
    <mergeCell ref="C50:J50"/>
    <mergeCell ref="K50:O50"/>
    <mergeCell ref="C51:J51"/>
    <mergeCell ref="K51:O51"/>
    <mergeCell ref="C52:J52"/>
    <mergeCell ref="K52:O52"/>
    <mergeCell ref="C49:J49"/>
    <mergeCell ref="K49:O49"/>
    <mergeCell ref="A6:B6"/>
    <mergeCell ref="C6:Z6"/>
    <mergeCell ref="A47:O47"/>
    <mergeCell ref="C48:J48"/>
    <mergeCell ref="K48:O48"/>
  </mergeCells>
  <pageMargins left="0.27559055118110237" right="0.27559055118110237" top="7.9687499999999994E-2" bottom="0.63749999999999996" header="0.23622047244094491" footer="0.31496062992125984"/>
  <pageSetup scale="85" orientation="landscape" r:id="rId1"/>
  <headerFooter>
    <oddFooter>&amp;R&amp;"Abadi Extra Light,Normal"&amp;10RHF19 - Tercera - 01/03/2024                   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251" r:id="rId4">
          <objectPr defaultSize="0" autoPict="0" r:id="rId5">
            <anchor moveWithCells="1" sizeWithCells="1">
              <from>
                <xdr:col>22</xdr:col>
                <xdr:colOff>171450</xdr:colOff>
                <xdr:row>0</xdr:row>
                <xdr:rowOff>85725</xdr:rowOff>
              </from>
              <to>
                <xdr:col>26</xdr:col>
                <xdr:colOff>28575</xdr:colOff>
                <xdr:row>2</xdr:row>
                <xdr:rowOff>152400</xdr:rowOff>
              </to>
            </anchor>
          </objectPr>
        </oleObject>
      </mc:Choice>
      <mc:Fallback>
        <oleObject progId="PBrush" shapeId="10251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B2:F7"/>
  <sheetViews>
    <sheetView workbookViewId="0">
      <selection activeCell="E16" sqref="E16"/>
    </sheetView>
  </sheetViews>
  <sheetFormatPr defaultColWidth="11.42578125" defaultRowHeight="15"/>
  <cols>
    <col min="1" max="1" width="3.140625" customWidth="1"/>
    <col min="2" max="2" width="23.42578125" customWidth="1"/>
    <col min="3" max="3" width="21.140625" customWidth="1"/>
    <col min="4" max="4" width="32.85546875" customWidth="1"/>
    <col min="5" max="5" width="23.28515625" customWidth="1"/>
    <col min="6" max="6" width="25.5703125" customWidth="1"/>
  </cols>
  <sheetData>
    <row r="2" spans="2:6">
      <c r="B2" s="35"/>
      <c r="C2" s="35" t="s">
        <v>116</v>
      </c>
      <c r="D2" s="35" t="s">
        <v>117</v>
      </c>
      <c r="E2" s="39" t="s">
        <v>118</v>
      </c>
      <c r="F2" s="35" t="s">
        <v>119</v>
      </c>
    </row>
    <row r="3" spans="2:6">
      <c r="B3" s="35" t="s">
        <v>120</v>
      </c>
      <c r="C3" s="38">
        <v>17</v>
      </c>
      <c r="D3" s="38">
        <v>13</v>
      </c>
      <c r="E3" t="e">
        <f>'Seg capacitación Calidad'!AL44</f>
        <v>#DIV/0!</v>
      </c>
      <c r="F3">
        <v>18</v>
      </c>
    </row>
    <row r="4" spans="2:6">
      <c r="B4" s="35" t="s">
        <v>121</v>
      </c>
      <c r="C4" s="38">
        <v>20</v>
      </c>
      <c r="D4" s="38">
        <v>6</v>
      </c>
      <c r="E4">
        <f>'Seg eficacia seguridad'!AR44</f>
        <v>0</v>
      </c>
      <c r="F4">
        <v>51</v>
      </c>
    </row>
    <row r="5" spans="2:6">
      <c r="B5" s="35" t="s">
        <v>122</v>
      </c>
      <c r="C5" s="38">
        <v>3</v>
      </c>
      <c r="D5" s="38">
        <v>2</v>
      </c>
      <c r="E5" s="41" t="e">
        <f>#REF!</f>
        <v>#REF!</v>
      </c>
      <c r="F5">
        <v>10</v>
      </c>
    </row>
    <row r="7" spans="2:6">
      <c r="B7" s="35" t="s">
        <v>123</v>
      </c>
      <c r="C7" s="38">
        <v>40</v>
      </c>
      <c r="D7" s="38">
        <v>21</v>
      </c>
      <c r="E7" s="39" t="e">
        <f>SUM(E3:E5)/3</f>
        <v>#DIV/0!</v>
      </c>
      <c r="F7" s="42" t="s">
        <v>124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BDF1A6-1FD7-49C0-AC10-C9A8E4DC3DB7}"/>
</file>

<file path=customXml/itemProps2.xml><?xml version="1.0" encoding="utf-8"?>
<ds:datastoreItem xmlns:ds="http://schemas.openxmlformats.org/officeDocument/2006/customXml" ds:itemID="{215A9AE7-AD58-4CAB-9042-2CFD2236BDD7}"/>
</file>

<file path=customXml/itemProps3.xml><?xml version="1.0" encoding="utf-8"?>
<ds:datastoreItem xmlns:ds="http://schemas.openxmlformats.org/officeDocument/2006/customXml" ds:itemID="{F40B8D4D-457F-4AB9-B990-E23DE3E7A3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Windows</dc:creator>
  <cp:keywords/>
  <dc:description/>
  <cp:lastModifiedBy>Tania Gutierrez</cp:lastModifiedBy>
  <cp:revision/>
  <dcterms:created xsi:type="dcterms:W3CDTF">2020-03-23T20:07:45Z</dcterms:created>
  <dcterms:modified xsi:type="dcterms:W3CDTF">2024-05-06T23:11:08Z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