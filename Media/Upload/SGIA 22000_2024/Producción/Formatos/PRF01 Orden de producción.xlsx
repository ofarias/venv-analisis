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Producción/Formatos/"/>
    </mc:Choice>
  </mc:AlternateContent>
  <xr:revisionPtr revIDLastSave="151" documentId="11_49E1F7164ABDA8AC6DD90BC385DF296AB882AC3D" xr6:coauthVersionLast="47" xr6:coauthVersionMax="47" xr10:uidLastSave="{08631A1B-D48D-47A1-ACAC-69E447978E5D}"/>
  <bookViews>
    <workbookView xWindow="-120" yWindow="-120" windowWidth="29040" windowHeight="15840" xr2:uid="{00000000-000D-0000-FFFF-FFFF00000000}"/>
  </bookViews>
  <sheets>
    <sheet name="PRF01" sheetId="2" r:id="rId1"/>
  </sheets>
  <definedNames>
    <definedName name="_xlnm.Print_Area" localSheetId="0">'PRF01'!$A$1:$Q$77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K21" i="2" s="1"/>
  <c r="L21" i="2" s="1"/>
  <c r="M21" i="2" s="1"/>
  <c r="J22" i="2"/>
  <c r="K22" i="2" s="1"/>
  <c r="L22" i="2" s="1"/>
  <c r="M22" i="2" s="1"/>
  <c r="J23" i="2"/>
  <c r="J20" i="2"/>
  <c r="K20" i="2" s="1"/>
  <c r="B45" i="2"/>
  <c r="B60" i="2" s="1"/>
  <c r="O12" i="2"/>
  <c r="I30" i="2"/>
  <c r="K23" i="2"/>
  <c r="L23" i="2" s="1"/>
  <c r="M23" i="2" s="1"/>
  <c r="N23" i="2" l="1"/>
  <c r="B50" i="2"/>
  <c r="B44" i="2"/>
  <c r="B59" i="2" s="1"/>
  <c r="B55" i="2"/>
  <c r="L20" i="2"/>
  <c r="K30" i="2"/>
  <c r="N21" i="2"/>
  <c r="J30" i="2"/>
  <c r="N22" i="2"/>
  <c r="K41" i="2"/>
  <c r="B47" i="2"/>
  <c r="B54" i="2" l="1"/>
  <c r="B49" i="2"/>
  <c r="D41" i="2"/>
  <c r="B57" i="2"/>
  <c r="B62" i="2"/>
  <c r="P41" i="2"/>
  <c r="B52" i="2"/>
  <c r="L30" i="2"/>
  <c r="M20" i="2"/>
  <c r="M30" i="2" s="1"/>
  <c r="N20" i="2" l="1"/>
  <c r="N30" i="2" s="1"/>
</calcChain>
</file>

<file path=xl/sharedStrings.xml><?xml version="1.0" encoding="utf-8"?>
<sst xmlns="http://schemas.openxmlformats.org/spreadsheetml/2006/main" count="75" uniqueCount="66">
  <si>
    <t>Orden de producción</t>
  </si>
  <si>
    <t>Orden #:</t>
  </si>
  <si>
    <t>Fecha de Solicitud:</t>
  </si>
  <si>
    <t>No. Lote:</t>
  </si>
  <si>
    <t>Fecha de Fabricación:</t>
  </si>
  <si>
    <t>Producto :</t>
  </si>
  <si>
    <t>Consumo preferente:</t>
  </si>
  <si>
    <t>Cantidad Kg:</t>
  </si>
  <si>
    <t>Cliente:</t>
  </si>
  <si>
    <t xml:space="preserve">Envasar en: </t>
  </si>
  <si>
    <t>Formulado</t>
  </si>
  <si>
    <t>Muestra</t>
  </si>
  <si>
    <t>Caja tortilla</t>
  </si>
  <si>
    <t>Caja pan</t>
  </si>
  <si>
    <t>Cuñete</t>
  </si>
  <si>
    <t>Porrón</t>
  </si>
  <si>
    <t>Tambor</t>
  </si>
  <si>
    <t>Contenedor</t>
  </si>
  <si>
    <t>Re-etiquetado</t>
  </si>
  <si>
    <t>Re-envase</t>
  </si>
  <si>
    <t>Tiempo de mezclado por Batch (min).</t>
  </si>
  <si>
    <t>Piezas:</t>
  </si>
  <si>
    <t>Mezclador #:</t>
  </si>
  <si>
    <t>Contenido neto (kg):</t>
  </si>
  <si>
    <t>Hora de inicio:</t>
  </si>
  <si>
    <t>Etiquetas:</t>
  </si>
  <si>
    <t>Hora de termino:</t>
  </si>
  <si>
    <t>No. De operadores:</t>
  </si>
  <si>
    <t>MATERIA PRIMA</t>
  </si>
  <si>
    <t>LOTE</t>
  </si>
  <si>
    <t>Orden de adición</t>
  </si>
  <si>
    <t>%</t>
  </si>
  <si>
    <t>Batch # 1</t>
  </si>
  <si>
    <t>Batch # 2</t>
  </si>
  <si>
    <t>Batch # 3</t>
  </si>
  <si>
    <t>Batch # 4</t>
  </si>
  <si>
    <t>Cantidad total</t>
  </si>
  <si>
    <t>Cantidad entregada</t>
  </si>
  <si>
    <t>Cantidad devuelta</t>
  </si>
  <si>
    <t>Sobrante</t>
  </si>
  <si>
    <t>Merma</t>
  </si>
  <si>
    <t>Total:</t>
  </si>
  <si>
    <t>Realizó (Operador)</t>
  </si>
  <si>
    <t>Autoriza producción</t>
  </si>
  <si>
    <t>Recibe Material Devuelto (Almacén)</t>
  </si>
  <si>
    <t>Nombre y Firma</t>
  </si>
  <si>
    <t xml:space="preserve">LSE: </t>
  </si>
  <si>
    <t>kg</t>
  </si>
  <si>
    <t>Peso Especificación:</t>
  </si>
  <si>
    <t>kg.</t>
  </si>
  <si>
    <t xml:space="preserve">LIE: </t>
  </si>
  <si>
    <t xml:space="preserve">REGISTRO  DE  PESO </t>
  </si>
  <si>
    <t>Batch 1</t>
  </si>
  <si>
    <t>CAJA</t>
  </si>
  <si>
    <t>Batch 2</t>
  </si>
  <si>
    <t>Batch 3</t>
  </si>
  <si>
    <t>Batch 4</t>
  </si>
  <si>
    <t>Material empaque extra</t>
  </si>
  <si>
    <t># serial re-etiquetados</t>
  </si>
  <si>
    <t>Bolsas</t>
  </si>
  <si>
    <t xml:space="preserve"># Serial </t>
  </si>
  <si>
    <t>Folio de etiqueta</t>
  </si>
  <si>
    <t>Cajas</t>
  </si>
  <si>
    <t>Separadores</t>
  </si>
  <si>
    <t>cinchos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</si>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</sst>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0.0"/>
    <numFmt numFmtId="166" formatCode="0.0000"/>
    <numFmt numFmtId="167" formatCode="0.000"/>
    <numFmt numFmtId="168" formatCode="0.0000%"/>
    <numFmt numFmtId="169" formatCode="0.0%"/>
  </numFmts>
  <fonts count="36"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sz val="14"/>
      <color theme="1"/>
      <name val="Arial"/>
      <family val="2"/>
    </font>
    <font>
      <b/>
      <sz val="13"/>
      <color theme="0"/>
      <name val="Arial"/>
      <family val="2"/>
    </font>
    <font>
      <sz val="13"/>
      <color theme="1"/>
      <name val="Arial"/>
      <family val="2"/>
    </font>
    <font>
      <sz val="11"/>
      <name val="Arial"/>
      <family val="2"/>
    </font>
    <font>
      <sz val="13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b/>
      <sz val="13"/>
      <color rgb="FFFF0000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16"/>
      <color theme="1"/>
      <name val="Arial"/>
      <family val="2"/>
    </font>
    <font>
      <b/>
      <sz val="20"/>
      <color theme="0"/>
      <name val="Arial"/>
      <family val="2"/>
    </font>
    <font>
      <b/>
      <sz val="20"/>
      <name val="Arial"/>
      <family val="2"/>
    </font>
    <font>
      <sz val="18"/>
      <color theme="1"/>
      <name val="Arial"/>
      <family val="2"/>
    </font>
    <font>
      <sz val="20"/>
      <name val="Arial"/>
      <family val="2"/>
    </font>
    <font>
      <sz val="20"/>
      <color theme="0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28"/>
      <name val="Arial"/>
      <family val="2"/>
    </font>
    <font>
      <b/>
      <sz val="24"/>
      <name val="Arial"/>
      <family val="2"/>
    </font>
    <font>
      <sz val="16"/>
      <name val="Arial"/>
      <family val="2"/>
    </font>
    <font>
      <b/>
      <sz val="19"/>
      <color theme="1"/>
      <name val="Arial"/>
      <family val="2"/>
    </font>
    <font>
      <b/>
      <sz val="15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1"/>
      <name val="Calibri"/>
      <family val="2"/>
      <scheme val="minor"/>
    </font>
    <font>
      <b/>
      <sz val="24"/>
      <color theme="1"/>
      <name val="Arial"/>
      <family val="2"/>
    </font>
    <font>
      <b/>
      <sz val="28"/>
      <color theme="1"/>
      <name val="Arial"/>
      <family val="2"/>
    </font>
    <font>
      <b/>
      <sz val="3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167" fontId="0" fillId="0" borderId="0" xfId="0" applyNumberFormat="1"/>
    <xf numFmtId="0" fontId="19" fillId="3" borderId="1" xfId="0" applyFont="1" applyFill="1" applyBorder="1"/>
    <xf numFmtId="0" fontId="18" fillId="3" borderId="18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9" fillId="0" borderId="16" xfId="0" applyFont="1" applyBorder="1"/>
    <xf numFmtId="0" fontId="19" fillId="0" borderId="17" xfId="0" applyFont="1" applyBorder="1"/>
    <xf numFmtId="10" fontId="17" fillId="0" borderId="14" xfId="0" applyNumberFormat="1" applyFont="1" applyBorder="1" applyAlignment="1">
      <alignment horizontal="center"/>
    </xf>
    <xf numFmtId="166" fontId="19" fillId="0" borderId="13" xfId="0" applyNumberFormat="1" applyFont="1" applyBorder="1" applyAlignment="1">
      <alignment horizontal="center"/>
    </xf>
    <xf numFmtId="166" fontId="19" fillId="0" borderId="17" xfId="0" applyNumberFormat="1" applyFont="1" applyBorder="1" applyAlignment="1">
      <alignment horizontal="center"/>
    </xf>
    <xf numFmtId="167" fontId="19" fillId="6" borderId="22" xfId="0" applyNumberFormat="1" applyFont="1" applyFill="1" applyBorder="1" applyAlignment="1">
      <alignment horizontal="center"/>
    </xf>
    <xf numFmtId="0" fontId="19" fillId="0" borderId="20" xfId="0" applyFont="1" applyBorder="1"/>
    <xf numFmtId="2" fontId="19" fillId="0" borderId="23" xfId="0" applyNumberFormat="1" applyFont="1" applyBorder="1"/>
    <xf numFmtId="2" fontId="19" fillId="0" borderId="2" xfId="0" applyNumberFormat="1" applyFont="1" applyBorder="1"/>
    <xf numFmtId="0" fontId="15" fillId="3" borderId="18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horizontal="center" vertical="center"/>
    </xf>
    <xf numFmtId="0" fontId="6" fillId="6" borderId="0" xfId="0" applyFont="1" applyFill="1"/>
    <xf numFmtId="0" fontId="2" fillId="6" borderId="0" xfId="0" applyFont="1" applyFill="1"/>
    <xf numFmtId="164" fontId="8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" fontId="10" fillId="6" borderId="0" xfId="0" applyNumberFormat="1" applyFont="1" applyFill="1" applyAlignment="1">
      <alignment horizontal="center"/>
    </xf>
    <xf numFmtId="0" fontId="1" fillId="6" borderId="0" xfId="0" applyFont="1" applyFill="1"/>
    <xf numFmtId="0" fontId="10" fillId="6" borderId="0" xfId="0" applyFont="1" applyFill="1" applyAlignment="1">
      <alignment horizontal="center" vertical="center"/>
    </xf>
    <xf numFmtId="1" fontId="10" fillId="6" borderId="0" xfId="0" applyNumberFormat="1" applyFont="1" applyFill="1" applyAlignment="1">
      <alignment horizontal="center" vertical="top"/>
    </xf>
    <xf numFmtId="0" fontId="2" fillId="6" borderId="0" xfId="0" applyFont="1" applyFill="1" applyAlignment="1">
      <alignment vertical="top"/>
    </xf>
    <xf numFmtId="0" fontId="13" fillId="6" borderId="0" xfId="0" applyFont="1" applyFill="1" applyAlignment="1">
      <alignment vertical="top"/>
    </xf>
    <xf numFmtId="0" fontId="13" fillId="6" borderId="8" xfId="0" applyFont="1" applyFill="1" applyBorder="1" applyAlignment="1">
      <alignment horizontal="center" vertical="top"/>
    </xf>
    <xf numFmtId="0" fontId="0" fillId="6" borderId="0" xfId="0" applyFill="1"/>
    <xf numFmtId="0" fontId="19" fillId="0" borderId="1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4" fillId="6" borderId="0" xfId="0" applyFont="1" applyFill="1" applyAlignment="1">
      <alignment horizontal="right"/>
    </xf>
    <xf numFmtId="0" fontId="13" fillId="6" borderId="0" xfId="0" applyFont="1" applyFill="1" applyAlignment="1">
      <alignment horizontal="right"/>
    </xf>
    <xf numFmtId="0" fontId="1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 vertical="top"/>
    </xf>
    <xf numFmtId="164" fontId="19" fillId="6" borderId="0" xfId="0" applyNumberFormat="1" applyFont="1" applyFill="1" applyAlignment="1">
      <alignment horizontal="center" vertical="center"/>
    </xf>
    <xf numFmtId="0" fontId="14" fillId="6" borderId="0" xfId="0" applyFont="1" applyFill="1"/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49" fontId="25" fillId="6" borderId="0" xfId="0" applyNumberFormat="1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20" fillId="6" borderId="0" xfId="0" applyFont="1" applyFill="1" applyAlignment="1">
      <alignment horizontal="center" vertical="top"/>
    </xf>
    <xf numFmtId="1" fontId="16" fillId="6" borderId="8" xfId="0" applyNumberFormat="1" applyFont="1" applyFill="1" applyBorder="1" applyAlignment="1">
      <alignment horizontal="center" vertical="top"/>
    </xf>
    <xf numFmtId="49" fontId="1" fillId="0" borderId="0" xfId="0" applyNumberFormat="1" applyFont="1"/>
    <xf numFmtId="167" fontId="19" fillId="0" borderId="14" xfId="0" applyNumberFormat="1" applyFont="1" applyBorder="1" applyAlignment="1">
      <alignment horizontal="center"/>
    </xf>
    <xf numFmtId="167" fontId="17" fillId="6" borderId="21" xfId="0" applyNumberFormat="1" applyFont="1" applyFill="1" applyBorder="1" applyAlignment="1">
      <alignment horizontal="center"/>
    </xf>
    <xf numFmtId="0" fontId="19" fillId="0" borderId="19" xfId="0" applyFont="1" applyBorder="1"/>
    <xf numFmtId="168" fontId="17" fillId="0" borderId="14" xfId="0" applyNumberFormat="1" applyFont="1" applyBorder="1" applyAlignment="1">
      <alignment horizontal="center"/>
    </xf>
    <xf numFmtId="169" fontId="17" fillId="6" borderId="23" xfId="0" applyNumberFormat="1" applyFont="1" applyFill="1" applyBorder="1" applyAlignment="1">
      <alignment horizontal="center"/>
    </xf>
    <xf numFmtId="165" fontId="19" fillId="6" borderId="23" xfId="0" applyNumberFormat="1" applyFont="1" applyFill="1" applyBorder="1" applyAlignment="1">
      <alignment horizontal="center"/>
    </xf>
    <xf numFmtId="165" fontId="17" fillId="6" borderId="23" xfId="0" applyNumberFormat="1" applyFont="1" applyFill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5" fontId="17" fillId="0" borderId="10" xfId="0" applyNumberFormat="1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27" fillId="5" borderId="13" xfId="0" applyFont="1" applyFill="1" applyBorder="1" applyAlignment="1">
      <alignment horizontal="center" vertical="center"/>
    </xf>
    <xf numFmtId="0" fontId="31" fillId="6" borderId="0" xfId="0" applyFont="1" applyFill="1"/>
    <xf numFmtId="0" fontId="24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right" vertical="top"/>
    </xf>
    <xf numFmtId="0" fontId="19" fillId="6" borderId="0" xfId="0" applyFont="1" applyFill="1" applyAlignment="1">
      <alignment horizontal="center" vertical="top"/>
    </xf>
    <xf numFmtId="0" fontId="32" fillId="6" borderId="0" xfId="0" applyFont="1" applyFill="1"/>
    <xf numFmtId="0" fontId="35" fillId="6" borderId="0" xfId="0" applyFont="1" applyFill="1"/>
    <xf numFmtId="0" fontId="4" fillId="6" borderId="0" xfId="0" applyFont="1" applyFill="1"/>
    <xf numFmtId="0" fontId="19" fillId="6" borderId="0" xfId="0" applyFont="1" applyFill="1"/>
    <xf numFmtId="0" fontId="11" fillId="6" borderId="0" xfId="0" applyFont="1" applyFill="1" applyAlignment="1">
      <alignment horizontal="center"/>
    </xf>
    <xf numFmtId="1" fontId="12" fillId="6" borderId="0" xfId="0" applyNumberFormat="1" applyFont="1" applyFill="1" applyAlignment="1">
      <alignment horizontal="center"/>
    </xf>
    <xf numFmtId="49" fontId="1" fillId="6" borderId="0" xfId="0" applyNumberFormat="1" applyFont="1" applyFill="1"/>
    <xf numFmtId="0" fontId="27" fillId="0" borderId="20" xfId="0" applyFont="1" applyBorder="1" applyAlignment="1">
      <alignment horizontal="left" vertical="center"/>
    </xf>
    <xf numFmtId="0" fontId="30" fillId="6" borderId="0" xfId="0" applyFont="1" applyFill="1" applyAlignment="1">
      <alignment horizontal="right"/>
    </xf>
    <xf numFmtId="0" fontId="18" fillId="0" borderId="0" xfId="0" applyFont="1" applyAlignment="1">
      <alignment horizontal="left"/>
    </xf>
    <xf numFmtId="0" fontId="18" fillId="3" borderId="29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vertical="center"/>
    </xf>
    <xf numFmtId="0" fontId="27" fillId="5" borderId="17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31" fillId="6" borderId="0" xfId="0" applyFont="1" applyFill="1" applyAlignment="1">
      <alignment horizontal="center"/>
    </xf>
    <xf numFmtId="0" fontId="15" fillId="3" borderId="23" xfId="0" applyFont="1" applyFill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7" fillId="0" borderId="0" xfId="0" applyFont="1" applyAlignment="1">
      <alignment vertical="top" wrapText="1"/>
    </xf>
    <xf numFmtId="49" fontId="1" fillId="6" borderId="8" xfId="0" applyNumberFormat="1" applyFont="1" applyFill="1" applyBorder="1"/>
    <xf numFmtId="0" fontId="17" fillId="0" borderId="13" xfId="0" applyFont="1" applyBorder="1" applyAlignment="1">
      <alignment vertical="center"/>
    </xf>
    <xf numFmtId="0" fontId="17" fillId="6" borderId="12" xfId="0" applyFont="1" applyFill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13" fillId="3" borderId="29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23" fillId="6" borderId="2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textRotation="90"/>
    </xf>
    <xf numFmtId="0" fontId="21" fillId="0" borderId="1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165" fontId="21" fillId="0" borderId="20" xfId="0" applyNumberFormat="1" applyFont="1" applyBorder="1" applyAlignment="1">
      <alignment horizontal="right" vertical="center"/>
    </xf>
    <xf numFmtId="0" fontId="21" fillId="0" borderId="20" xfId="0" applyFont="1" applyBorder="1" applyAlignment="1">
      <alignment horizontal="right" vertical="center"/>
    </xf>
    <xf numFmtId="0" fontId="7" fillId="2" borderId="2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17" fillId="3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6" borderId="39" xfId="0" applyNumberFormat="1" applyFont="1" applyFill="1" applyBorder="1" applyAlignment="1">
      <alignment horizontal="center"/>
    </xf>
    <xf numFmtId="49" fontId="1" fillId="6" borderId="40" xfId="0" applyNumberFormat="1" applyFont="1" applyFill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  <xf numFmtId="49" fontId="1" fillId="6" borderId="37" xfId="0" applyNumberFormat="1" applyFont="1" applyFill="1" applyBorder="1" applyAlignment="1">
      <alignment horizontal="center"/>
    </xf>
    <xf numFmtId="49" fontId="1" fillId="6" borderId="38" xfId="0" applyNumberFormat="1" applyFont="1" applyFill="1" applyBorder="1" applyAlignment="1">
      <alignment horizontal="center"/>
    </xf>
    <xf numFmtId="20" fontId="17" fillId="6" borderId="8" xfId="0" applyNumberFormat="1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0" fontId="13" fillId="6" borderId="0" xfId="0" applyFont="1" applyFill="1" applyAlignment="1">
      <alignment horizontal="right"/>
    </xf>
    <xf numFmtId="20" fontId="19" fillId="6" borderId="12" xfId="0" applyNumberFormat="1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26" fillId="6" borderId="8" xfId="0" applyFont="1" applyFill="1" applyBorder="1" applyAlignment="1">
      <alignment horizontal="center"/>
    </xf>
    <xf numFmtId="164" fontId="27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64" fontId="19" fillId="6" borderId="0" xfId="0" applyNumberFormat="1" applyFont="1" applyFill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64" fontId="27" fillId="6" borderId="13" xfId="0" applyNumberFormat="1" applyFont="1" applyFill="1" applyBorder="1" applyAlignment="1">
      <alignment horizontal="center" vertical="center"/>
    </xf>
    <xf numFmtId="0" fontId="18" fillId="6" borderId="0" xfId="0" applyFont="1" applyFill="1" applyAlignment="1">
      <alignment horizontal="right"/>
    </xf>
    <xf numFmtId="0" fontId="19" fillId="6" borderId="0" xfId="0" applyFont="1" applyFill="1" applyAlignment="1">
      <alignment horizontal="right"/>
    </xf>
    <xf numFmtId="164" fontId="13" fillId="6" borderId="8" xfId="0" applyNumberFormat="1" applyFont="1" applyFill="1" applyBorder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4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4" fillId="6" borderId="0" xfId="0" applyFont="1" applyFill="1" applyAlignment="1">
      <alignment horizontal="right"/>
    </xf>
    <xf numFmtId="0" fontId="14" fillId="6" borderId="0" xfId="0" applyFont="1" applyFill="1" applyAlignment="1">
      <alignment horizontal="right" vertical="center"/>
    </xf>
    <xf numFmtId="0" fontId="28" fillId="6" borderId="0" xfId="0" applyFont="1" applyFill="1" applyAlignment="1">
      <alignment horizontal="right"/>
    </xf>
    <xf numFmtId="164" fontId="27" fillId="6" borderId="0" xfId="0" applyNumberFormat="1" applyFont="1" applyFill="1" applyAlignment="1">
      <alignment horizontal="center"/>
    </xf>
    <xf numFmtId="164" fontId="19" fillId="6" borderId="8" xfId="0" applyNumberFormat="1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49" fontId="1" fillId="6" borderId="35" xfId="0" applyNumberFormat="1" applyFont="1" applyFill="1" applyBorder="1" applyAlignment="1">
      <alignment horizontal="center"/>
    </xf>
    <xf numFmtId="49" fontId="1" fillId="6" borderId="36" xfId="0" applyNumberFormat="1" applyFont="1" applyFill="1" applyBorder="1" applyAlignment="1">
      <alignment horizontal="center"/>
    </xf>
    <xf numFmtId="49" fontId="19" fillId="6" borderId="10" xfId="0" applyNumberFormat="1" applyFont="1" applyFill="1" applyBorder="1" applyAlignment="1">
      <alignment horizontal="center"/>
    </xf>
    <xf numFmtId="49" fontId="19" fillId="6" borderId="12" xfId="0" applyNumberFormat="1" applyFont="1" applyFill="1" applyBorder="1" applyAlignment="1">
      <alignment horizontal="center"/>
    </xf>
    <xf numFmtId="49" fontId="19" fillId="6" borderId="11" xfId="0" applyNumberFormat="1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17" fillId="0" borderId="29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23" fillId="6" borderId="31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top" wrapText="1"/>
    </xf>
    <xf numFmtId="0" fontId="27" fillId="6" borderId="8" xfId="0" applyFont="1" applyFill="1" applyBorder="1" applyAlignment="1">
      <alignment horizontal="center" vertical="top" wrapText="1"/>
    </xf>
    <xf numFmtId="0" fontId="27" fillId="6" borderId="9" xfId="0" applyFont="1" applyFill="1" applyBorder="1" applyAlignment="1">
      <alignment horizontal="center" vertical="top" wrapText="1"/>
    </xf>
    <xf numFmtId="0" fontId="27" fillId="6" borderId="7" xfId="0" applyFont="1" applyFill="1" applyBorder="1" applyAlignment="1">
      <alignment horizontal="center" vertical="top" wrapText="1"/>
    </xf>
    <xf numFmtId="0" fontId="27" fillId="6" borderId="30" xfId="0" applyFont="1" applyFill="1" applyBorder="1" applyAlignment="1">
      <alignment horizontal="center" vertical="top" wrapText="1"/>
    </xf>
    <xf numFmtId="49" fontId="1" fillId="6" borderId="37" xfId="0" applyNumberFormat="1" applyFont="1" applyFill="1" applyBorder="1" applyAlignment="1"/>
    <xf numFmtId="49" fontId="1" fillId="6" borderId="38" xfId="0" applyNumberFormat="1" applyFont="1" applyFill="1" applyBorder="1" applyAlignment="1"/>
    <xf numFmtId="49" fontId="1" fillId="6" borderId="39" xfId="0" applyNumberFormat="1" applyFont="1" applyFill="1" applyBorder="1" applyAlignment="1"/>
    <xf numFmtId="49" fontId="1" fillId="6" borderId="4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727982</xdr:colOff>
      <xdr:row>0</xdr:row>
      <xdr:rowOff>71439</xdr:rowOff>
    </xdr:from>
    <xdr:to>
      <xdr:col>16</xdr:col>
      <xdr:colOff>976000</xdr:colOff>
      <xdr:row>3</xdr:row>
      <xdr:rowOff>541423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F7A6476-DACE-4AA8-93BE-BA8391A8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4545" y="71439"/>
          <a:ext cx="2676893" cy="1041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view="pageBreakPreview" topLeftCell="A45" zoomScale="40" zoomScaleNormal="30" zoomScaleSheetLayoutView="40" zoomScalePageLayoutView="50" workbookViewId="0">
      <selection activeCell="I4" sqref="I4"/>
    </sheetView>
  </sheetViews>
  <sheetFormatPr defaultColWidth="11.42578125" defaultRowHeight="15"/>
  <cols>
    <col min="1" max="1" width="16.140625" customWidth="1"/>
    <col min="2" max="2" width="10.42578125" customWidth="1"/>
    <col min="3" max="3" width="14.28515625" customWidth="1"/>
    <col min="4" max="4" width="14" customWidth="1"/>
    <col min="5" max="5" width="14.140625" customWidth="1"/>
    <col min="6" max="7" width="15.7109375" customWidth="1"/>
    <col min="8" max="8" width="14.5703125" customWidth="1"/>
    <col min="9" max="9" width="15" customWidth="1"/>
    <col min="10" max="11" width="15.7109375" customWidth="1"/>
    <col min="12" max="17" width="18.28515625" customWidth="1"/>
  </cols>
  <sheetData>
    <row r="1" spans="1:17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ht="45">
      <c r="A4" s="70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ht="50.25" customHeight="1" thickBot="1">
      <c r="A5" s="181" t="s">
        <v>1</v>
      </c>
      <c r="B5" s="181"/>
      <c r="C5" s="179"/>
      <c r="D5" s="179"/>
      <c r="E5" s="179"/>
      <c r="F5" s="43"/>
      <c r="G5" s="43"/>
      <c r="H5" s="33"/>
      <c r="I5" s="43"/>
      <c r="J5" s="43"/>
      <c r="K5" s="43"/>
      <c r="L5" s="165" t="s">
        <v>2</v>
      </c>
      <c r="M5" s="165"/>
      <c r="N5" s="165"/>
      <c r="O5" s="164"/>
      <c r="P5" s="164"/>
      <c r="Q5" s="164"/>
    </row>
    <row r="6" spans="1:17" ht="49.5" customHeight="1" thickBot="1">
      <c r="A6" s="182" t="s">
        <v>3</v>
      </c>
      <c r="B6" s="182"/>
      <c r="C6" s="179"/>
      <c r="D6" s="179"/>
      <c r="E6" s="179"/>
      <c r="F6" s="43"/>
      <c r="G6" s="43"/>
      <c r="H6" s="33"/>
      <c r="I6" s="43"/>
      <c r="J6" s="43"/>
      <c r="K6" s="43"/>
      <c r="L6" s="165" t="s">
        <v>4</v>
      </c>
      <c r="M6" s="165"/>
      <c r="N6" s="165"/>
      <c r="O6" s="177"/>
      <c r="P6" s="177"/>
      <c r="Q6" s="177"/>
    </row>
    <row r="7" spans="1:17" ht="51.75" customHeight="1" thickBot="1">
      <c r="A7" s="182" t="s">
        <v>5</v>
      </c>
      <c r="B7" s="182"/>
      <c r="C7" s="178"/>
      <c r="D7" s="178"/>
      <c r="E7" s="178"/>
      <c r="F7" s="178"/>
      <c r="G7" s="178"/>
      <c r="H7" s="33"/>
      <c r="I7" s="44"/>
      <c r="J7" s="44"/>
      <c r="K7" s="44"/>
      <c r="L7" s="165" t="s">
        <v>6</v>
      </c>
      <c r="M7" s="165"/>
      <c r="N7" s="165"/>
      <c r="O7" s="177"/>
      <c r="P7" s="177"/>
      <c r="Q7" s="177"/>
    </row>
    <row r="8" spans="1:17" ht="50.25" customHeight="1" thickBot="1">
      <c r="A8" s="183" t="s">
        <v>7</v>
      </c>
      <c r="B8" s="183"/>
      <c r="C8" s="179"/>
      <c r="D8" s="179"/>
      <c r="E8" s="179"/>
      <c r="F8" s="45"/>
      <c r="G8" s="45"/>
      <c r="H8" s="33"/>
      <c r="I8" s="45"/>
      <c r="J8" s="20"/>
      <c r="K8" s="42"/>
      <c r="L8" s="165" t="s">
        <v>8</v>
      </c>
      <c r="M8" s="165"/>
      <c r="N8" s="165"/>
      <c r="O8" s="185"/>
      <c r="P8" s="185"/>
      <c r="Q8" s="185"/>
    </row>
    <row r="9" spans="1:17" ht="42.75" customHeight="1" thickBot="1">
      <c r="A9" s="71"/>
      <c r="B9" s="180"/>
      <c r="C9" s="180"/>
      <c r="D9" s="180"/>
      <c r="E9" s="180"/>
      <c r="F9" s="184"/>
      <c r="G9" s="184"/>
      <c r="H9" s="33"/>
      <c r="I9" s="41"/>
      <c r="J9" s="21"/>
      <c r="K9" s="38"/>
      <c r="L9" s="38"/>
      <c r="M9" s="186" t="s">
        <v>9</v>
      </c>
      <c r="N9" s="186"/>
      <c r="O9" s="186"/>
      <c r="P9" s="186"/>
      <c r="Q9" s="186"/>
    </row>
    <row r="10" spans="1:17" ht="29.25" customHeight="1" thickBot="1">
      <c r="A10" s="37"/>
      <c r="B10" s="170" t="s">
        <v>10</v>
      </c>
      <c r="C10" s="170"/>
      <c r="D10" s="171" t="s">
        <v>11</v>
      </c>
      <c r="E10" s="171"/>
      <c r="F10" s="172"/>
      <c r="G10" s="172"/>
      <c r="H10" s="33"/>
      <c r="I10" s="41"/>
      <c r="J10" s="21"/>
      <c r="K10" s="33"/>
      <c r="L10" s="173" t="s">
        <v>12</v>
      </c>
      <c r="M10" s="173" t="s">
        <v>13</v>
      </c>
      <c r="N10" s="174" t="s">
        <v>14</v>
      </c>
      <c r="O10" s="174" t="s">
        <v>15</v>
      </c>
      <c r="P10" s="174" t="s">
        <v>16</v>
      </c>
      <c r="Q10" s="174" t="s">
        <v>17</v>
      </c>
    </row>
    <row r="11" spans="1:17" ht="25.5" customHeight="1" thickBot="1">
      <c r="A11" s="33"/>
      <c r="B11" s="170" t="s">
        <v>18</v>
      </c>
      <c r="C11" s="170"/>
      <c r="D11" s="171" t="s">
        <v>19</v>
      </c>
      <c r="E11" s="171"/>
      <c r="F11" s="33"/>
      <c r="G11" s="33"/>
      <c r="H11" s="33"/>
      <c r="I11" s="22"/>
      <c r="J11" s="21"/>
      <c r="K11" s="37"/>
      <c r="L11" s="173"/>
      <c r="M11" s="173"/>
      <c r="N11" s="174"/>
      <c r="O11" s="174"/>
      <c r="P11" s="174"/>
      <c r="Q11" s="174"/>
    </row>
    <row r="12" spans="1:17" ht="49.5" customHeight="1" thickBot="1">
      <c r="A12" s="175" t="s">
        <v>20</v>
      </c>
      <c r="B12" s="175"/>
      <c r="C12" s="175"/>
      <c r="D12" s="175"/>
      <c r="E12" s="175"/>
      <c r="F12" s="163"/>
      <c r="G12" s="163"/>
      <c r="H12" s="33"/>
      <c r="I12" s="23"/>
      <c r="J12" s="24"/>
      <c r="K12" s="37"/>
      <c r="L12" s="37"/>
      <c r="M12" s="165" t="s">
        <v>21</v>
      </c>
      <c r="N12" s="165"/>
      <c r="O12" s="169" t="e">
        <f>C8/O13</f>
        <v>#DIV/0!</v>
      </c>
      <c r="P12" s="169"/>
      <c r="Q12" s="72"/>
    </row>
    <row r="13" spans="1:17" ht="51" customHeight="1" thickBot="1">
      <c r="A13" s="33"/>
      <c r="B13" s="33"/>
      <c r="C13" s="165" t="s">
        <v>22</v>
      </c>
      <c r="D13" s="165"/>
      <c r="E13" s="165"/>
      <c r="F13" s="168"/>
      <c r="G13" s="168"/>
      <c r="H13" s="33"/>
      <c r="I13" s="47"/>
      <c r="J13" s="21"/>
      <c r="K13" s="37"/>
      <c r="L13" s="37"/>
      <c r="M13" s="165" t="s">
        <v>23</v>
      </c>
      <c r="N13" s="165"/>
      <c r="O13" s="169"/>
      <c r="P13" s="169"/>
      <c r="Q13" s="33"/>
    </row>
    <row r="14" spans="1:17" ht="49.5" customHeight="1" thickBot="1">
      <c r="A14" s="176" t="s">
        <v>24</v>
      </c>
      <c r="B14" s="176"/>
      <c r="C14" s="176"/>
      <c r="D14" s="162"/>
      <c r="E14" s="163"/>
      <c r="F14" s="163"/>
      <c r="G14" s="163"/>
      <c r="H14" s="33"/>
      <c r="I14" s="48"/>
      <c r="J14" s="28"/>
      <c r="K14" s="21"/>
      <c r="L14" s="21"/>
      <c r="M14" s="33"/>
      <c r="N14" s="38" t="s">
        <v>25</v>
      </c>
      <c r="O14" s="164"/>
      <c r="P14" s="164"/>
      <c r="Q14" s="21"/>
    </row>
    <row r="15" spans="1:17" ht="50.25" customHeight="1" thickBot="1">
      <c r="A15" s="176" t="s">
        <v>26</v>
      </c>
      <c r="B15" s="176"/>
      <c r="C15" s="176"/>
      <c r="D15" s="166"/>
      <c r="E15" s="167"/>
      <c r="F15" s="167"/>
      <c r="G15" s="167"/>
      <c r="H15" s="33"/>
      <c r="I15" s="46"/>
      <c r="J15" s="21"/>
      <c r="K15" s="21"/>
      <c r="L15" s="21"/>
      <c r="M15" s="33"/>
      <c r="N15" s="33"/>
      <c r="O15" s="33"/>
      <c r="P15" s="33"/>
      <c r="Q15" s="73"/>
    </row>
    <row r="16" spans="1:17" ht="51" customHeight="1" thickBot="1">
      <c r="A16" s="176" t="s">
        <v>27</v>
      </c>
      <c r="B16" s="176"/>
      <c r="C16" s="176"/>
      <c r="D16" s="176"/>
      <c r="E16" s="93"/>
      <c r="F16" s="93"/>
      <c r="G16" s="93"/>
      <c r="H16" s="33"/>
      <c r="I16" s="25"/>
      <c r="J16" s="26"/>
      <c r="K16" s="23"/>
      <c r="L16" s="23"/>
      <c r="M16" s="23"/>
      <c r="N16" s="33"/>
      <c r="O16" s="33"/>
      <c r="P16" s="33"/>
      <c r="Q16" s="74"/>
    </row>
    <row r="17" spans="1:17" ht="24.75" customHeight="1" thickBot="1">
      <c r="A17" s="67"/>
      <c r="B17" s="67"/>
      <c r="C17" s="67"/>
      <c r="D17" s="67"/>
      <c r="E17" s="67"/>
      <c r="F17" s="68"/>
      <c r="G17" s="68"/>
      <c r="H17" s="49"/>
      <c r="I17" s="49"/>
      <c r="J17" s="29"/>
      <c r="K17" s="40"/>
      <c r="L17" s="40"/>
      <c r="M17" s="50"/>
      <c r="N17" s="30"/>
      <c r="O17" s="31"/>
      <c r="P17" s="32"/>
      <c r="Q17" s="40"/>
    </row>
    <row r="18" spans="1:17" ht="6" customHeight="1" thickBot="1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00"/>
      <c r="Q18" s="101"/>
    </row>
    <row r="19" spans="1:17" ht="73.5" customHeight="1" thickBot="1">
      <c r="A19" s="102" t="s">
        <v>28</v>
      </c>
      <c r="B19" s="103"/>
      <c r="C19" s="103"/>
      <c r="D19" s="103"/>
      <c r="E19" s="104"/>
      <c r="F19" s="105" t="s">
        <v>29</v>
      </c>
      <c r="G19" s="106"/>
      <c r="H19" s="16" t="s">
        <v>30</v>
      </c>
      <c r="I19" s="4" t="s">
        <v>31</v>
      </c>
      <c r="J19" s="5" t="s">
        <v>32</v>
      </c>
      <c r="K19" s="5" t="s">
        <v>33</v>
      </c>
      <c r="L19" s="5" t="s">
        <v>34</v>
      </c>
      <c r="M19" s="5" t="s">
        <v>35</v>
      </c>
      <c r="N19" s="6" t="s">
        <v>36</v>
      </c>
      <c r="O19" s="3" t="s">
        <v>37</v>
      </c>
      <c r="P19" s="79" t="s">
        <v>38</v>
      </c>
      <c r="Q19" s="87" t="s">
        <v>39</v>
      </c>
    </row>
    <row r="20" spans="1:17" ht="45" customHeight="1">
      <c r="A20" s="107"/>
      <c r="B20" s="108"/>
      <c r="C20" s="108"/>
      <c r="D20" s="107"/>
      <c r="E20" s="107"/>
      <c r="F20" s="109"/>
      <c r="G20" s="109"/>
      <c r="H20" s="36">
        <v>1</v>
      </c>
      <c r="I20" s="9"/>
      <c r="J20" s="52">
        <f>$C$8*I20/4</f>
        <v>0</v>
      </c>
      <c r="K20" s="52">
        <f>J20</f>
        <v>0</v>
      </c>
      <c r="L20" s="52">
        <f t="shared" ref="L20:M20" si="0">K20</f>
        <v>0</v>
      </c>
      <c r="M20" s="52">
        <f t="shared" si="0"/>
        <v>0</v>
      </c>
      <c r="N20" s="53">
        <f>SUM(J20:M20)</f>
        <v>0</v>
      </c>
      <c r="O20" s="54"/>
      <c r="P20" s="7"/>
      <c r="Q20" s="110"/>
    </row>
    <row r="21" spans="1:17" ht="45" customHeight="1">
      <c r="A21" s="94"/>
      <c r="B21" s="95"/>
      <c r="C21" s="95"/>
      <c r="D21" s="94"/>
      <c r="E21" s="94"/>
      <c r="F21" s="96"/>
      <c r="G21" s="96"/>
      <c r="H21" s="34">
        <v>2</v>
      </c>
      <c r="I21" s="9"/>
      <c r="J21" s="52">
        <f t="shared" ref="J21:J23" si="1">$C$8*I21/4</f>
        <v>0</v>
      </c>
      <c r="K21" s="52">
        <f t="shared" ref="K21:M23" si="2">J21</f>
        <v>0</v>
      </c>
      <c r="L21" s="52">
        <f t="shared" si="2"/>
        <v>0</v>
      </c>
      <c r="M21" s="52">
        <f t="shared" si="2"/>
        <v>0</v>
      </c>
      <c r="N21" s="53">
        <f t="shared" ref="N21:N23" si="3">SUM(J21:M21)</f>
        <v>0</v>
      </c>
      <c r="O21" s="13"/>
      <c r="P21" s="8"/>
      <c r="Q21" s="110"/>
    </row>
    <row r="22" spans="1:17" ht="45" customHeight="1">
      <c r="A22" s="94"/>
      <c r="B22" s="95"/>
      <c r="C22" s="95"/>
      <c r="D22" s="94"/>
      <c r="E22" s="94"/>
      <c r="F22" s="96"/>
      <c r="G22" s="96"/>
      <c r="H22" s="34">
        <v>3</v>
      </c>
      <c r="I22" s="9"/>
      <c r="J22" s="52">
        <f t="shared" si="1"/>
        <v>0</v>
      </c>
      <c r="K22" s="52">
        <f t="shared" si="2"/>
        <v>0</v>
      </c>
      <c r="L22" s="52">
        <f t="shared" si="2"/>
        <v>0</v>
      </c>
      <c r="M22" s="52">
        <f t="shared" si="2"/>
        <v>0</v>
      </c>
      <c r="N22" s="53">
        <f t="shared" si="3"/>
        <v>0</v>
      </c>
      <c r="O22" s="13"/>
      <c r="P22" s="8"/>
      <c r="Q22" s="110"/>
    </row>
    <row r="23" spans="1:17" ht="45" customHeight="1">
      <c r="A23" s="94"/>
      <c r="B23" s="95"/>
      <c r="C23" s="95"/>
      <c r="D23" s="94"/>
      <c r="E23" s="94"/>
      <c r="F23" s="96"/>
      <c r="G23" s="96"/>
      <c r="H23" s="34">
        <v>4</v>
      </c>
      <c r="I23" s="55"/>
      <c r="J23" s="52">
        <f t="shared" si="1"/>
        <v>0</v>
      </c>
      <c r="K23" s="52">
        <f t="shared" si="2"/>
        <v>0</v>
      </c>
      <c r="L23" s="52">
        <f t="shared" si="2"/>
        <v>0</v>
      </c>
      <c r="M23" s="52">
        <f t="shared" si="2"/>
        <v>0</v>
      </c>
      <c r="N23" s="53">
        <f t="shared" si="3"/>
        <v>0</v>
      </c>
      <c r="O23" s="13"/>
      <c r="P23" s="8"/>
      <c r="Q23" s="110"/>
    </row>
    <row r="24" spans="1:17" ht="45" customHeight="1">
      <c r="A24" s="96"/>
      <c r="B24" s="97"/>
      <c r="C24" s="97"/>
      <c r="D24" s="96"/>
      <c r="E24" s="96"/>
      <c r="F24" s="96"/>
      <c r="G24" s="96"/>
      <c r="H24" s="34">
        <v>5</v>
      </c>
      <c r="I24" s="9"/>
      <c r="J24" s="10"/>
      <c r="K24" s="10"/>
      <c r="L24" s="10"/>
      <c r="M24" s="11"/>
      <c r="N24" s="12"/>
      <c r="O24" s="13"/>
      <c r="P24" s="8"/>
      <c r="Q24" s="110"/>
    </row>
    <row r="25" spans="1:17" ht="45" customHeight="1">
      <c r="A25" s="96"/>
      <c r="B25" s="97"/>
      <c r="C25" s="97"/>
      <c r="D25" s="96"/>
      <c r="E25" s="96"/>
      <c r="F25" s="96"/>
      <c r="G25" s="96"/>
      <c r="H25" s="34">
        <v>6</v>
      </c>
      <c r="I25" s="9"/>
      <c r="J25" s="10"/>
      <c r="K25" s="10"/>
      <c r="L25" s="10"/>
      <c r="M25" s="11"/>
      <c r="N25" s="12"/>
      <c r="O25" s="13"/>
      <c r="P25" s="8"/>
      <c r="Q25" s="143" t="s">
        <v>40</v>
      </c>
    </row>
    <row r="26" spans="1:17" ht="45" customHeight="1">
      <c r="A26" s="96"/>
      <c r="B26" s="97"/>
      <c r="C26" s="97"/>
      <c r="D26" s="96"/>
      <c r="E26" s="96"/>
      <c r="F26" s="96"/>
      <c r="G26" s="96"/>
      <c r="H26" s="34">
        <v>7</v>
      </c>
      <c r="I26" s="9"/>
      <c r="J26" s="10"/>
      <c r="K26" s="10"/>
      <c r="L26" s="10"/>
      <c r="M26" s="11"/>
      <c r="N26" s="12"/>
      <c r="O26" s="13"/>
      <c r="P26" s="8"/>
      <c r="Q26" s="143"/>
    </row>
    <row r="27" spans="1:17" ht="45" customHeight="1">
      <c r="A27" s="96"/>
      <c r="B27" s="97"/>
      <c r="C27" s="97"/>
      <c r="D27" s="96"/>
      <c r="E27" s="96"/>
      <c r="F27" s="96"/>
      <c r="G27" s="96"/>
      <c r="H27" s="34">
        <v>8</v>
      </c>
      <c r="I27" s="9"/>
      <c r="J27" s="10"/>
      <c r="K27" s="10"/>
      <c r="L27" s="10"/>
      <c r="M27" s="11"/>
      <c r="N27" s="12"/>
      <c r="O27" s="13"/>
      <c r="P27" s="8"/>
      <c r="Q27" s="143"/>
    </row>
    <row r="28" spans="1:17" ht="45" customHeight="1">
      <c r="A28" s="96"/>
      <c r="B28" s="97"/>
      <c r="C28" s="97"/>
      <c r="D28" s="96"/>
      <c r="E28" s="96"/>
      <c r="F28" s="96"/>
      <c r="G28" s="96"/>
      <c r="H28" s="34">
        <v>9</v>
      </c>
      <c r="I28" s="9"/>
      <c r="J28" s="10"/>
      <c r="K28" s="10"/>
      <c r="L28" s="10"/>
      <c r="M28" s="11"/>
      <c r="N28" s="12"/>
      <c r="O28" s="13"/>
      <c r="P28" s="8"/>
      <c r="Q28" s="110"/>
    </row>
    <row r="29" spans="1:17" ht="45" customHeight="1" thickBot="1">
      <c r="A29" s="96"/>
      <c r="B29" s="97"/>
      <c r="C29" s="97"/>
      <c r="D29" s="96"/>
      <c r="E29" s="96"/>
      <c r="F29" s="96"/>
      <c r="G29" s="96"/>
      <c r="H29" s="35">
        <v>10</v>
      </c>
      <c r="I29" s="9"/>
      <c r="J29" s="10"/>
      <c r="K29" s="10"/>
      <c r="L29" s="10"/>
      <c r="M29" s="11"/>
      <c r="N29" s="12"/>
      <c r="O29" s="13"/>
      <c r="P29" s="8"/>
      <c r="Q29" s="110"/>
    </row>
    <row r="30" spans="1:17" ht="35.1" customHeight="1" thickBot="1">
      <c r="A30" s="115"/>
      <c r="B30" s="116"/>
      <c r="C30" s="116"/>
      <c r="D30" s="115"/>
      <c r="E30" s="115"/>
      <c r="F30" s="115"/>
      <c r="G30" s="117"/>
      <c r="H30" s="2" t="s">
        <v>41</v>
      </c>
      <c r="I30" s="56">
        <f t="shared" ref="I30:N30" si="4">SUM(I20:I29)</f>
        <v>0</v>
      </c>
      <c r="J30" s="57">
        <f t="shared" si="4"/>
        <v>0</v>
      </c>
      <c r="K30" s="57">
        <f t="shared" si="4"/>
        <v>0</v>
      </c>
      <c r="L30" s="57">
        <f t="shared" si="4"/>
        <v>0</v>
      </c>
      <c r="M30" s="57">
        <f t="shared" si="4"/>
        <v>0</v>
      </c>
      <c r="N30" s="58">
        <f t="shared" si="4"/>
        <v>0</v>
      </c>
      <c r="O30" s="14"/>
      <c r="P30" s="15"/>
      <c r="Q30" s="110"/>
    </row>
    <row r="31" spans="1:17" ht="4.5" customHeight="1" thickBot="1">
      <c r="A31" s="118"/>
      <c r="B31" s="119"/>
      <c r="C31" s="119"/>
      <c r="D31" s="119"/>
      <c r="E31" s="119"/>
      <c r="F31" s="119"/>
      <c r="G31" s="119"/>
      <c r="H31" s="120"/>
      <c r="I31" s="120"/>
      <c r="J31" s="120"/>
      <c r="K31" s="120"/>
      <c r="L31" s="120"/>
      <c r="M31" s="119"/>
      <c r="N31" s="119"/>
      <c r="O31" s="119"/>
      <c r="P31" s="119"/>
      <c r="Q31" s="121"/>
    </row>
    <row r="32" spans="1:17" ht="19.5" customHeight="1">
      <c r="A32" s="122"/>
      <c r="B32" s="123"/>
      <c r="C32" s="123"/>
      <c r="D32" s="123"/>
      <c r="E32" s="123"/>
      <c r="F32" s="123"/>
      <c r="G32" s="124"/>
      <c r="H32" s="131"/>
      <c r="I32" s="132"/>
      <c r="J32" s="132"/>
      <c r="K32" s="132"/>
      <c r="L32" s="133"/>
      <c r="M32" s="131"/>
      <c r="N32" s="132"/>
      <c r="O32" s="132"/>
      <c r="P32" s="132"/>
      <c r="Q32" s="140"/>
    </row>
    <row r="33" spans="1:20">
      <c r="A33" s="125"/>
      <c r="B33" s="126"/>
      <c r="C33" s="126"/>
      <c r="D33" s="126"/>
      <c r="E33" s="126"/>
      <c r="F33" s="126"/>
      <c r="G33" s="127"/>
      <c r="H33" s="134"/>
      <c r="I33" s="135"/>
      <c r="J33" s="135"/>
      <c r="K33" s="135"/>
      <c r="L33" s="136"/>
      <c r="M33" s="134"/>
      <c r="N33" s="135"/>
      <c r="O33" s="135"/>
      <c r="P33" s="135"/>
      <c r="Q33" s="141"/>
    </row>
    <row r="34" spans="1:20">
      <c r="A34" s="125"/>
      <c r="B34" s="126"/>
      <c r="C34" s="126"/>
      <c r="D34" s="126"/>
      <c r="E34" s="126"/>
      <c r="F34" s="126"/>
      <c r="G34" s="127"/>
      <c r="H34" s="134"/>
      <c r="I34" s="135"/>
      <c r="J34" s="135"/>
      <c r="K34" s="135"/>
      <c r="L34" s="136"/>
      <c r="M34" s="134"/>
      <c r="N34" s="135"/>
      <c r="O34" s="135"/>
      <c r="P34" s="135"/>
      <c r="Q34" s="141"/>
    </row>
    <row r="35" spans="1:20">
      <c r="A35" s="125"/>
      <c r="B35" s="126"/>
      <c r="C35" s="126"/>
      <c r="D35" s="126"/>
      <c r="E35" s="126"/>
      <c r="F35" s="126"/>
      <c r="G35" s="127"/>
      <c r="H35" s="134"/>
      <c r="I35" s="135"/>
      <c r="J35" s="135"/>
      <c r="K35" s="135"/>
      <c r="L35" s="136"/>
      <c r="M35" s="134"/>
      <c r="N35" s="135"/>
      <c r="O35" s="135"/>
      <c r="P35" s="135"/>
      <c r="Q35" s="141"/>
    </row>
    <row r="36" spans="1:20" ht="15.75" thickBot="1">
      <c r="A36" s="128"/>
      <c r="B36" s="129"/>
      <c r="C36" s="129"/>
      <c r="D36" s="129"/>
      <c r="E36" s="129"/>
      <c r="F36" s="129"/>
      <c r="G36" s="130"/>
      <c r="H36" s="137"/>
      <c r="I36" s="138"/>
      <c r="J36" s="138"/>
      <c r="K36" s="138"/>
      <c r="L36" s="139"/>
      <c r="M36" s="137"/>
      <c r="N36" s="138"/>
      <c r="O36" s="138"/>
      <c r="P36" s="138"/>
      <c r="Q36" s="142"/>
    </row>
    <row r="37" spans="1:20" ht="20.25">
      <c r="A37" s="205" t="s">
        <v>42</v>
      </c>
      <c r="B37" s="113"/>
      <c r="C37" s="113"/>
      <c r="D37" s="113"/>
      <c r="E37" s="113"/>
      <c r="F37" s="113"/>
      <c r="G37" s="206"/>
      <c r="H37" s="112" t="s">
        <v>43</v>
      </c>
      <c r="I37" s="113"/>
      <c r="J37" s="113"/>
      <c r="K37" s="113"/>
      <c r="L37" s="206"/>
      <c r="M37" s="112" t="s">
        <v>44</v>
      </c>
      <c r="N37" s="113"/>
      <c r="O37" s="113"/>
      <c r="P37" s="113"/>
      <c r="Q37" s="114"/>
    </row>
    <row r="38" spans="1:20" ht="35.25" customHeight="1" thickBot="1">
      <c r="A38" s="207" t="s">
        <v>45</v>
      </c>
      <c r="B38" s="208"/>
      <c r="C38" s="208"/>
      <c r="D38" s="208"/>
      <c r="E38" s="208"/>
      <c r="F38" s="208"/>
      <c r="G38" s="209"/>
      <c r="H38" s="210" t="s">
        <v>45</v>
      </c>
      <c r="I38" s="208"/>
      <c r="J38" s="208"/>
      <c r="K38" s="208"/>
      <c r="L38" s="209"/>
      <c r="M38" s="210" t="s">
        <v>45</v>
      </c>
      <c r="N38" s="208"/>
      <c r="O38" s="208"/>
      <c r="P38" s="208"/>
      <c r="Q38" s="211"/>
    </row>
    <row r="39" spans="1:20" ht="35.2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90"/>
      <c r="N39" s="111"/>
      <c r="O39" s="111"/>
      <c r="P39" s="111"/>
      <c r="Q39" s="84"/>
    </row>
    <row r="40" spans="1:20" ht="4.5" customHeight="1" thickBot="1">
      <c r="A40" s="195"/>
      <c r="B40" s="196"/>
      <c r="C40" s="196"/>
      <c r="D40" s="151"/>
      <c r="E40" s="151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51"/>
      <c r="Q40" s="152"/>
      <c r="T40" s="1"/>
    </row>
    <row r="41" spans="1:20" ht="33" customHeight="1" thickBot="1">
      <c r="A41" s="197" t="s">
        <v>46</v>
      </c>
      <c r="B41" s="198"/>
      <c r="C41" s="198"/>
      <c r="D41" s="59">
        <f>B44</f>
        <v>0</v>
      </c>
      <c r="E41" s="60" t="s">
        <v>47</v>
      </c>
      <c r="F41" s="199" t="s">
        <v>48</v>
      </c>
      <c r="G41" s="198"/>
      <c r="H41" s="198"/>
      <c r="I41" s="198"/>
      <c r="J41" s="200"/>
      <c r="K41" s="61">
        <f>B45</f>
        <v>0</v>
      </c>
      <c r="L41" s="62" t="s">
        <v>49</v>
      </c>
      <c r="M41" s="199" t="s">
        <v>50</v>
      </c>
      <c r="N41" s="198"/>
      <c r="O41" s="198"/>
      <c r="P41" s="59">
        <f>B47</f>
        <v>0</v>
      </c>
      <c r="Q41" s="92" t="s">
        <v>47</v>
      </c>
    </row>
    <row r="42" spans="1:20" ht="24" customHeight="1" thickBot="1">
      <c r="A42" s="201" t="s">
        <v>51</v>
      </c>
      <c r="B42" s="202"/>
      <c r="C42" s="202"/>
      <c r="D42" s="203"/>
      <c r="E42" s="203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3"/>
      <c r="Q42" s="204"/>
    </row>
    <row r="43" spans="1:20" ht="19.5" customHeight="1" thickBot="1">
      <c r="A43" s="144" t="s">
        <v>52</v>
      </c>
      <c r="B43" s="63"/>
      <c r="C43" s="145" t="s">
        <v>53</v>
      </c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7"/>
    </row>
    <row r="44" spans="1:20" ht="20.25">
      <c r="A44" s="144"/>
      <c r="B44" s="76">
        <f>+B45*1/100+B45</f>
        <v>0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80"/>
      <c r="Q44" s="18"/>
    </row>
    <row r="45" spans="1:20" ht="20.25">
      <c r="A45" s="144"/>
      <c r="B45" s="148">
        <f>O13</f>
        <v>0</v>
      </c>
      <c r="C45" s="64">
        <v>1</v>
      </c>
      <c r="D45" s="64">
        <v>2</v>
      </c>
      <c r="E45" s="64">
        <v>3</v>
      </c>
      <c r="F45" s="64">
        <v>4</v>
      </c>
      <c r="G45" s="64">
        <v>5</v>
      </c>
      <c r="H45" s="64">
        <v>6</v>
      </c>
      <c r="I45" s="64">
        <v>7</v>
      </c>
      <c r="J45" s="64">
        <v>8</v>
      </c>
      <c r="K45" s="64">
        <v>9</v>
      </c>
      <c r="L45" s="64">
        <v>10</v>
      </c>
      <c r="M45" s="64">
        <v>11</v>
      </c>
      <c r="N45" s="64">
        <v>12</v>
      </c>
      <c r="O45" s="64">
        <v>13</v>
      </c>
      <c r="P45" s="81">
        <v>14</v>
      </c>
      <c r="Q45" s="64">
        <v>15</v>
      </c>
    </row>
    <row r="46" spans="1:20" ht="20.25">
      <c r="A46" s="144"/>
      <c r="B46" s="149"/>
      <c r="C46" s="64">
        <v>16</v>
      </c>
      <c r="D46" s="64">
        <v>17</v>
      </c>
      <c r="E46" s="64">
        <v>18</v>
      </c>
      <c r="F46" s="64">
        <v>19</v>
      </c>
      <c r="G46" s="64">
        <v>20</v>
      </c>
      <c r="H46" s="64">
        <v>21</v>
      </c>
      <c r="I46" s="64">
        <v>22</v>
      </c>
      <c r="J46" s="64">
        <v>23</v>
      </c>
      <c r="K46" s="64">
        <v>24</v>
      </c>
      <c r="L46" s="64">
        <v>25</v>
      </c>
      <c r="M46" s="64">
        <v>26</v>
      </c>
      <c r="N46" s="64">
        <v>27</v>
      </c>
      <c r="O46" s="64">
        <v>28</v>
      </c>
      <c r="P46" s="81">
        <v>29</v>
      </c>
      <c r="Q46" s="64">
        <v>30</v>
      </c>
    </row>
    <row r="47" spans="1:20" ht="21" thickBot="1">
      <c r="A47" s="144"/>
      <c r="B47" s="76">
        <f>+B45*-1/100+B45</f>
        <v>0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82"/>
      <c r="Q47" s="88"/>
    </row>
    <row r="48" spans="1:20" ht="21" customHeight="1" thickBot="1">
      <c r="A48" s="144" t="s">
        <v>54</v>
      </c>
      <c r="B48" s="63"/>
      <c r="C48" s="145" t="s">
        <v>53</v>
      </c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7"/>
    </row>
    <row r="49" spans="1:17" ht="20.25">
      <c r="A49" s="144"/>
      <c r="B49" s="76">
        <f>B44</f>
        <v>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80"/>
      <c r="Q49" s="18"/>
    </row>
    <row r="50" spans="1:17" ht="20.25">
      <c r="A50" s="144"/>
      <c r="B50" s="148">
        <f>B45</f>
        <v>0</v>
      </c>
      <c r="C50" s="64">
        <v>31</v>
      </c>
      <c r="D50" s="64">
        <v>32</v>
      </c>
      <c r="E50" s="64">
        <v>33</v>
      </c>
      <c r="F50" s="64">
        <v>34</v>
      </c>
      <c r="G50" s="64">
        <v>35</v>
      </c>
      <c r="H50" s="64">
        <v>36</v>
      </c>
      <c r="I50" s="64">
        <v>37</v>
      </c>
      <c r="J50" s="64">
        <v>38</v>
      </c>
      <c r="K50" s="64">
        <v>39</v>
      </c>
      <c r="L50" s="64">
        <v>40</v>
      </c>
      <c r="M50" s="64">
        <v>41</v>
      </c>
      <c r="N50" s="64">
        <v>42</v>
      </c>
      <c r="O50" s="64">
        <v>43</v>
      </c>
      <c r="P50" s="81">
        <v>44</v>
      </c>
      <c r="Q50" s="64">
        <v>45</v>
      </c>
    </row>
    <row r="51" spans="1:17" ht="20.25">
      <c r="A51" s="144"/>
      <c r="B51" s="149"/>
      <c r="C51" s="64">
        <v>46</v>
      </c>
      <c r="D51" s="64">
        <v>47</v>
      </c>
      <c r="E51" s="64">
        <v>48</v>
      </c>
      <c r="F51" s="64">
        <v>49</v>
      </c>
      <c r="G51" s="64">
        <v>50</v>
      </c>
      <c r="H51" s="64">
        <v>51</v>
      </c>
      <c r="I51" s="64">
        <v>52</v>
      </c>
      <c r="J51" s="64">
        <v>53</v>
      </c>
      <c r="K51" s="64">
        <v>54</v>
      </c>
      <c r="L51" s="64">
        <v>55</v>
      </c>
      <c r="M51" s="64">
        <v>56</v>
      </c>
      <c r="N51" s="64">
        <v>57</v>
      </c>
      <c r="O51" s="64">
        <v>58</v>
      </c>
      <c r="P51" s="81">
        <v>59</v>
      </c>
      <c r="Q51" s="64">
        <v>60</v>
      </c>
    </row>
    <row r="52" spans="1:17" ht="21" thickBot="1">
      <c r="A52" s="144"/>
      <c r="B52" s="76">
        <f>B47</f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83"/>
      <c r="Q52" s="85"/>
    </row>
    <row r="53" spans="1:17" ht="19.5" customHeight="1" thickBot="1">
      <c r="A53" s="144" t="s">
        <v>55</v>
      </c>
      <c r="B53" s="63"/>
      <c r="C53" s="145" t="s">
        <v>53</v>
      </c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 ht="20.25">
      <c r="A54" s="144"/>
      <c r="B54" s="76">
        <f>B44</f>
        <v>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80"/>
      <c r="Q54" s="18"/>
    </row>
    <row r="55" spans="1:17" ht="20.25">
      <c r="A55" s="144"/>
      <c r="B55" s="148">
        <f>B45</f>
        <v>0</v>
      </c>
      <c r="C55" s="64">
        <v>61</v>
      </c>
      <c r="D55" s="64">
        <v>62</v>
      </c>
      <c r="E55" s="64">
        <v>63</v>
      </c>
      <c r="F55" s="64">
        <v>64</v>
      </c>
      <c r="G55" s="64">
        <v>65</v>
      </c>
      <c r="H55" s="64">
        <v>66</v>
      </c>
      <c r="I55" s="64">
        <v>67</v>
      </c>
      <c r="J55" s="64">
        <v>68</v>
      </c>
      <c r="K55" s="64">
        <v>69</v>
      </c>
      <c r="L55" s="64">
        <v>70</v>
      </c>
      <c r="M55" s="64">
        <v>71</v>
      </c>
      <c r="N55" s="64">
        <v>72</v>
      </c>
      <c r="O55" s="64">
        <v>73</v>
      </c>
      <c r="P55" s="81">
        <v>74</v>
      </c>
      <c r="Q55" s="64">
        <v>75</v>
      </c>
    </row>
    <row r="56" spans="1:17" ht="20.25">
      <c r="A56" s="144"/>
      <c r="B56" s="149"/>
      <c r="C56" s="64">
        <v>76</v>
      </c>
      <c r="D56" s="64">
        <v>77</v>
      </c>
      <c r="E56" s="64">
        <v>78</v>
      </c>
      <c r="F56" s="64">
        <v>79</v>
      </c>
      <c r="G56" s="64">
        <v>80</v>
      </c>
      <c r="H56" s="64">
        <v>81</v>
      </c>
      <c r="I56" s="64">
        <v>82</v>
      </c>
      <c r="J56" s="64">
        <v>83</v>
      </c>
      <c r="K56" s="64">
        <v>84</v>
      </c>
      <c r="L56" s="64">
        <v>85</v>
      </c>
      <c r="M56" s="64">
        <v>86</v>
      </c>
      <c r="N56" s="64">
        <v>87</v>
      </c>
      <c r="O56" s="64">
        <v>88</v>
      </c>
      <c r="P56" s="81">
        <v>89</v>
      </c>
      <c r="Q56" s="64">
        <v>90</v>
      </c>
    </row>
    <row r="57" spans="1:17" ht="21" thickBot="1">
      <c r="A57" s="144"/>
      <c r="B57" s="76">
        <f>B47</f>
        <v>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83"/>
      <c r="Q57" s="85"/>
    </row>
    <row r="58" spans="1:17" ht="21" customHeight="1" thickBot="1">
      <c r="A58" s="144" t="s">
        <v>56</v>
      </c>
      <c r="B58" s="63"/>
      <c r="C58" s="145" t="s">
        <v>53</v>
      </c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7"/>
    </row>
    <row r="59" spans="1:17" ht="20.25">
      <c r="A59" s="144"/>
      <c r="B59" s="76">
        <f>B44</f>
        <v>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80"/>
      <c r="Q59" s="18"/>
    </row>
    <row r="60" spans="1:17" ht="20.25">
      <c r="A60" s="144"/>
      <c r="B60" s="148">
        <f>B45</f>
        <v>0</v>
      </c>
      <c r="C60" s="64">
        <v>91</v>
      </c>
      <c r="D60" s="64">
        <v>92</v>
      </c>
      <c r="E60" s="64">
        <v>93</v>
      </c>
      <c r="F60" s="64">
        <v>94</v>
      </c>
      <c r="G60" s="64">
        <v>95</v>
      </c>
      <c r="H60" s="64">
        <v>96</v>
      </c>
      <c r="I60" s="64">
        <v>97</v>
      </c>
      <c r="J60" s="64">
        <v>98</v>
      </c>
      <c r="K60" s="64">
        <v>99</v>
      </c>
      <c r="L60" s="64">
        <v>100</v>
      </c>
      <c r="M60" s="64">
        <v>101</v>
      </c>
      <c r="N60" s="64">
        <v>102</v>
      </c>
      <c r="O60" s="64">
        <v>103</v>
      </c>
      <c r="P60" s="81">
        <v>104</v>
      </c>
      <c r="Q60" s="64">
        <v>105</v>
      </c>
    </row>
    <row r="61" spans="1:17" ht="20.25">
      <c r="A61" s="144"/>
      <c r="B61" s="149"/>
      <c r="C61" s="64">
        <v>106</v>
      </c>
      <c r="D61" s="64">
        <v>107</v>
      </c>
      <c r="E61" s="64">
        <v>108</v>
      </c>
      <c r="F61" s="64">
        <v>109</v>
      </c>
      <c r="G61" s="64">
        <v>110</v>
      </c>
      <c r="H61" s="64">
        <v>111</v>
      </c>
      <c r="I61" s="64">
        <v>112</v>
      </c>
      <c r="J61" s="64">
        <v>113</v>
      </c>
      <c r="K61" s="64">
        <v>114</v>
      </c>
      <c r="L61" s="64">
        <v>115</v>
      </c>
      <c r="M61" s="64">
        <v>116</v>
      </c>
      <c r="N61" s="64">
        <v>117</v>
      </c>
      <c r="O61" s="64">
        <v>118</v>
      </c>
      <c r="P61" s="81">
        <v>119</v>
      </c>
      <c r="Q61" s="64">
        <v>120</v>
      </c>
    </row>
    <row r="62" spans="1:17" ht="21" thickBot="1">
      <c r="A62" s="144"/>
      <c r="B62" s="76">
        <f>B47</f>
        <v>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83"/>
      <c r="Q62" s="89"/>
    </row>
    <row r="63" spans="1:17" ht="6" customHeight="1">
      <c r="A63" s="150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2"/>
    </row>
    <row r="64" spans="1:17" ht="26.25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</row>
    <row r="65" spans="1:17" ht="18" customHeight="1" thickBot="1">
      <c r="A65" s="77"/>
      <c r="B65" s="154"/>
      <c r="C65" s="154"/>
      <c r="D65" s="154"/>
      <c r="E65" s="154"/>
      <c r="F65" s="155"/>
      <c r="G65" s="155"/>
      <c r="H65" s="155"/>
      <c r="I65" s="155"/>
      <c r="J65" s="66"/>
      <c r="K65" s="66"/>
      <c r="L65" s="66"/>
      <c r="M65" s="66"/>
      <c r="N65" s="66"/>
      <c r="O65" s="66"/>
      <c r="P65" s="65"/>
      <c r="Q65" s="65"/>
    </row>
    <row r="66" spans="1:17" ht="25.5" customHeight="1" thickBot="1">
      <c r="A66" s="77"/>
      <c r="B66" s="193" t="s">
        <v>57</v>
      </c>
      <c r="C66" s="193"/>
      <c r="D66" s="193"/>
      <c r="E66" s="193"/>
      <c r="F66" s="27"/>
      <c r="G66" s="69"/>
      <c r="H66" s="189" t="s">
        <v>58</v>
      </c>
      <c r="I66" s="190"/>
      <c r="J66" s="190"/>
      <c r="K66" s="191"/>
      <c r="L66" s="69"/>
      <c r="M66" s="189" t="s">
        <v>58</v>
      </c>
      <c r="N66" s="190"/>
      <c r="O66" s="190"/>
      <c r="P66" s="191"/>
      <c r="Q66" s="65"/>
    </row>
    <row r="67" spans="1:17" ht="30" customHeight="1" thickBot="1">
      <c r="A67" s="77"/>
      <c r="B67" s="192" t="s">
        <v>59</v>
      </c>
      <c r="C67" s="192"/>
      <c r="D67" s="194"/>
      <c r="E67" s="194"/>
      <c r="F67" s="27"/>
      <c r="G67" s="69"/>
      <c r="H67" s="187" t="s">
        <v>60</v>
      </c>
      <c r="I67" s="188"/>
      <c r="J67" s="187" t="s">
        <v>61</v>
      </c>
      <c r="K67" s="188"/>
      <c r="L67" s="69"/>
      <c r="M67" s="187" t="s">
        <v>60</v>
      </c>
      <c r="N67" s="188"/>
      <c r="O67" s="187" t="s">
        <v>61</v>
      </c>
      <c r="P67" s="188"/>
      <c r="Q67" s="65"/>
    </row>
    <row r="68" spans="1:17" ht="30" customHeight="1" thickBot="1">
      <c r="A68" s="77"/>
      <c r="B68" s="192" t="s">
        <v>62</v>
      </c>
      <c r="C68" s="192"/>
      <c r="D68" s="194"/>
      <c r="E68" s="194"/>
      <c r="F68" s="39"/>
      <c r="G68" s="69"/>
      <c r="H68" s="212"/>
      <c r="I68" s="213"/>
      <c r="J68" s="212"/>
      <c r="K68" s="213"/>
      <c r="L68" s="69"/>
      <c r="M68" s="160"/>
      <c r="N68" s="161"/>
      <c r="O68" s="160"/>
      <c r="P68" s="161"/>
      <c r="Q68" s="86"/>
    </row>
    <row r="69" spans="1:17" ht="30" customHeight="1" thickBot="1">
      <c r="A69" s="77"/>
      <c r="B69" s="192" t="s">
        <v>63</v>
      </c>
      <c r="C69" s="192"/>
      <c r="D69" s="194"/>
      <c r="E69" s="194"/>
      <c r="F69" s="39"/>
      <c r="G69" s="69"/>
      <c r="H69" s="212"/>
      <c r="I69" s="213"/>
      <c r="J69" s="212"/>
      <c r="K69" s="213"/>
      <c r="L69" s="69"/>
      <c r="M69" s="160"/>
      <c r="N69" s="161"/>
      <c r="O69" s="160"/>
      <c r="P69" s="161"/>
      <c r="Q69" s="86"/>
    </row>
    <row r="70" spans="1:17" ht="30" customHeight="1" thickBot="1">
      <c r="A70" s="77"/>
      <c r="B70" s="192" t="s">
        <v>64</v>
      </c>
      <c r="C70" s="192"/>
      <c r="D70" s="194"/>
      <c r="E70" s="194"/>
      <c r="F70" s="39"/>
      <c r="G70" s="69"/>
      <c r="H70" s="212"/>
      <c r="I70" s="213"/>
      <c r="J70" s="212"/>
      <c r="K70" s="213"/>
      <c r="L70" s="69"/>
      <c r="M70" s="160"/>
      <c r="N70" s="161"/>
      <c r="O70" s="160"/>
      <c r="P70" s="161"/>
      <c r="Q70" s="86"/>
    </row>
    <row r="71" spans="1:17" ht="30" customHeight="1" thickBot="1">
      <c r="A71" s="77"/>
      <c r="B71" s="69"/>
      <c r="C71" s="69"/>
      <c r="D71" s="69"/>
      <c r="E71" s="69"/>
      <c r="F71" s="39"/>
      <c r="G71" s="39"/>
      <c r="H71" s="214"/>
      <c r="I71" s="215"/>
      <c r="J71" s="214"/>
      <c r="K71" s="215"/>
      <c r="L71" s="69"/>
      <c r="M71" s="156"/>
      <c r="N71" s="157"/>
      <c r="O71" s="156"/>
      <c r="P71" s="157"/>
      <c r="Q71" s="86"/>
    </row>
    <row r="72" spans="1:17" ht="18.75" customHeight="1">
      <c r="A72" s="159" t="s">
        <v>65</v>
      </c>
      <c r="B72" s="159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</row>
    <row r="73" spans="1:17" ht="42.75" customHeight="1" thickBot="1">
      <c r="A73" s="159"/>
      <c r="B73" s="159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</row>
    <row r="74" spans="1:17" ht="16.5" customHeight="1">
      <c r="A74" s="77"/>
      <c r="B74" s="75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</row>
    <row r="75" spans="1:17" ht="16.5" customHeight="1">
      <c r="A75" s="77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</row>
    <row r="76" spans="1:17" ht="18.75" customHeight="1" thickBot="1">
      <c r="A76" s="77"/>
      <c r="B76" s="75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</row>
    <row r="77" spans="1:17" ht="16.5" customHeight="1">
      <c r="A77" s="33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</row>
    <row r="78" spans="1:17" ht="16.5" customHeight="1">
      <c r="A78" s="78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</sheetData>
  <mergeCells count="142">
    <mergeCell ref="Q10:Q11"/>
    <mergeCell ref="M10:M11"/>
    <mergeCell ref="O12:P12"/>
    <mergeCell ref="O67:P67"/>
    <mergeCell ref="O68:P68"/>
    <mergeCell ref="A40:Q40"/>
    <mergeCell ref="A41:C41"/>
    <mergeCell ref="F41:J41"/>
    <mergeCell ref="M41:O41"/>
    <mergeCell ref="A42:Q42"/>
    <mergeCell ref="A43:A47"/>
    <mergeCell ref="C43:Q43"/>
    <mergeCell ref="B45:B46"/>
    <mergeCell ref="A37:G37"/>
    <mergeCell ref="H37:L37"/>
    <mergeCell ref="A38:G38"/>
    <mergeCell ref="H38:L38"/>
    <mergeCell ref="M38:Q38"/>
    <mergeCell ref="A39:G39"/>
    <mergeCell ref="H39:L39"/>
    <mergeCell ref="M66:P66"/>
    <mergeCell ref="J67:K67"/>
    <mergeCell ref="H68:I68"/>
    <mergeCell ref="A16:D16"/>
    <mergeCell ref="J68:K68"/>
    <mergeCell ref="M67:N67"/>
    <mergeCell ref="M68:N68"/>
    <mergeCell ref="H66:K66"/>
    <mergeCell ref="H67:I67"/>
    <mergeCell ref="B67:C67"/>
    <mergeCell ref="B68:C68"/>
    <mergeCell ref="B69:C69"/>
    <mergeCell ref="B70:C70"/>
    <mergeCell ref="B66:E66"/>
    <mergeCell ref="D67:E67"/>
    <mergeCell ref="D68:E68"/>
    <mergeCell ref="D69:E69"/>
    <mergeCell ref="D70:E70"/>
    <mergeCell ref="O5:Q5"/>
    <mergeCell ref="O6:Q6"/>
    <mergeCell ref="O7:Q7"/>
    <mergeCell ref="C7:G7"/>
    <mergeCell ref="C8:E8"/>
    <mergeCell ref="D9:E9"/>
    <mergeCell ref="A5:B5"/>
    <mergeCell ref="A6:B6"/>
    <mergeCell ref="A7:B7"/>
    <mergeCell ref="A8:B8"/>
    <mergeCell ref="F9:G9"/>
    <mergeCell ref="O8:Q8"/>
    <mergeCell ref="L8:N8"/>
    <mergeCell ref="L7:N7"/>
    <mergeCell ref="B9:C9"/>
    <mergeCell ref="C5:E5"/>
    <mergeCell ref="C6:E6"/>
    <mergeCell ref="L5:N5"/>
    <mergeCell ref="L6:N6"/>
    <mergeCell ref="M9:Q9"/>
    <mergeCell ref="D14:G14"/>
    <mergeCell ref="O14:P14"/>
    <mergeCell ref="M12:N12"/>
    <mergeCell ref="D15:G15"/>
    <mergeCell ref="F13:G13"/>
    <mergeCell ref="M13:N13"/>
    <mergeCell ref="O13:P13"/>
    <mergeCell ref="B10:C10"/>
    <mergeCell ref="D10:E10"/>
    <mergeCell ref="F10:G10"/>
    <mergeCell ref="L10:L11"/>
    <mergeCell ref="N10:N11"/>
    <mergeCell ref="O10:O11"/>
    <mergeCell ref="P10:P11"/>
    <mergeCell ref="B11:C11"/>
    <mergeCell ref="D11:E11"/>
    <mergeCell ref="F12:G12"/>
    <mergeCell ref="A12:E12"/>
    <mergeCell ref="A14:C14"/>
    <mergeCell ref="A15:C15"/>
    <mergeCell ref="C13:E13"/>
    <mergeCell ref="C74:Q74"/>
    <mergeCell ref="M71:N71"/>
    <mergeCell ref="J71:K71"/>
    <mergeCell ref="C72:Q73"/>
    <mergeCell ref="A72:B73"/>
    <mergeCell ref="M69:N69"/>
    <mergeCell ref="M70:N70"/>
    <mergeCell ref="J69:K69"/>
    <mergeCell ref="J70:K70"/>
    <mergeCell ref="O69:P69"/>
    <mergeCell ref="O70:P70"/>
    <mergeCell ref="O71:P71"/>
    <mergeCell ref="H69:I69"/>
    <mergeCell ref="H70:I70"/>
    <mergeCell ref="H71:I71"/>
    <mergeCell ref="A58:A62"/>
    <mergeCell ref="C58:Q58"/>
    <mergeCell ref="B60:B61"/>
    <mergeCell ref="A63:Q63"/>
    <mergeCell ref="A64:Q64"/>
    <mergeCell ref="B65:E65"/>
    <mergeCell ref="F65:I65"/>
    <mergeCell ref="A48:A52"/>
    <mergeCell ref="C48:Q48"/>
    <mergeCell ref="B50:B51"/>
    <mergeCell ref="A53:A57"/>
    <mergeCell ref="C53:Q53"/>
    <mergeCell ref="B55:B56"/>
    <mergeCell ref="N39:P39"/>
    <mergeCell ref="M37:Q37"/>
    <mergeCell ref="A30:E30"/>
    <mergeCell ref="F30:G30"/>
    <mergeCell ref="A31:Q31"/>
    <mergeCell ref="A32:G36"/>
    <mergeCell ref="H32:L36"/>
    <mergeCell ref="M32:Q36"/>
    <mergeCell ref="Q25:Q27"/>
    <mergeCell ref="A26:E26"/>
    <mergeCell ref="F26:G26"/>
    <mergeCell ref="A27:E27"/>
    <mergeCell ref="F27:G27"/>
    <mergeCell ref="A28:E28"/>
    <mergeCell ref="F28:G28"/>
    <mergeCell ref="Q28:Q30"/>
    <mergeCell ref="A29:E29"/>
    <mergeCell ref="F29:G29"/>
    <mergeCell ref="E16:G16"/>
    <mergeCell ref="A23:E23"/>
    <mergeCell ref="F23:G23"/>
    <mergeCell ref="A24:E24"/>
    <mergeCell ref="F24:G24"/>
    <mergeCell ref="A25:E25"/>
    <mergeCell ref="F25:G25"/>
    <mergeCell ref="A18:Q18"/>
    <mergeCell ref="A19:E19"/>
    <mergeCell ref="F19:G19"/>
    <mergeCell ref="A20:E20"/>
    <mergeCell ref="F20:G20"/>
    <mergeCell ref="Q20:Q24"/>
    <mergeCell ref="A21:E21"/>
    <mergeCell ref="F21:G21"/>
    <mergeCell ref="A22:E22"/>
    <mergeCell ref="F22:G22"/>
  </mergeCells>
  <printOptions horizontalCentered="1" verticalCentered="1"/>
  <pageMargins left="0.23622047244094491" right="0.23622047244094491" top="7.874015748031496E-2" bottom="0.55118110236220474" header="0.31496062992125984" footer="0.31496062992125984"/>
  <pageSetup scale="34" orientation="portrait" r:id="rId1"/>
  <headerFooter>
    <oddFooter>&amp;R&amp;"Abadi Extra Light,Normal"&amp;20PRF01 - Segunda - 23/02/2024                  Página: 1 de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83988B-2078-4B30-92C4-65AEF2A530F7}"/>
</file>

<file path=customXml/itemProps2.xml><?xml version="1.0" encoding="utf-8"?>
<ds:datastoreItem xmlns:ds="http://schemas.openxmlformats.org/officeDocument/2006/customXml" ds:itemID="{42B54649-E16C-4ED1-B459-2BF81B184979}"/>
</file>

<file path=customXml/itemProps3.xml><?xml version="1.0" encoding="utf-8"?>
<ds:datastoreItem xmlns:ds="http://schemas.openxmlformats.org/officeDocument/2006/customXml" ds:itemID="{A5C57E65-7C0A-479C-B720-2A0D005F4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Produccion</dc:creator>
  <cp:keywords/>
  <dc:description/>
  <cp:lastModifiedBy>Omar Garduño Butron</cp:lastModifiedBy>
  <cp:revision/>
  <dcterms:created xsi:type="dcterms:W3CDTF">2018-08-07T21:53:32Z</dcterms:created>
  <dcterms:modified xsi:type="dcterms:W3CDTF">2024-04-01T23:32:40Z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