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1"/>
  <mc:AlternateContent xmlns:mc="http://schemas.openxmlformats.org/markup-compatibility/2006">
    <mc:Choice Requires="x15">
      <x15ac:absPath xmlns:x15ac="http://schemas.microsoft.com/office/spreadsheetml/2010/11/ac" url="https://biotecsamexico.sharepoint.com/sites/SistemadeGestindeCalidadeInocuidad9/Documentos compartidos/General/SGIA 22000_2024/Compras/Formatos/"/>
    </mc:Choice>
  </mc:AlternateContent>
  <xr:revisionPtr revIDLastSave="281" documentId="11_EE81302E3A962FF9541537F8AFC82B2996517648" xr6:coauthVersionLast="47" xr6:coauthVersionMax="47" xr10:uidLastSave="{31BD4625-B417-4D71-8A8A-0B90A46D9112}"/>
  <bookViews>
    <workbookView xWindow="-120" yWindow="-120" windowWidth="29040" windowHeight="15720" xr2:uid="{00000000-000D-0000-FFFF-FFFF00000000}"/>
  </bookViews>
  <sheets>
    <sheet name="Registro" sheetId="1" r:id="rId1"/>
    <sheet name="Almacen" sheetId="2" r:id="rId2"/>
    <sheet name="Calidad" sheetId="3" r:id="rId3"/>
    <sheet name="Compras" sheetId="4" r:id="rId4"/>
    <sheet name="Calificación Global Proveedores" sheetId="5" r:id="rId5"/>
    <sheet name="Tendencia aNL" sheetId="6" r:id="rId6"/>
    <sheet name="Listado" sheetId="7" r:id="rId7"/>
  </sheets>
  <definedNames>
    <definedName name="_xlnm._FilterDatabase" localSheetId="4" hidden="1">'Calificación Global Proveedores'!$A$2:$K$31</definedName>
  </definedNames>
  <calcPr calcId="191028"/>
  <pivotCaches>
    <pivotCache cacheId="7" r:id="rId8"/>
    <pivotCache cacheId="12" r:id="rId9"/>
    <pivotCache cacheId="17"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6" roundtripDataSignature="AMtx7mgd24NjeQt+vzFBDRCTjMTV5L4pNg=="/>
    </ext>
  </extLst>
</workbook>
</file>

<file path=xl/calcChain.xml><?xml version="1.0" encoding="utf-8"?>
<calcChain xmlns="http://schemas.openxmlformats.org/spreadsheetml/2006/main">
  <c r="F29" i="1" l="1"/>
  <c r="F28" i="1"/>
  <c r="A65" i="6"/>
  <c r="B59" i="6"/>
  <c r="G45" i="1"/>
  <c r="F37" i="1"/>
  <c r="F36" i="1"/>
  <c r="F30" i="1"/>
  <c r="F27" i="1"/>
  <c r="F26" i="1"/>
  <c r="F20" i="1"/>
  <c r="F44" i="1" s="1"/>
  <c r="F19" i="1"/>
  <c r="F18" i="1"/>
  <c r="F17" i="1"/>
  <c r="F43" i="1" l="1"/>
  <c r="G43" i="1" s="1"/>
  <c r="G44" i="1"/>
  <c r="E49" i="1" l="1"/>
</calcChain>
</file>

<file path=xl/sharedStrings.xml><?xml version="1.0" encoding="utf-8"?>
<sst xmlns="http://schemas.openxmlformats.org/spreadsheetml/2006/main" count="211" uniqueCount="152">
  <si>
    <t>Evaluación de Proveedores de Materia Prima</t>
  </si>
  <si>
    <t>1. Datos Generales</t>
  </si>
  <si>
    <t>Evaluador</t>
  </si>
  <si>
    <t>Gabriela Hernández</t>
  </si>
  <si>
    <t>Proveedor</t>
  </si>
  <si>
    <t>ALFA DENDRO S DE RL DE CV</t>
  </si>
  <si>
    <t>División</t>
  </si>
  <si>
    <t xml:space="preserve">Alimentos </t>
  </si>
  <si>
    <t>Mes evaluado</t>
  </si>
  <si>
    <t>Enero</t>
  </si>
  <si>
    <t>2. Evaluación por área</t>
  </si>
  <si>
    <t>2.1 Almacén</t>
  </si>
  <si>
    <t xml:space="preserve">Criterio a Evaluar </t>
  </si>
  <si>
    <t>Consideraciones</t>
  </si>
  <si>
    <t>Calif.</t>
  </si>
  <si>
    <t>Subtotal (%)</t>
  </si>
  <si>
    <t>Observaciones</t>
  </si>
  <si>
    <t>No. Entregas</t>
  </si>
  <si>
    <t>Colocar número de entregas en el mes</t>
  </si>
  <si>
    <t>Entregas a tiempo</t>
  </si>
  <si>
    <t>En la misma fecha de la orden de compra (OC) - 100 %
Un día después con respecto a OC - 50%
A partir del segundo día con respecto a OC. 0%</t>
  </si>
  <si>
    <t>Cantidad entregada</t>
  </si>
  <si>
    <t>Si material llega completo antes o el mismo día del que se expresa en OC - 100%
Si material llega completo un día después de lo que expresa OC- 50%
Si material llega incompleto y/o después del segundo día conforme indica OC - 0%</t>
  </si>
  <si>
    <t>Verificación del transporte</t>
  </si>
  <si>
    <t>Si las condiciones del transporte son cubiertas al 100%
Si las condiciones del transporte presenta pequeños defectos que no afectan a la calidad o inocuidad. 50 %
SI las condiciones del transporte no aseguran la calidad e inocuidad del material 0%</t>
  </si>
  <si>
    <t>2.2 Calidad</t>
  </si>
  <si>
    <t>Calificación</t>
  </si>
  <si>
    <t>Entrega de certificado de análisis   (CoA)</t>
  </si>
  <si>
    <t>Si CoA llega antes o el mismo día que se recibe material 100%
Si CoA llega posterior 0%</t>
  </si>
  <si>
    <t>Parámetros del certificados de análisis</t>
  </si>
  <si>
    <t>Si CoA cumple con todos los parámetros de la especificación del material 100 %
Si CoA incumple con los parámetros de la especificación del material 50 %</t>
  </si>
  <si>
    <t>BPM´s</t>
  </si>
  <si>
    <t>Si Personal de trasporte cumple BPM´s 100%
Si el personal de transporte no cumple con BPM´s 0%</t>
  </si>
  <si>
    <t>Empaque rotos o en mal estado</t>
  </si>
  <si>
    <t>Si se recibe cantidad total de material en buen estado 100%
Si se recibe producto roto pero no expuesto 0%</t>
  </si>
  <si>
    <t xml:space="preserve">Rechazos o reclamaciones de los productos </t>
  </si>
  <si>
    <t xml:space="preserve"> 0 reclamaciones o rechazos del lote recibido 100%
1 o más reclamaciones o rechazos del lote recibido 0%</t>
  </si>
  <si>
    <t>2.2 Compras</t>
  </si>
  <si>
    <t>Documentación fiscal</t>
  </si>
  <si>
    <t>Si llega completa la documentación 100%
Si llega incompleta 0%</t>
  </si>
  <si>
    <t>Tiempo de respuesta a solicitudes</t>
  </si>
  <si>
    <t>Si el proveedor responde una solicitud 100%
Si no responde una solicitud 0%</t>
  </si>
  <si>
    <t>3. Calificación General</t>
  </si>
  <si>
    <t xml:space="preserve">Calificación Parcial </t>
  </si>
  <si>
    <t xml:space="preserve">Confiable </t>
  </si>
  <si>
    <t>80-100</t>
  </si>
  <si>
    <t>Servicio</t>
  </si>
  <si>
    <t>Poco Confiable</t>
  </si>
  <si>
    <t>60-79</t>
  </si>
  <si>
    <t>Inocuidad</t>
  </si>
  <si>
    <t>No confiable</t>
  </si>
  <si>
    <t>0-59</t>
  </si>
  <si>
    <t>Cuestionario</t>
  </si>
  <si>
    <t>Calificación Obtenida (Porcentaje)</t>
  </si>
  <si>
    <t>CLASIFICACIÓN DE PROVEEDOR</t>
  </si>
  <si>
    <t>CALIFICACIÓN FINAL</t>
  </si>
  <si>
    <t>DESCRIPCIÓN Y ACCIONES A TOMAR</t>
  </si>
  <si>
    <t>CONFIABLE</t>
  </si>
  <si>
    <t>80  -  100</t>
  </si>
  <si>
    <t>Con este estatus se le decreta a un proveedor confiable. Se asigna este estatus a todo aquel proveedor que cumple ampliamente con los requisitos de inocuidad, calidad y servicio solicitados por la organización.</t>
  </si>
  <si>
    <t>EN DESARROLLO</t>
  </si>
  <si>
    <t>60  -  79</t>
  </si>
  <si>
    <t>Se da este estatus al proveedor que cumple parcialmente con los requerimientos de la organización, sin embargo el proveedor tiene la oportunidad de presentar un plan de acción validado por Biotecsa. Al término del plan podrá cambiarse por el de  “PROVEEDOR CONFIABLE”. Para un “PROVEEDOR EN DESARRROLLO”  se realizan las siguientes acciones:</t>
  </si>
  <si>
    <r>
      <t>a)</t>
    </r>
    <r>
      <rPr>
        <sz val="7"/>
        <color rgb="FF000000"/>
        <rFont val="Times New Roman"/>
        <family val="1"/>
      </rPr>
      <t xml:space="preserve">            </t>
    </r>
    <r>
      <rPr>
        <sz val="9"/>
        <color rgb="FF000000"/>
        <rFont val="Arial"/>
        <family val="2"/>
      </rPr>
      <t xml:space="preserve">Se solicitan acciones correctivas al proveedor </t>
    </r>
  </si>
  <si>
    <r>
      <t>b)</t>
    </r>
    <r>
      <rPr>
        <sz val="7"/>
        <color rgb="FF000000"/>
        <rFont val="Times New Roman"/>
        <family val="1"/>
      </rPr>
      <t xml:space="preserve">            </t>
    </r>
    <r>
      <rPr>
        <sz val="9"/>
        <color rgb="FF000000"/>
        <rFont val="Arial"/>
        <family val="2"/>
      </rPr>
      <t>Biotecsa determina si es necesario realizar una auditoría al proveedor con el fin de validar sus acciones tomadas.</t>
    </r>
  </si>
  <si>
    <r>
      <t>c)</t>
    </r>
    <r>
      <rPr>
        <sz val="7"/>
        <color rgb="FF000000"/>
        <rFont val="Times New Roman"/>
        <family val="1"/>
      </rPr>
      <t xml:space="preserve">             </t>
    </r>
    <r>
      <rPr>
        <sz val="9"/>
        <color rgb="FF000000"/>
        <rFont val="Arial"/>
        <family val="2"/>
      </rPr>
      <t>Se da seguimiento al “PROVEEDOR  EN DESARROLLO” durante la siguiente evaluación para ver su desempeño.</t>
    </r>
  </si>
  <si>
    <r>
      <t>d)</t>
    </r>
    <r>
      <rPr>
        <sz val="7"/>
        <color rgb="FF000000"/>
        <rFont val="Times New Roman"/>
        <family val="1"/>
      </rPr>
      <t xml:space="preserve">            </t>
    </r>
    <r>
      <rPr>
        <sz val="9"/>
        <color rgb="FF000000"/>
        <rFont val="Arial"/>
        <family val="2"/>
      </rPr>
      <t>Si en la siguiente evaluación, el proveedor no alcanza el estatus de “PROVEEDOR APROBADO”, quedará en Biotecsa si se continúa o no con la relación comercial.</t>
    </r>
  </si>
  <si>
    <t>POCO CONFIABLE</t>
  </si>
  <si>
    <t>0  -  59</t>
  </si>
  <si>
    <r>
      <t>a)</t>
    </r>
    <r>
      <rPr>
        <sz val="7"/>
        <color rgb="FF000000"/>
        <rFont val="Times New Roman"/>
        <family val="1"/>
      </rPr>
      <t xml:space="preserve">            </t>
    </r>
    <r>
      <rPr>
        <sz val="9"/>
        <color rgb="FF000000"/>
        <rFont val="Arial"/>
        <family val="2"/>
      </rPr>
      <t>El proveedor que no cumple con los requerimientos de la organización es considerado “PROVEEDOR POCO CONFIABLE”. Estos proveedores no pueden proporcionar sus servicios a la organización cuando presentan este estatus. quedará en Biotecsa si se continúa o no con la relación comercial.</t>
    </r>
  </si>
  <si>
    <t>Llave servicio</t>
  </si>
  <si>
    <t>Global Servicio Almacén</t>
  </si>
  <si>
    <t>Global Inocuidad almacén</t>
  </si>
  <si>
    <t>Llave</t>
  </si>
  <si>
    <t>Global inocuidad Calidad</t>
  </si>
  <si>
    <t>llave</t>
  </si>
  <si>
    <t>Documentación (Factura, XML)</t>
  </si>
  <si>
    <t>Global Servicio Compras</t>
  </si>
  <si>
    <t xml:space="preserve">Cuestionario </t>
  </si>
  <si>
    <t>Total Servicio</t>
  </si>
  <si>
    <t>Total Inocuidad</t>
  </si>
  <si>
    <t>Calificación de proveedor</t>
  </si>
  <si>
    <t>No. Entregas proveedor</t>
  </si>
  <si>
    <t>Clasificación de proveedor</t>
  </si>
  <si>
    <t>(en blanco)</t>
  </si>
  <si>
    <t>Promedio de Calificación de proveedor</t>
  </si>
  <si>
    <t>Total general</t>
  </si>
  <si>
    <t>Cuenta de No. Entregas proveedor</t>
  </si>
  <si>
    <t>(Varios elementos)</t>
  </si>
  <si>
    <t xml:space="preserve">Comprador </t>
  </si>
  <si>
    <t>Elvia Martínez</t>
  </si>
  <si>
    <t>ANILINAS Y QUIMICOS TEXTILES S.A DE C.V.</t>
  </si>
  <si>
    <t>Industrial</t>
  </si>
  <si>
    <t>Febrero</t>
  </si>
  <si>
    <t>DEUTSCHE QUIMICA S.A DE C.V</t>
  </si>
  <si>
    <t>Juan Carlos Vera</t>
  </si>
  <si>
    <t>Marzo</t>
  </si>
  <si>
    <t>FOOD PROTEINS CORPORATION SA DE CV</t>
  </si>
  <si>
    <t>Abril</t>
  </si>
  <si>
    <t>GOMAS NATURALES SA DE CV</t>
  </si>
  <si>
    <t>Mayo</t>
  </si>
  <si>
    <t>GREIF MEXICO S.A DE C.V.</t>
  </si>
  <si>
    <t>Junio</t>
  </si>
  <si>
    <t>HERNANDEZ RAMIREZ PEDRO ENRIQUE</t>
  </si>
  <si>
    <t>Julio</t>
  </si>
  <si>
    <t>J TECH SALES LLC</t>
  </si>
  <si>
    <t>Agosto</t>
  </si>
  <si>
    <t>JAIME GUSTAVO ARROYO FLORES</t>
  </si>
  <si>
    <t>Septiembre</t>
  </si>
  <si>
    <t>LIQUID QUIMICA MEXICANA SA DE CV</t>
  </si>
  <si>
    <t>Octubre</t>
  </si>
  <si>
    <t>METCO SA DE CV</t>
  </si>
  <si>
    <t>Noviembre</t>
  </si>
  <si>
    <t>MILLIKAN SA DE CV</t>
  </si>
  <si>
    <t>Diciembre</t>
  </si>
  <si>
    <t>NOVOZYMES A/S</t>
  </si>
  <si>
    <t>NOVOZYMES MEXICO S.A DE C.V.</t>
  </si>
  <si>
    <t>NOVOZYMES NORTH AMERICA, INC</t>
  </si>
  <si>
    <t>NUEVA WALMART DE MÈXICO S DE R.L. DE C.V.</t>
  </si>
  <si>
    <t>OBET CARPIO FERNANDEZ</t>
  </si>
  <si>
    <t>PLASTI-ENVASES S.A DE C.V.</t>
  </si>
  <si>
    <t>POCHTECA MATERIAS PRIMAS S.A DE C.V</t>
  </si>
  <si>
    <t>QUIMICOS BASICOS INTERNACIONAL</t>
  </si>
  <si>
    <t>SERVICAL MEXICANA</t>
  </si>
  <si>
    <t>SEYDEL-WOOLLEY &amp; COMPANY</t>
  </si>
  <si>
    <t>TECNICOS Y COLORES ANILPAN S.A. DE C.V.</t>
  </si>
  <si>
    <t>VISAPLAST SA DE CV</t>
  </si>
  <si>
    <t>C&amp;P SOLUTIONS SA DE CV</t>
  </si>
  <si>
    <t>CARMEN GOMEZ SALDIVAR</t>
  </si>
  <si>
    <t>DSV AIR &amp; SEA SA DE CV</t>
  </si>
  <si>
    <t>ALQUIMIA MEXICANA S DE RL</t>
  </si>
  <si>
    <t>AMELIA PEÑA PEÑA</t>
  </si>
  <si>
    <t>ARCHROMA MEXICO S DE RL DE CV</t>
  </si>
  <si>
    <t>BEST INGREDIENTS MEXICO SA DE CV</t>
  </si>
  <si>
    <t>BONDETTER SA DE CV</t>
  </si>
  <si>
    <t>CIA INDUSTRIAL PENTHER SA DE CV</t>
  </si>
  <si>
    <t>COMERCIALIZACION CIRAEM SA DE CV</t>
  </si>
  <si>
    <t>COMMERCE INTERNATIONAL ACHAT CONSEIL SA DE CV</t>
  </si>
  <si>
    <t>DERIVADOS MACROQUIMICOS S.A DE C.V</t>
  </si>
  <si>
    <t>FARBE MUNCHEN DE MEXICO S DE RL DE CV</t>
  </si>
  <si>
    <t>FARMA LOGISTIC, SA DE CV</t>
  </si>
  <si>
    <t>INGREDIENTES FUNCIONALES DE MEXICO SA DE CV</t>
  </si>
  <si>
    <t>INGREDION MEXICO SA DE CV</t>
  </si>
  <si>
    <t>LALLEMAND MEXICO SA DE CV</t>
  </si>
  <si>
    <t>LEQUIMETH SA DE CV</t>
  </si>
  <si>
    <t>NOVOZYMES BIOLOGICALS, INC.</t>
  </si>
  <si>
    <t>POLIETILENOS ESPECIALES SA DE CV</t>
  </si>
  <si>
    <t>POLITAMBORES SA DE CV</t>
  </si>
  <si>
    <t>QUIMICA ASI, SA DE CV</t>
  </si>
  <si>
    <t>QUIMICA HERNADEZ RAMIREZ SA DE CV</t>
  </si>
  <si>
    <t>SMURFIT CARTON Y PAPEL DE MEXICO SA DE CV</t>
  </si>
  <si>
    <t>UNIVAR DE MEXICO SA DE CV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</si>
</sst>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color rgb="FF000000"/>
      <name val="Arial"/>
    </font>
    <font>
      <sz val="10"/>
      <color theme="1"/>
      <name val="Arial"/>
      <family val="2"/>
    </font>
    <font>
      <sz val="10"/>
      <name val="Arial"/>
      <family val="2"/>
    </font>
    <font>
      <sz val="14"/>
      <color theme="1"/>
      <name val="Arial"/>
      <family val="2"/>
    </font>
    <font>
      <b/>
      <sz val="10"/>
      <color theme="1"/>
      <name val="Arial"/>
      <family val="2"/>
    </font>
    <font>
      <sz val="8"/>
      <color theme="1"/>
      <name val="Arial"/>
      <family val="2"/>
    </font>
    <font>
      <b/>
      <sz val="24"/>
      <color theme="1"/>
      <name val="Arial"/>
      <family val="2"/>
    </font>
    <font>
      <b/>
      <sz val="10"/>
      <color rgb="FF000000"/>
      <name val="Arial"/>
      <family val="2"/>
    </font>
    <font>
      <sz val="11"/>
      <color rgb="FF000000"/>
      <name val="Calibri"/>
      <family val="2"/>
    </font>
    <font>
      <sz val="9"/>
      <color rgb="FF000000"/>
      <name val="Abadi Extra Light"/>
      <family val="2"/>
    </font>
    <font>
      <b/>
      <sz val="20"/>
      <color rgb="FF000000"/>
      <name val="Arial"/>
      <family val="2"/>
    </font>
    <font>
      <b/>
      <sz val="9"/>
      <color rgb="FF000000"/>
      <name val="Arial"/>
      <family val="2"/>
    </font>
    <font>
      <sz val="9"/>
      <color rgb="FF000000"/>
      <name val="Arial"/>
      <family val="2"/>
    </font>
    <font>
      <sz val="7"/>
      <color rgb="FF000000"/>
      <name val="Times New Roman"/>
      <family val="1"/>
    </font>
  </fonts>
  <fills count="23">
    <fill>
      <patternFill patternType="none"/>
    </fill>
    <fill>
      <patternFill patternType="gray125"/>
    </fill>
    <fill>
      <patternFill patternType="solid">
        <fgColor rgb="FFFFFFFF"/>
        <bgColor rgb="FFFFFFFF"/>
      </patternFill>
    </fill>
    <fill>
      <patternFill patternType="solid">
        <fgColor rgb="FFD9D9D9"/>
        <bgColor rgb="FFD9D9D9"/>
      </patternFill>
    </fill>
    <fill>
      <patternFill patternType="solid">
        <fgColor rgb="FFD8D8D8"/>
        <bgColor rgb="FFD8D8D8"/>
      </patternFill>
    </fill>
    <fill>
      <patternFill patternType="solid">
        <fgColor rgb="FFCCCCCC"/>
        <bgColor rgb="FFCCCCCC"/>
      </patternFill>
    </fill>
    <fill>
      <patternFill patternType="solid">
        <fgColor rgb="FFFDE49A"/>
        <bgColor rgb="FFFDE49A"/>
      </patternFill>
    </fill>
    <fill>
      <patternFill patternType="solid">
        <fgColor rgb="FF8FD7DC"/>
        <bgColor rgb="FF8FD7DC"/>
      </patternFill>
    </fill>
    <fill>
      <patternFill patternType="solid">
        <fgColor rgb="FFB7B7B7"/>
        <bgColor rgb="FFB7B7B7"/>
      </patternFill>
    </fill>
    <fill>
      <patternFill patternType="solid">
        <fgColor rgb="FF999999"/>
        <bgColor rgb="FF999999"/>
      </patternFill>
    </fill>
    <fill>
      <patternFill patternType="solid">
        <fgColor rgb="FF93C47D"/>
        <bgColor rgb="FF93C47D"/>
      </patternFill>
    </fill>
    <fill>
      <patternFill patternType="solid">
        <fgColor rgb="FFFFFF00"/>
        <bgColor rgb="FFFFFF00"/>
      </patternFill>
    </fill>
    <fill>
      <patternFill patternType="solid">
        <fgColor rgb="FFB4E4E8"/>
        <bgColor rgb="FFB4E4E8"/>
      </patternFill>
    </fill>
    <fill>
      <patternFill patternType="solid">
        <fgColor rgb="FFE06666"/>
        <bgColor rgb="FFE06666"/>
      </patternFill>
    </fill>
    <fill>
      <patternFill patternType="solid">
        <fgColor rgb="FFFCD668"/>
        <bgColor rgb="FFFCD668"/>
      </patternFill>
    </fill>
    <fill>
      <patternFill patternType="solid">
        <fgColor theme="0"/>
        <bgColor theme="0"/>
      </patternFill>
    </fill>
    <fill>
      <patternFill patternType="solid">
        <fgColor rgb="FFFEF1CC"/>
        <bgColor rgb="FFFEF1CC"/>
      </patternFill>
    </fill>
    <fill>
      <patternFill patternType="solid">
        <fgColor rgb="FFD9F1F3"/>
        <bgColor rgb="FFD9F1F3"/>
      </patternFill>
    </fill>
    <fill>
      <patternFill patternType="solid">
        <fgColor rgb="FFF2F2F2"/>
        <bgColor rgb="FFF2F2F2"/>
      </patternFill>
    </fill>
    <fill>
      <patternFill patternType="solid">
        <fgColor rgb="FFD9E6FC"/>
        <bgColor rgb="FFD9E6FC"/>
      </patternFill>
    </fill>
    <fill>
      <patternFill patternType="solid">
        <fgColor theme="0"/>
        <bgColor indexed="64"/>
      </patternFill>
    </fill>
    <fill>
      <patternFill patternType="solid">
        <fgColor theme="0"/>
        <bgColor rgb="FFFFFFFF"/>
      </patternFill>
    </fill>
    <fill>
      <patternFill patternType="solid">
        <fgColor rgb="FFBFBFBF"/>
        <bgColor indexed="64"/>
      </patternFill>
    </fill>
  </fills>
  <borders count="28">
    <border>
      <left/>
      <right/>
      <top/>
      <bottom/>
      <diagonal/>
    </border>
    <border>
      <left style="thin">
        <color rgb="FF000000"/>
      </left>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diagonal/>
    </border>
    <border>
      <left/>
      <right style="medium">
        <color rgb="FF000000"/>
      </right>
      <top/>
      <bottom/>
      <diagonal/>
    </border>
    <border>
      <left style="medium">
        <color rgb="FF000000"/>
      </left>
      <right style="medium">
        <color rgb="FF000000"/>
      </right>
      <top style="medium">
        <color rgb="FF000000"/>
      </top>
      <bottom/>
      <diagonal/>
    </border>
    <border>
      <left style="thin">
        <color rgb="FFABABAB"/>
      </left>
      <right/>
      <top style="thin">
        <color rgb="FFABABAB"/>
      </top>
      <bottom/>
      <diagonal/>
    </border>
    <border>
      <left style="thin">
        <color rgb="FFABABAB"/>
      </left>
      <right style="thin">
        <color rgb="FFABABAB"/>
      </right>
      <top style="thin">
        <color rgb="FFABABAB"/>
      </top>
      <bottom/>
      <diagonal/>
    </border>
    <border>
      <left style="thin">
        <color rgb="FFABABAB"/>
      </left>
      <right/>
      <top style="thin">
        <color rgb="FFABABAB"/>
      </top>
      <bottom style="thin">
        <color rgb="FFABABAB"/>
      </bottom>
      <diagonal/>
    </border>
    <border>
      <left style="thin">
        <color rgb="FFABABAB"/>
      </left>
      <right style="thin">
        <color rgb="FFABABAB"/>
      </right>
      <top style="thin">
        <color rgb="FFABABAB"/>
      </top>
      <bottom style="thin">
        <color rgb="FFABABAB"/>
      </bottom>
      <diagonal/>
    </border>
  </borders>
  <cellStyleXfs count="1">
    <xf numFmtId="0" fontId="0" fillId="0" borderId="0"/>
  </cellStyleXfs>
  <cellXfs count="115">
    <xf numFmtId="0" fontId="0" fillId="0" borderId="0" xfId="0"/>
    <xf numFmtId="0" fontId="1" fillId="2" borderId="8" xfId="0" applyFont="1" applyFill="1" applyBorder="1" applyAlignment="1">
      <alignment horizontal="left"/>
    </xf>
    <xf numFmtId="0" fontId="1" fillId="2" borderId="8" xfId="0" applyFont="1" applyFill="1" applyBorder="1"/>
    <xf numFmtId="0" fontId="4" fillId="3" borderId="8" xfId="0" applyFont="1" applyFill="1" applyBorder="1"/>
    <xf numFmtId="0" fontId="4" fillId="3" borderId="10" xfId="0" applyFont="1" applyFill="1" applyBorder="1" applyAlignment="1">
      <alignment horizontal="center"/>
    </xf>
    <xf numFmtId="0" fontId="5" fillId="0" borderId="8" xfId="0" applyFont="1" applyBorder="1" applyAlignment="1">
      <alignment wrapText="1"/>
    </xf>
    <xf numFmtId="0" fontId="1" fillId="7" borderId="8" xfId="0" applyFont="1" applyFill="1" applyBorder="1"/>
    <xf numFmtId="0" fontId="1" fillId="0" borderId="0" xfId="0" applyFont="1"/>
    <xf numFmtId="0" fontId="4" fillId="3" borderId="8" xfId="0" applyFont="1" applyFill="1" applyBorder="1" applyAlignment="1">
      <alignment horizontal="center"/>
    </xf>
    <xf numFmtId="0" fontId="1" fillId="15" borderId="15" xfId="0" applyFont="1" applyFill="1" applyBorder="1"/>
    <xf numFmtId="0" fontId="1" fillId="16" borderId="8" xfId="0" applyFont="1" applyFill="1" applyBorder="1"/>
    <xf numFmtId="0" fontId="1" fillId="7" borderId="15" xfId="0" applyFont="1" applyFill="1" applyBorder="1"/>
    <xf numFmtId="0" fontId="8" fillId="0" borderId="0" xfId="0" applyFont="1"/>
    <xf numFmtId="0" fontId="5" fillId="0" borderId="8" xfId="0" applyFont="1" applyBorder="1" applyAlignment="1">
      <alignment vertical="center" wrapText="1"/>
    </xf>
    <xf numFmtId="0" fontId="1" fillId="0" borderId="14" xfId="0" applyFont="1" applyBorder="1" applyAlignment="1">
      <alignment horizontal="center" vertical="center"/>
    </xf>
    <xf numFmtId="0" fontId="1" fillId="0" borderId="8" xfId="0" applyFont="1" applyBorder="1" applyAlignment="1">
      <alignment horizontal="center" vertical="center"/>
    </xf>
    <xf numFmtId="0" fontId="1" fillId="6" borderId="8" xfId="0" applyFont="1" applyFill="1" applyBorder="1" applyAlignment="1">
      <alignment horizontal="center" vertical="center"/>
    </xf>
    <xf numFmtId="0" fontId="1" fillId="7" borderId="8"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0" xfId="0" applyFont="1" applyFill="1" applyBorder="1" applyAlignment="1">
      <alignment horizontal="center" vertical="center"/>
    </xf>
    <xf numFmtId="0" fontId="4" fillId="3" borderId="9" xfId="0" applyFont="1" applyFill="1" applyBorder="1" applyAlignment="1">
      <alignment horizontal="center" vertical="center"/>
    </xf>
    <xf numFmtId="0" fontId="0" fillId="20" borderId="7" xfId="0" applyFill="1" applyBorder="1"/>
    <xf numFmtId="0" fontId="10" fillId="20" borderId="7" xfId="0" applyFont="1" applyFill="1" applyBorder="1"/>
    <xf numFmtId="0" fontId="0" fillId="21" borderId="7" xfId="0" applyFill="1" applyBorder="1"/>
    <xf numFmtId="0" fontId="1" fillId="21" borderId="7" xfId="0" applyFont="1" applyFill="1" applyBorder="1"/>
    <xf numFmtId="0" fontId="3" fillId="21" borderId="7" xfId="0" applyFont="1" applyFill="1" applyBorder="1" applyAlignment="1">
      <alignment vertical="center"/>
    </xf>
    <xf numFmtId="0" fontId="2" fillId="20" borderId="7" xfId="0" applyFont="1" applyFill="1" applyBorder="1"/>
    <xf numFmtId="0" fontId="1" fillId="20" borderId="7" xfId="0" applyFont="1" applyFill="1" applyBorder="1" applyAlignment="1">
      <alignment wrapText="1"/>
    </xf>
    <xf numFmtId="0" fontId="11" fillId="22" borderId="17" xfId="0" applyFont="1" applyFill="1" applyBorder="1" applyAlignment="1">
      <alignment horizontal="center" vertical="center" wrapText="1"/>
    </xf>
    <xf numFmtId="0" fontId="11" fillId="22" borderId="18" xfId="0" applyFont="1" applyFill="1" applyBorder="1" applyAlignment="1">
      <alignment horizontal="center" vertical="center" wrapText="1"/>
    </xf>
    <xf numFmtId="0" fontId="11" fillId="0" borderId="19" xfId="0" applyFont="1" applyBorder="1" applyAlignment="1">
      <alignment horizontal="center" vertical="center" wrapText="1"/>
    </xf>
    <xf numFmtId="0" fontId="12" fillId="0" borderId="20" xfId="0" applyFont="1" applyBorder="1" applyAlignment="1">
      <alignment horizontal="center" vertical="center" wrapText="1"/>
    </xf>
    <xf numFmtId="0" fontId="12" fillId="0" borderId="20" xfId="0" applyFont="1" applyBorder="1" applyAlignment="1">
      <alignment horizontal="justify" vertical="center" wrapText="1"/>
    </xf>
    <xf numFmtId="0" fontId="12" fillId="0" borderId="22" xfId="0" applyFont="1" applyBorder="1" applyAlignment="1">
      <alignment horizontal="justify" vertical="center" wrapText="1"/>
    </xf>
    <xf numFmtId="0" fontId="0" fillId="2" borderId="7" xfId="0" applyFill="1" applyBorder="1"/>
    <xf numFmtId="0" fontId="1" fillId="2" borderId="7" xfId="0" applyFont="1" applyFill="1" applyBorder="1"/>
    <xf numFmtId="0" fontId="0" fillId="2" borderId="11" xfId="0" applyFill="1" applyBorder="1"/>
    <xf numFmtId="0" fontId="1" fillId="2" borderId="13" xfId="0" applyFont="1" applyFill="1" applyBorder="1"/>
    <xf numFmtId="0" fontId="4" fillId="2" borderId="7" xfId="0" applyFont="1" applyFill="1" applyBorder="1" applyAlignment="1">
      <alignment horizontal="center"/>
    </xf>
    <xf numFmtId="0" fontId="4" fillId="2" borderId="7" xfId="0" applyFont="1" applyFill="1" applyBorder="1" applyAlignment="1">
      <alignment horizontal="left"/>
    </xf>
    <xf numFmtId="0" fontId="4" fillId="2" borderId="7" xfId="0" applyFont="1" applyFill="1" applyBorder="1"/>
    <xf numFmtId="0" fontId="0" fillId="6" borderId="7" xfId="0" applyFill="1" applyBorder="1"/>
    <xf numFmtId="0" fontId="0" fillId="12" borderId="7" xfId="0" applyFill="1" applyBorder="1"/>
    <xf numFmtId="0" fontId="0" fillId="14" borderId="7" xfId="0" applyFill="1" applyBorder="1"/>
    <xf numFmtId="0" fontId="1" fillId="15" borderId="7" xfId="0" applyFont="1" applyFill="1" applyBorder="1"/>
    <xf numFmtId="0" fontId="1" fillId="16" borderId="7" xfId="0" applyFont="1" applyFill="1" applyBorder="1"/>
    <xf numFmtId="0" fontId="1" fillId="7" borderId="7" xfId="0" applyFont="1" applyFill="1" applyBorder="1"/>
    <xf numFmtId="0" fontId="1" fillId="17" borderId="7" xfId="0" applyFont="1" applyFill="1" applyBorder="1"/>
    <xf numFmtId="0" fontId="1" fillId="17" borderId="11" xfId="0" applyFont="1" applyFill="1" applyBorder="1"/>
    <xf numFmtId="0" fontId="1" fillId="17" borderId="11" xfId="0" applyFont="1" applyFill="1" applyBorder="1" applyAlignment="1">
      <alignment wrapText="1"/>
    </xf>
    <xf numFmtId="0" fontId="1" fillId="17" borderId="7" xfId="0" applyFont="1" applyFill="1" applyBorder="1" applyAlignment="1">
      <alignment wrapText="1"/>
    </xf>
    <xf numFmtId="0" fontId="7" fillId="17" borderId="7" xfId="0" applyFont="1" applyFill="1" applyBorder="1" applyAlignment="1">
      <alignment horizontal="center"/>
    </xf>
    <xf numFmtId="0" fontId="0" fillId="17" borderId="7" xfId="0" applyFill="1" applyBorder="1"/>
    <xf numFmtId="0" fontId="0" fillId="18" borderId="7" xfId="0" applyFill="1" applyBorder="1"/>
    <xf numFmtId="0" fontId="0" fillId="19" borderId="7" xfId="0" applyFill="1" applyBorder="1"/>
    <xf numFmtId="0" fontId="0" fillId="4" borderId="7" xfId="0" applyFill="1" applyBorder="1"/>
    <xf numFmtId="0" fontId="4" fillId="5" borderId="7" xfId="0" applyFont="1" applyFill="1" applyBorder="1"/>
    <xf numFmtId="0" fontId="0" fillId="0" borderId="24" xfId="0" pivotButton="1" applyBorder="1"/>
    <xf numFmtId="0" fontId="0" fillId="0" borderId="25" xfId="0" applyBorder="1"/>
    <xf numFmtId="0" fontId="0" fillId="0" borderId="26" xfId="0" applyBorder="1"/>
    <xf numFmtId="0" fontId="0" fillId="0" borderId="27" xfId="0" applyBorder="1"/>
    <xf numFmtId="0" fontId="0" fillId="0" borderId="27" xfId="0" pivotButton="1" applyBorder="1"/>
    <xf numFmtId="0" fontId="0" fillId="0" borderId="24" xfId="0" applyBorder="1"/>
    <xf numFmtId="0" fontId="11" fillId="0" borderId="23" xfId="0" applyFont="1" applyBorder="1" applyAlignment="1">
      <alignment horizontal="center" vertical="center" wrapText="1"/>
    </xf>
    <xf numFmtId="0" fontId="11" fillId="0" borderId="21" xfId="0" applyFont="1" applyBorder="1" applyAlignment="1">
      <alignment horizontal="center" vertical="center" wrapText="1"/>
    </xf>
    <xf numFmtId="0" fontId="11" fillId="0" borderId="19" xfId="0" applyFont="1" applyBorder="1" applyAlignment="1">
      <alignment horizontal="center" vertical="center" wrapText="1"/>
    </xf>
    <xf numFmtId="0" fontId="12" fillId="0" borderId="23" xfId="0" applyFont="1" applyBorder="1" applyAlignment="1">
      <alignment horizontal="center" vertical="center" wrapText="1"/>
    </xf>
    <xf numFmtId="0" fontId="12" fillId="0" borderId="21" xfId="0" applyFont="1" applyBorder="1" applyAlignment="1">
      <alignment horizontal="center" vertical="center" wrapText="1"/>
    </xf>
    <xf numFmtId="0" fontId="12" fillId="0" borderId="19" xfId="0" applyFont="1" applyBorder="1" applyAlignment="1">
      <alignment horizontal="center" vertical="center" wrapText="1"/>
    </xf>
    <xf numFmtId="0" fontId="9" fillId="0" borderId="0" xfId="0" applyFont="1" applyAlignment="1">
      <alignment horizontal="left" vertical="center" wrapText="1"/>
    </xf>
    <xf numFmtId="0" fontId="1" fillId="0" borderId="11" xfId="0" applyFont="1" applyBorder="1" applyAlignment="1">
      <alignment vertical="center" wrapText="1"/>
    </xf>
    <xf numFmtId="0" fontId="2" fillId="0" borderId="12" xfId="0" applyFont="1" applyBorder="1" applyAlignment="1">
      <alignment vertical="center"/>
    </xf>
    <xf numFmtId="0" fontId="2" fillId="0" borderId="13" xfId="0" applyFont="1" applyBorder="1" applyAlignment="1">
      <alignment vertical="center"/>
    </xf>
    <xf numFmtId="0" fontId="4" fillId="5" borderId="7" xfId="0" applyFont="1" applyFill="1" applyBorder="1" applyAlignment="1">
      <alignment horizontal="left"/>
    </xf>
    <xf numFmtId="0" fontId="2" fillId="0" borderId="7" xfId="0" applyFont="1" applyBorder="1"/>
    <xf numFmtId="0" fontId="4" fillId="3" borderId="11" xfId="0" applyFont="1" applyFill="1" applyBorder="1"/>
    <xf numFmtId="0" fontId="2" fillId="0" borderId="12" xfId="0" applyFont="1" applyBorder="1"/>
    <xf numFmtId="0" fontId="2" fillId="0" borderId="13" xfId="0" applyFont="1" applyBorder="1"/>
    <xf numFmtId="0" fontId="4" fillId="3" borderId="11" xfId="0" applyFont="1" applyFill="1" applyBorder="1" applyAlignment="1">
      <alignment horizontal="center"/>
    </xf>
    <xf numFmtId="0" fontId="0" fillId="2" borderId="7" xfId="0" applyFill="1" applyBorder="1" applyAlignment="1">
      <alignment horizontal="center"/>
    </xf>
    <xf numFmtId="0" fontId="6" fillId="0" borderId="0" xfId="0" applyFont="1" applyAlignment="1">
      <alignment horizontal="center" vertical="center"/>
    </xf>
    <xf numFmtId="0" fontId="0" fillId="0" borderId="0" xfId="0"/>
    <xf numFmtId="0" fontId="1" fillId="0" borderId="1" xfId="0" applyFont="1" applyBorder="1"/>
    <xf numFmtId="0" fontId="2" fillId="0" borderId="9" xfId="0" applyFont="1" applyBorder="1"/>
    <xf numFmtId="0" fontId="2" fillId="0" borderId="10" xfId="0" applyFont="1" applyBorder="1"/>
    <xf numFmtId="0" fontId="2" fillId="0" borderId="2" xfId="0" applyFont="1" applyBorder="1"/>
    <xf numFmtId="0" fontId="2" fillId="0" borderId="3" xfId="0" applyFont="1" applyBorder="1"/>
    <xf numFmtId="0" fontId="2" fillId="0" borderId="4" xfId="0" applyFont="1" applyBorder="1"/>
    <xf numFmtId="0" fontId="2" fillId="0" borderId="5" xfId="0" applyFont="1" applyBorder="1"/>
    <xf numFmtId="0" fontId="2" fillId="0" borderId="6" xfId="0" applyFont="1" applyBorder="1"/>
    <xf numFmtId="0" fontId="0" fillId="0" borderId="11" xfId="0" applyBorder="1" applyAlignment="1">
      <alignment vertical="center" wrapText="1"/>
    </xf>
    <xf numFmtId="0" fontId="1" fillId="0" borderId="11" xfId="0" applyFont="1" applyBorder="1" applyAlignment="1">
      <alignment vertical="center"/>
    </xf>
    <xf numFmtId="0" fontId="4" fillId="4" borderId="7" xfId="0" applyFont="1" applyFill="1" applyBorder="1"/>
    <xf numFmtId="0" fontId="4" fillId="3" borderId="7" xfId="0" applyFont="1" applyFill="1" applyBorder="1" applyAlignment="1">
      <alignment horizontal="left"/>
    </xf>
    <xf numFmtId="0" fontId="0" fillId="2" borderId="7" xfId="0" applyFill="1" applyBorder="1"/>
    <xf numFmtId="0" fontId="1" fillId="0" borderId="11" xfId="0" applyFont="1" applyBorder="1" applyAlignment="1">
      <alignment horizontal="left" vertical="center"/>
    </xf>
    <xf numFmtId="0" fontId="4" fillId="3" borderId="11" xfId="0" applyFont="1" applyFill="1" applyBorder="1" applyAlignment="1">
      <alignment horizontal="center" vertical="center"/>
    </xf>
    <xf numFmtId="0" fontId="2" fillId="0" borderId="12" xfId="0" applyFont="1" applyBorder="1" applyAlignment="1">
      <alignment horizontal="center" vertical="center"/>
    </xf>
    <xf numFmtId="0" fontId="2" fillId="0" borderId="13" xfId="0" applyFont="1" applyBorder="1" applyAlignment="1">
      <alignment horizontal="center" vertical="center"/>
    </xf>
    <xf numFmtId="0" fontId="4" fillId="3" borderId="16" xfId="0" applyFont="1" applyFill="1" applyBorder="1" applyAlignment="1">
      <alignment vertical="center"/>
    </xf>
    <xf numFmtId="0" fontId="2" fillId="0" borderId="16" xfId="0" applyFont="1" applyBorder="1" applyAlignment="1">
      <alignment vertical="center"/>
    </xf>
    <xf numFmtId="0" fontId="1" fillId="0" borderId="4" xfId="0" applyFont="1" applyBorder="1"/>
    <xf numFmtId="0" fontId="4" fillId="3" borderId="7" xfId="0" applyFont="1" applyFill="1" applyBorder="1"/>
    <xf numFmtId="0" fontId="1" fillId="2" borderId="7" xfId="0" applyFont="1" applyFill="1" applyBorder="1"/>
    <xf numFmtId="0" fontId="0" fillId="2" borderId="7" xfId="0" applyFill="1" applyBorder="1" applyAlignment="1">
      <alignment horizontal="right"/>
    </xf>
    <xf numFmtId="0" fontId="4" fillId="9" borderId="7" xfId="0" applyFont="1" applyFill="1" applyBorder="1" applyAlignment="1">
      <alignment horizontal="center"/>
    </xf>
    <xf numFmtId="0" fontId="4" fillId="10" borderId="7" xfId="0" applyFont="1" applyFill="1" applyBorder="1"/>
    <xf numFmtId="0" fontId="4" fillId="11" borderId="7" xfId="0" applyFont="1" applyFill="1" applyBorder="1"/>
    <xf numFmtId="0" fontId="4" fillId="13" borderId="7" xfId="0" applyFont="1" applyFill="1" applyBorder="1"/>
    <xf numFmtId="0" fontId="1" fillId="0" borderId="11" xfId="0" applyFont="1" applyBorder="1" applyAlignment="1">
      <alignment horizontal="justify" vertical="center" wrapText="1"/>
    </xf>
    <xf numFmtId="0" fontId="2" fillId="0" borderId="12" xfId="0" applyFont="1" applyBorder="1" applyAlignment="1">
      <alignment horizontal="justify" vertical="center"/>
    </xf>
    <xf numFmtId="0" fontId="2" fillId="0" borderId="13" xfId="0" applyFont="1" applyBorder="1" applyAlignment="1">
      <alignment horizontal="justify" vertical="center"/>
    </xf>
    <xf numFmtId="0" fontId="4" fillId="8" borderId="7" xfId="0" applyFont="1" applyFill="1" applyBorder="1"/>
    <xf numFmtId="0" fontId="0" fillId="0" borderId="27" xfId="0" applyNumberFormat="1" applyBorder="1"/>
    <xf numFmtId="0" fontId="0" fillId="0" borderId="25" xfId="0" applyNumberFormat="1" applyBorder="1"/>
  </cellXfs>
  <cellStyles count="1">
    <cellStyle name="Normal" xfId="0" builtinId="0"/>
  </cellStyles>
  <dxfs count="9">
    <dxf>
      <fill>
        <patternFill patternType="solid">
          <fgColor rgb="FF7AD592"/>
          <bgColor rgb="FF7AD592"/>
        </patternFill>
      </fill>
    </dxf>
    <dxf>
      <fill>
        <patternFill patternType="solid">
          <fgColor rgb="FFFFFF00"/>
          <bgColor rgb="FFFFFF00"/>
        </patternFill>
      </fill>
    </dxf>
    <dxf>
      <fill>
        <patternFill patternType="solid">
          <fgColor rgb="FFF28E85"/>
          <bgColor rgb="FFF28E85"/>
        </patternFill>
      </fill>
    </dxf>
    <dxf>
      <fill>
        <patternFill patternType="solid">
          <fgColor rgb="FFFFFF00"/>
          <bgColor rgb="FFFFFF00"/>
        </patternFill>
      </fill>
    </dxf>
    <dxf>
      <fill>
        <patternFill patternType="solid">
          <fgColor rgb="FFF28E85"/>
          <bgColor rgb="FFF28E85"/>
        </patternFill>
      </fill>
    </dxf>
    <dxf>
      <fill>
        <patternFill patternType="solid">
          <fgColor rgb="FF46DA54"/>
          <bgColor rgb="FF46DA54"/>
        </patternFill>
      </fill>
    </dxf>
    <dxf>
      <fill>
        <patternFill patternType="solid">
          <fgColor rgb="FFE06666"/>
          <bgColor rgb="FFE06666"/>
        </patternFill>
      </fill>
    </dxf>
    <dxf>
      <fill>
        <patternFill patternType="solid">
          <fgColor rgb="FFFFFF00"/>
          <bgColor rgb="FFFFFF00"/>
        </patternFill>
      </fill>
    </dxf>
    <dxf>
      <fill>
        <patternFill patternType="solid">
          <fgColor rgb="FF93C47D"/>
          <bgColor rgb="FF93C47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24" Type="http://schemas.microsoft.com/office/2006/relationships/vbaProject" Target="vbaProject.bin"/><Relationship Id="rId5" Type="http://schemas.openxmlformats.org/officeDocument/2006/relationships/worksheet" Target="worksheets/sheet5.xml"/><Relationship Id="rId23" Type="http://schemas.openxmlformats.org/officeDocument/2006/relationships/customXml" Target="../customXml/item3.xml"/><Relationship Id="rId10" Type="http://schemas.openxmlformats.org/officeDocument/2006/relationships/pivotCacheDefinition" Target="pivotCache/pivotCacheDefinition3.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22" Type="http://schemas.openxmlformats.org/officeDocument/2006/relationships/customXml" Target="../customXml/item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MX"/>
              <a:t>Calificación anual por proveedor</a:t>
            </a:r>
          </a:p>
        </c:rich>
      </c:tx>
      <c:layout>
        <c:manualLayout>
          <c:xMode val="edge"/>
          <c:yMode val="edge"/>
          <c:x val="0.40696969696969698"/>
          <c:y val="7.6142272019186386E-2"/>
        </c:manualLayout>
      </c:layout>
      <c:overlay val="0"/>
    </c:title>
    <c:autoTitleDeleted val="0"/>
    <c:plotArea>
      <c:layout/>
      <c:barChart>
        <c:barDir val="col"/>
        <c:grouping val="clustered"/>
        <c:varyColors val="1"/>
        <c:ser>
          <c:idx val="0"/>
          <c:order val="0"/>
          <c:tx>
            <c:strRef>
              <c:f>'Tendencia aNL'!$B$4</c:f>
              <c:strCache>
                <c:ptCount val="1"/>
                <c:pt idx="0">
                  <c:v>Promedio de Calificación de proveedor</c:v>
                </c:pt>
              </c:strCache>
            </c:strRef>
          </c:tx>
          <c:spPr>
            <a:solidFill>
              <a:srgbClr val="4285F4"/>
            </a:solidFill>
          </c:spPr>
          <c:invertIfNegative val="1"/>
          <c:dLbls>
            <c:spPr>
              <a:noFill/>
              <a:ln>
                <a:noFill/>
              </a:ln>
              <a:effectLst/>
            </c:spPr>
            <c:txPr>
              <a:bodyPr/>
              <a:lstStyle/>
              <a:p>
                <a:pPr lvl="0">
                  <a:defRPr sz="900" b="0" i="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'Tendencia aNL'!$A$5:$A$22</c:f>
              <c:strCache>
                <c:ptCount val="2"/>
                <c:pt idx="0">
                  <c:v>(en blanco)</c:v>
                </c:pt>
                <c:pt idx="1">
                  <c:v>Total general</c:v>
                </c:pt>
              </c:strCache>
            </c:strRef>
          </c:cat>
          <c:val>
            <c:numRef>
              <c:f>'Tendencia aNL'!$B$5:$B$22</c:f>
              <c:numCache>
                <c:formatCode>General</c:formatCode>
                <c:ptCount val="18"/>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8EDC-4946-B7FC-2390B080243F}"/>
            </c:ext>
          </c:extLst>
        </c:ser>
        <c:dLbls>
          <c:showLegendKey val="0"/>
          <c:showVal val="0"/>
          <c:showCatName val="0"/>
          <c:showSerName val="0"/>
          <c:showPercent val="0"/>
          <c:showBubbleSize val="0"/>
        </c:dLbls>
        <c:gapWidth val="150"/>
        <c:axId val="293177928"/>
        <c:axId val="293178320"/>
      </c:barChart>
      <c:catAx>
        <c:axId val="293177928"/>
        <c:scaling>
          <c:orientation val="minMax"/>
        </c:scaling>
        <c:delete val="0"/>
        <c:axPos val="b"/>
        <c:title>
          <c:tx>
            <c:rich>
              <a:bodyPr/>
              <a:lstStyle/>
              <a:p>
                <a:pPr lvl="0">
                  <a:defRPr b="0">
                    <a:solidFill>
                      <a:srgbClr val="000000"/>
                    </a:solidFill>
                    <a:latin typeface="+mn-lt"/>
                  </a:defRPr>
                </a:pPr>
                <a:endParaRPr lang="es-MX"/>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293178320"/>
        <c:crosses val="autoZero"/>
        <c:auto val="1"/>
        <c:lblAlgn val="ctr"/>
        <c:lblOffset val="100"/>
        <c:noMultiLvlLbl val="1"/>
      </c:catAx>
      <c:valAx>
        <c:axId val="293178320"/>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s-MX"/>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n-US"/>
          </a:p>
        </c:txPr>
        <c:crossAx val="293177928"/>
        <c:crosses val="autoZero"/>
        <c:crossBetween val="between"/>
      </c:valAx>
    </c:plotArea>
    <c:legend>
      <c:legendPos val="r"/>
      <c:overlay val="0"/>
      <c:txPr>
        <a:bodyPr/>
        <a:lstStyle/>
        <a:p>
          <a:pPr lvl="0">
            <a:defRPr sz="900" b="0" i="0">
              <a:solidFill>
                <a:srgbClr val="1A1A1A"/>
              </a:solidFill>
              <a:latin typeface="+mn-lt"/>
            </a:defRPr>
          </a:pPr>
          <a:endParaRPr lang="en-US"/>
        </a:p>
      </c:txPr>
    </c:legend>
    <c:plotVisOnly val="1"/>
    <c:dispBlanksAs val="zero"/>
    <c:showDLblsOverMax val="1"/>
  </c:chart>
  <c:spPr>
    <a:solidFill>
      <a:srgbClr val="E7FEFF"/>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MX"/>
              <a:t>Acumulado de entregas por proveedor</a:t>
            </a:r>
          </a:p>
        </c:rich>
      </c:tx>
      <c:overlay val="0"/>
    </c:title>
    <c:autoTitleDeleted val="0"/>
    <c:plotArea>
      <c:layout/>
      <c:barChart>
        <c:barDir val="col"/>
        <c:grouping val="clustered"/>
        <c:varyColors val="1"/>
        <c:ser>
          <c:idx val="0"/>
          <c:order val="0"/>
          <c:tx>
            <c:strRef>
              <c:f>'Tendencia aNL'!$B$30</c:f>
              <c:strCache>
                <c:ptCount val="1"/>
                <c:pt idx="0">
                  <c:v>Cuenta de No. Entregas proveedor</c:v>
                </c:pt>
              </c:strCache>
            </c:strRef>
          </c:tx>
          <c:spPr>
            <a:solidFill>
              <a:srgbClr val="4285F4"/>
            </a:solidFill>
          </c:spPr>
          <c:invertIfNegative val="1"/>
          <c:dLbls>
            <c:spPr>
              <a:noFill/>
              <a:ln>
                <a:noFill/>
              </a:ln>
              <a:effectLst/>
            </c:spPr>
            <c:txPr>
              <a:bodyPr/>
              <a:lstStyle/>
              <a:p>
                <a:pPr lvl="0">
                  <a:defRPr sz="900" b="0" i="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'Tendencia aNL'!$A$31:$A$47</c:f>
              <c:strCache>
                <c:ptCount val="2"/>
                <c:pt idx="0">
                  <c:v>(en blanco)</c:v>
                </c:pt>
                <c:pt idx="1">
                  <c:v>Total general</c:v>
                </c:pt>
              </c:strCache>
            </c:strRef>
          </c:cat>
          <c:val>
            <c:numRef>
              <c:f>'Tendencia aNL'!$B$31:$B$47</c:f>
              <c:numCache>
                <c:formatCode>General</c:formatCode>
                <c:ptCount val="17"/>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2788-48D3-AADC-44B4DAE2FD75}"/>
            </c:ext>
          </c:extLst>
        </c:ser>
        <c:dLbls>
          <c:showLegendKey val="0"/>
          <c:showVal val="0"/>
          <c:showCatName val="0"/>
          <c:showSerName val="0"/>
          <c:showPercent val="0"/>
          <c:showBubbleSize val="0"/>
        </c:dLbls>
        <c:gapWidth val="150"/>
        <c:axId val="293179104"/>
        <c:axId val="293179496"/>
      </c:barChart>
      <c:catAx>
        <c:axId val="293179104"/>
        <c:scaling>
          <c:orientation val="minMax"/>
        </c:scaling>
        <c:delete val="0"/>
        <c:axPos val="b"/>
        <c:title>
          <c:tx>
            <c:rich>
              <a:bodyPr/>
              <a:lstStyle/>
              <a:p>
                <a:pPr lvl="0">
                  <a:defRPr b="0">
                    <a:solidFill>
                      <a:srgbClr val="000000"/>
                    </a:solidFill>
                    <a:latin typeface="+mn-lt"/>
                  </a:defRPr>
                </a:pPr>
                <a:endParaRPr lang="es-MX"/>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293179496"/>
        <c:crosses val="autoZero"/>
        <c:auto val="1"/>
        <c:lblAlgn val="ctr"/>
        <c:lblOffset val="100"/>
        <c:noMultiLvlLbl val="1"/>
      </c:catAx>
      <c:valAx>
        <c:axId val="293179496"/>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s-MX"/>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n-US"/>
          </a:p>
        </c:txPr>
        <c:crossAx val="293179104"/>
        <c:crosses val="autoZero"/>
        <c:crossBetween val="between"/>
      </c:valAx>
    </c:plotArea>
    <c:legend>
      <c:legendPos val="r"/>
      <c:overlay val="0"/>
      <c:txPr>
        <a:bodyPr/>
        <a:lstStyle/>
        <a:p>
          <a:pPr lvl="0">
            <a:defRPr sz="900" b="0" i="0">
              <a:solidFill>
                <a:srgbClr val="1A1A1A"/>
              </a:solidFill>
              <a:latin typeface="+mn-lt"/>
            </a:defRPr>
          </a:pPr>
          <a:endParaRPr lang="en-US"/>
        </a:p>
      </c:txPr>
    </c:legend>
    <c:plotVisOnly val="1"/>
    <c:dispBlanksAs val="zero"/>
    <c:showDLblsOverMax val="1"/>
  </c:chart>
  <c:spPr>
    <a:solidFill>
      <a:srgbClr val="E5F7EA"/>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tx>
            <c:strRef>
              <c:f>'Tendencia aNL'!$B$52</c:f>
              <c:strCache>
                <c:ptCount val="1"/>
                <c:pt idx="0">
                  <c:v>Promedio de Calificación de proveedor</c:v>
                </c:pt>
              </c:strCache>
            </c:strRef>
          </c:tx>
          <c:spPr>
            <a:solidFill>
              <a:srgbClr val="4285F4"/>
            </a:solidFill>
          </c:spPr>
          <c:invertIfNegative val="1"/>
          <c:cat>
            <c:strRef>
              <c:f>'Tendencia aNL'!$A$53:$A$54</c:f>
              <c:strCache>
                <c:ptCount val="1"/>
                <c:pt idx="0">
                  <c:v>Total general</c:v>
                </c:pt>
              </c:strCache>
            </c:strRef>
          </c:cat>
          <c:val>
            <c:numRef>
              <c:f>'Tendencia aNL'!$B$53:$B$54</c:f>
              <c:numCache>
                <c:formatCode>General</c:formatCode>
                <c:ptCount val="2"/>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C5C3-48C8-BE1E-E5C08BF3189E}"/>
            </c:ext>
          </c:extLst>
        </c:ser>
        <c:dLbls>
          <c:showLegendKey val="0"/>
          <c:showVal val="0"/>
          <c:showCatName val="0"/>
          <c:showSerName val="0"/>
          <c:showPercent val="0"/>
          <c:showBubbleSize val="0"/>
        </c:dLbls>
        <c:gapWidth val="150"/>
        <c:axId val="293180280"/>
        <c:axId val="293181064"/>
      </c:barChart>
      <c:catAx>
        <c:axId val="293180280"/>
        <c:scaling>
          <c:orientation val="minMax"/>
        </c:scaling>
        <c:delete val="0"/>
        <c:axPos val="b"/>
        <c:title>
          <c:tx>
            <c:rich>
              <a:bodyPr/>
              <a:lstStyle/>
              <a:p>
                <a:pPr lvl="0">
                  <a:defRPr b="0">
                    <a:solidFill>
                      <a:srgbClr val="000000"/>
                    </a:solidFill>
                    <a:latin typeface="+mn-lt"/>
                  </a:defRPr>
                </a:pPr>
                <a:endParaRPr lang="es-MX"/>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293181064"/>
        <c:crosses val="autoZero"/>
        <c:auto val="1"/>
        <c:lblAlgn val="ctr"/>
        <c:lblOffset val="100"/>
        <c:noMultiLvlLbl val="1"/>
      </c:catAx>
      <c:valAx>
        <c:axId val="293181064"/>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s-MX"/>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n-US"/>
          </a:p>
        </c:txPr>
        <c:crossAx val="293180280"/>
        <c:crosses val="autoZero"/>
        <c:crossBetween val="between"/>
      </c:valAx>
    </c:plotArea>
    <c:legend>
      <c:legendPos val="r"/>
      <c:overlay val="0"/>
      <c:txPr>
        <a:bodyPr/>
        <a:lstStyle/>
        <a:p>
          <a:pPr lvl="0">
            <a:defRPr sz="9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6</xdr:col>
      <xdr:colOff>314324</xdr:colOff>
      <xdr:row>19</xdr:row>
      <xdr:rowOff>200025</xdr:rowOff>
    </xdr:from>
    <xdr:ext cx="1190625" cy="457200"/>
    <xdr:sp macro="" textlink="">
      <xdr:nvSpPr>
        <xdr:cNvPr id="3" name="Shape 3">
          <a:extLst>
            <a:ext uri="{FF2B5EF4-FFF2-40B4-BE49-F238E27FC236}">
              <a16:creationId xmlns:a16="http://schemas.microsoft.com/office/drawing/2014/main" id="{00000000-0008-0000-0000-000003000000}"/>
            </a:ext>
          </a:extLst>
        </xdr:cNvPr>
        <xdr:cNvSpPr/>
      </xdr:nvSpPr>
      <xdr:spPr>
        <a:xfrm rot="10800000" flipH="1" flipV="1">
          <a:off x="7096124" y="5495925"/>
          <a:ext cx="1190625" cy="457200"/>
        </a:xfrm>
        <a:prstGeom prst="roundRect">
          <a:avLst>
            <a:gd name="adj" fmla="val 16667"/>
          </a:avLst>
        </a:prstGeom>
        <a:solidFill>
          <a:srgbClr val="0C5ADB"/>
        </a:solidFill>
        <a:ln w="12700" cap="flat" cmpd="sng">
          <a:solidFill>
            <a:srgbClr val="3061B2"/>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2000">
              <a:solidFill>
                <a:schemeClr val="lt1"/>
              </a:solidFill>
              <a:latin typeface="Arial"/>
              <a:ea typeface="Arial"/>
              <a:cs typeface="Arial"/>
              <a:sym typeface="Arial"/>
            </a:rPr>
            <a:t>Guardar </a:t>
          </a:r>
          <a:endParaRPr sz="2000"/>
        </a:p>
      </xdr:txBody>
    </xdr:sp>
    <xdr:clientData fLocksWithSheet="0"/>
  </xdr:oneCellAnchor>
  <xdr:oneCellAnchor>
    <xdr:from>
      <xdr:col>6</xdr:col>
      <xdr:colOff>314325</xdr:colOff>
      <xdr:row>29</xdr:row>
      <xdr:rowOff>57150</xdr:rowOff>
    </xdr:from>
    <xdr:ext cx="1181100" cy="361950"/>
    <xdr:sp macro="" textlink="">
      <xdr:nvSpPr>
        <xdr:cNvPr id="4" name="Shape 4">
          <a:extLst>
            <a:ext uri="{FF2B5EF4-FFF2-40B4-BE49-F238E27FC236}">
              <a16:creationId xmlns:a16="http://schemas.microsoft.com/office/drawing/2014/main" id="{00000000-0008-0000-0000-000004000000}"/>
            </a:ext>
          </a:extLst>
        </xdr:cNvPr>
        <xdr:cNvSpPr/>
      </xdr:nvSpPr>
      <xdr:spPr>
        <a:xfrm>
          <a:off x="4764975" y="3603788"/>
          <a:ext cx="1162050" cy="352425"/>
        </a:xfrm>
        <a:prstGeom prst="roundRect">
          <a:avLst>
            <a:gd name="adj" fmla="val 16667"/>
          </a:avLst>
        </a:prstGeom>
        <a:solidFill>
          <a:srgbClr val="2F9299"/>
        </a:solidFill>
        <a:ln w="12700" cap="flat" cmpd="sng">
          <a:solidFill>
            <a:srgbClr val="3061B2"/>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2000">
              <a:solidFill>
                <a:schemeClr val="lt1"/>
              </a:solidFill>
              <a:latin typeface="Arial"/>
              <a:ea typeface="Arial"/>
              <a:cs typeface="Arial"/>
              <a:sym typeface="Arial"/>
            </a:rPr>
            <a:t>Guardar </a:t>
          </a:r>
          <a:endParaRPr sz="2000"/>
        </a:p>
      </xdr:txBody>
    </xdr:sp>
    <xdr:clientData fLocksWithSheet="0"/>
  </xdr:oneCellAnchor>
  <xdr:oneCellAnchor>
    <xdr:from>
      <xdr:col>6</xdr:col>
      <xdr:colOff>314325</xdr:colOff>
      <xdr:row>35</xdr:row>
      <xdr:rowOff>361950</xdr:rowOff>
    </xdr:from>
    <xdr:ext cx="1181100" cy="371475"/>
    <xdr:sp macro="" textlink="">
      <xdr:nvSpPr>
        <xdr:cNvPr id="5" name="Shape 5">
          <a:extLst>
            <a:ext uri="{FF2B5EF4-FFF2-40B4-BE49-F238E27FC236}">
              <a16:creationId xmlns:a16="http://schemas.microsoft.com/office/drawing/2014/main" id="{00000000-0008-0000-0000-000005000000}"/>
            </a:ext>
          </a:extLst>
        </xdr:cNvPr>
        <xdr:cNvSpPr/>
      </xdr:nvSpPr>
      <xdr:spPr>
        <a:xfrm>
          <a:off x="4764975" y="3599025"/>
          <a:ext cx="1162050" cy="361950"/>
        </a:xfrm>
        <a:prstGeom prst="roundRect">
          <a:avLst>
            <a:gd name="adj" fmla="val 16667"/>
          </a:avLst>
        </a:prstGeom>
        <a:solidFill>
          <a:srgbClr val="81160D"/>
        </a:solidFill>
        <a:ln w="12700" cap="flat" cmpd="sng">
          <a:solidFill>
            <a:srgbClr val="3061B2"/>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2000">
              <a:solidFill>
                <a:schemeClr val="lt1"/>
              </a:solidFill>
              <a:latin typeface="Arial"/>
              <a:ea typeface="Arial"/>
              <a:cs typeface="Arial"/>
              <a:sym typeface="Arial"/>
            </a:rPr>
            <a:t>Guardar </a:t>
          </a:r>
          <a:endParaRPr sz="2000"/>
        </a:p>
      </xdr:txBody>
    </xdr:sp>
    <xdr:clientData fLocksWithSheet="0"/>
  </xdr:oneCellAnchor>
  <xdr:oneCellAnchor>
    <xdr:from>
      <xdr:col>6</xdr:col>
      <xdr:colOff>9525</xdr:colOff>
      <xdr:row>0</xdr:row>
      <xdr:rowOff>28575</xdr:rowOff>
    </xdr:from>
    <xdr:ext cx="1657350" cy="495300"/>
    <xdr:pic>
      <xdr:nvPicPr>
        <xdr:cNvPr id="2" name="image1.jpg" title="Imagen">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6791325" y="28575"/>
          <a:ext cx="1657350" cy="495300"/>
        </a:xfrm>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2</xdr:col>
      <xdr:colOff>447675</xdr:colOff>
      <xdr:row>1</xdr:row>
      <xdr:rowOff>114300</xdr:rowOff>
    </xdr:from>
    <xdr:ext cx="16135350" cy="3257550"/>
    <xdr:graphicFrame macro="">
      <xdr:nvGraphicFramePr>
        <xdr:cNvPr id="349203311" name="Chart 1">
          <a:extLst>
            <a:ext uri="{FF2B5EF4-FFF2-40B4-BE49-F238E27FC236}">
              <a16:creationId xmlns:a16="http://schemas.microsoft.com/office/drawing/2014/main" id="{00000000-0008-0000-0500-00006F6BD0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2</xdr:col>
      <xdr:colOff>295275</xdr:colOff>
      <xdr:row>25</xdr:row>
      <xdr:rowOff>0</xdr:rowOff>
    </xdr:from>
    <xdr:ext cx="7715250" cy="3143250"/>
    <xdr:graphicFrame macro="">
      <xdr:nvGraphicFramePr>
        <xdr:cNvPr id="1015462551" name="Chart 2">
          <a:extLst>
            <a:ext uri="{FF2B5EF4-FFF2-40B4-BE49-F238E27FC236}">
              <a16:creationId xmlns:a16="http://schemas.microsoft.com/office/drawing/2014/main" id="{00000000-0008-0000-0500-000097BA86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2</xdr:col>
      <xdr:colOff>1000125</xdr:colOff>
      <xdr:row>49</xdr:row>
      <xdr:rowOff>0</xdr:rowOff>
    </xdr:from>
    <xdr:ext cx="4572000" cy="2743200"/>
    <xdr:graphicFrame macro="">
      <xdr:nvGraphicFramePr>
        <xdr:cNvPr id="1117607809" name="Chart 3">
          <a:extLst>
            <a:ext uri="{FF2B5EF4-FFF2-40B4-BE49-F238E27FC236}">
              <a16:creationId xmlns:a16="http://schemas.microsoft.com/office/drawing/2014/main" id="{00000000-0008-0000-0500-000081579D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Elvia" refreshedDate="45898.530902430553" refreshedVersion="8" recordCount="28" xr:uid="{00000000-000A-0000-FFFF-FFFF0E000000}">
  <cacheSource type="worksheet">
    <worksheetSource ref="A2:M30" sheet="Calificación Global Proveedores"/>
  </cacheSource>
  <cacheFields count="13">
    <cacheField name="llave" numFmtId="0">
      <sharedItems containsNonDate="0" containsString="0" containsBlank="1"/>
    </cacheField>
    <cacheField name="Proveedor" numFmtId="0">
      <sharedItems containsNonDate="0" containsBlank="1" count="17">
        <m/>
        <s v="BEST INGREDIENTS MEXICO SA DE CV" u="1"/>
        <s v="COMERCIALIZACION CIRAEM SA DE CV" u="1"/>
        <s v="ANILINAS Y QUIMICOS TEXTILES S.A DE C.V." u="1"/>
        <s v="SERVICAL MEXICANA" u="1"/>
        <s v="VISAPLAST SA DE CV" u="1"/>
        <s v="ALFA DENDRO S DE RL DE CV" u="1"/>
        <s v="ARCHROMA MEXICO S DE RL DE CV" u="1"/>
        <s v="PLASTI-ENVASES S.A DE C.V." u="1"/>
        <s v="POCHTECA MATERIAS PRIMAS S.A DE C.V" u="1"/>
        <s v="QUIMICA HERNADEZ RAMIREZ SA DE CV" u="1"/>
        <s v="POLIETILENOS ESPECIALES SA DE CV" u="1"/>
        <s v="GOMAS NATURALES SA DE CV" u="1"/>
        <s v="INGREDIENTES FUNCIONALES DE MEXICO SA DE CV" u="1"/>
        <s v="INGREDION MEXICO SA DE CV" u="1"/>
        <s v="SMURFIT CARTON Y PAPEL DE MEXICO SA DE CV" u="1"/>
        <s v="ROQUETTE MEXICO S.A. DE C.V" u="1"/>
      </sharedItems>
    </cacheField>
    <cacheField name="Mes evaluado" numFmtId="0">
      <sharedItems containsNonDate="0" containsString="0" containsBlank="1"/>
    </cacheField>
    <cacheField name="Global Servicio Almacén" numFmtId="0">
      <sharedItems containsNonDate="0" containsString="0" containsBlank="1"/>
    </cacheField>
    <cacheField name="Global Inocuidad almacén" numFmtId="0">
      <sharedItems containsNonDate="0" containsString="0" containsBlank="1"/>
    </cacheField>
    <cacheField name="Global inocuidad Calidad" numFmtId="0">
      <sharedItems containsNonDate="0" containsString="0" containsBlank="1"/>
    </cacheField>
    <cacheField name="Global Servicio Compras" numFmtId="0">
      <sharedItems containsNonDate="0" containsString="0" containsBlank="1"/>
    </cacheField>
    <cacheField name="Cuestionario " numFmtId="0">
      <sharedItems containsNonDate="0" containsString="0" containsBlank="1"/>
    </cacheField>
    <cacheField name="Total Servicio" numFmtId="0">
      <sharedItems containsNonDate="0" containsString="0" containsBlank="1"/>
    </cacheField>
    <cacheField name="Total Inocuidad" numFmtId="0">
      <sharedItems containsNonDate="0" containsString="0" containsBlank="1"/>
    </cacheField>
    <cacheField name="Calificación de proveedor" numFmtId="0">
      <sharedItems containsNonDate="0" containsString="0" containsBlank="1"/>
    </cacheField>
    <cacheField name="No. Entregas proveedor" numFmtId="0">
      <sharedItems containsNonDate="0" containsString="0" containsBlank="1"/>
    </cacheField>
    <cacheField name="Clasificación de proveedor" numFmtId="0">
      <sharedItems containsNonDate="0" containsBlank="1" count="4">
        <m/>
        <s v="CONFIABLE" u="1"/>
        <s v="EN DESARROLLO" u="1"/>
        <e v="#N/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Elvia" refreshedDate="45898.530903009261" refreshedVersion="8" recordCount="28" xr:uid="{00000000-000A-0000-FFFF-FFFF0A000000}">
  <cacheSource type="worksheet">
    <worksheetSource ref="A2:L30" sheet="Calificación Global Proveedores"/>
  </cacheSource>
  <cacheFields count="12">
    <cacheField name="llave" numFmtId="0">
      <sharedItems containsNonDate="0" containsString="0" containsBlank="1"/>
    </cacheField>
    <cacheField name="Proveedor" numFmtId="0">
      <sharedItems containsNonDate="0" containsBlank="1" count="17">
        <m/>
        <s v="BEST INGREDIENTS MEXICO SA DE CV" u="1"/>
        <s v="COMERCIALIZACION CIRAEM SA DE CV" u="1"/>
        <s v="ANILINAS Y QUIMICOS TEXTILES S.A DE C.V." u="1"/>
        <s v="SERVICAL MEXICANA" u="1"/>
        <s v="VISAPLAST SA DE CV" u="1"/>
        <s v="ALFA DENDRO S DE RL DE CV" u="1"/>
        <s v="ARCHROMA MEXICO S DE RL DE CV" u="1"/>
        <s v="PLASTI-ENVASES S.A DE C.V." u="1"/>
        <s v="POCHTECA MATERIAS PRIMAS S.A DE C.V" u="1"/>
        <s v="QUIMICA HERNADEZ RAMIREZ SA DE CV" u="1"/>
        <s v="POLIETILENOS ESPECIALES SA DE CV" u="1"/>
        <s v="GOMAS NATURALES SA DE CV" u="1"/>
        <s v="INGREDIENTES FUNCIONALES DE MEXICO SA DE CV" u="1"/>
        <s v="INGREDION MEXICO SA DE CV" u="1"/>
        <s v="SMURFIT CARTON Y PAPEL DE MEXICO SA DE CV" u="1"/>
        <s v="ROQUETTE MEXICO S.A. DE C.V" u="1"/>
      </sharedItems>
    </cacheField>
    <cacheField name="Mes evaluado" numFmtId="0">
      <sharedItems containsNonDate="0" containsBlank="1" count="4">
        <m/>
        <s v="Enero" u="1"/>
        <s v="Febrero" u="1"/>
        <s v="Marzo" u="1"/>
      </sharedItems>
    </cacheField>
    <cacheField name="Global Servicio Almacén" numFmtId="0">
      <sharedItems containsNonDate="0" containsString="0" containsBlank="1"/>
    </cacheField>
    <cacheField name="Global Inocuidad almacén" numFmtId="0">
      <sharedItems containsNonDate="0" containsString="0" containsBlank="1"/>
    </cacheField>
    <cacheField name="Global inocuidad Calidad" numFmtId="0">
      <sharedItems containsNonDate="0" containsString="0" containsBlank="1"/>
    </cacheField>
    <cacheField name="Global Servicio Compras" numFmtId="0">
      <sharedItems containsNonDate="0" containsString="0" containsBlank="1"/>
    </cacheField>
    <cacheField name="Cuestionario " numFmtId="0">
      <sharedItems containsNonDate="0" containsString="0" containsBlank="1"/>
    </cacheField>
    <cacheField name="Total Servicio" numFmtId="0">
      <sharedItems containsNonDate="0" containsString="0" containsBlank="1"/>
    </cacheField>
    <cacheField name="Total Inocuidad" numFmtId="0">
      <sharedItems containsNonDate="0" containsString="0" containsBlank="1"/>
    </cacheField>
    <cacheField name="Calificación de proveedor" numFmtId="0">
      <sharedItems containsNonDate="0" containsString="0" containsBlank="1"/>
    </cacheField>
    <cacheField name="No. Entregas proveedor"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Elvia" refreshedDate="45898.530903009261" refreshedVersion="8" recordCount="29" xr:uid="{00000000-000A-0000-FFFF-FFFF06000000}">
  <cacheSource type="worksheet">
    <worksheetSource ref="A2:K31" sheet="Calificación Global Proveedores"/>
  </cacheSource>
  <cacheFields count="11">
    <cacheField name="llave" numFmtId="0">
      <sharedItems containsNonDate="0" containsString="0" containsBlank="1"/>
    </cacheField>
    <cacheField name="Proveedor" numFmtId="0">
      <sharedItems containsNonDate="0" containsBlank="1" count="17">
        <m/>
        <s v="BEST INGREDIENTS MEXICO SA DE CV" u="1"/>
        <s v="COMERCIALIZACION CIRAEM SA DE CV" u="1"/>
        <s v="ANILINAS Y QUIMICOS TEXTILES S.A DE C.V." u="1"/>
        <s v="SERVICAL MEXICANA" u="1"/>
        <s v="VISAPLAST SA DE CV" u="1"/>
        <s v="ALFA DENDRO S DE RL DE CV" u="1"/>
        <s v="ARCHROMA MEXICO S DE RL DE CV" u="1"/>
        <s v="PLASTI-ENVASES S.A DE C.V." u="1"/>
        <s v="POCHTECA MATERIAS PRIMAS S.A DE C.V" u="1"/>
        <s v="QUIMICA HERNADEZ RAMIREZ SA DE CV" u="1"/>
        <s v="POLIETILENOS ESPECIALES SA DE CV" u="1"/>
        <s v="GOMAS NATURALES SA DE CV" u="1"/>
        <s v="INGREDIENTES FUNCIONALES DE MEXICO SA DE CV" u="1"/>
        <s v="INGREDION MEXICO SA DE CV" u="1"/>
        <s v="SMURFIT CARTON Y PAPEL DE MEXICO SA DE CV" u="1"/>
        <s v="ROQUETTE MEXICO S.A. DE C.V" u="1"/>
      </sharedItems>
    </cacheField>
    <cacheField name="Mes evaluado" numFmtId="0">
      <sharedItems containsNonDate="0" containsBlank="1" count="4">
        <m/>
        <s v="Enero" u="1"/>
        <s v="Febrero" u="1"/>
        <s v="Marzo" u="1"/>
      </sharedItems>
    </cacheField>
    <cacheField name="Global Servicio Almacén" numFmtId="0">
      <sharedItems containsNonDate="0" containsString="0" containsBlank="1"/>
    </cacheField>
    <cacheField name="Global Inocuidad almacén" numFmtId="0">
      <sharedItems containsNonDate="0" containsString="0" containsBlank="1"/>
    </cacheField>
    <cacheField name="Global inocuidad Calidad" numFmtId="0">
      <sharedItems containsNonDate="0" containsString="0" containsBlank="1"/>
    </cacheField>
    <cacheField name="Global Servicio Compras" numFmtId="0">
      <sharedItems containsNonDate="0" containsString="0" containsBlank="1"/>
    </cacheField>
    <cacheField name="Cuestionario " numFmtId="0">
      <sharedItems containsNonDate="0" containsString="0" containsBlank="1"/>
    </cacheField>
    <cacheField name="Total Servicio" numFmtId="0">
      <sharedItems containsNonDate="0" containsString="0" containsBlank="1"/>
    </cacheField>
    <cacheField name="Total Inocuidad" numFmtId="0">
      <sharedItems containsNonDate="0" containsString="0" containsBlank="1"/>
    </cacheField>
    <cacheField name="Calificación de proveedor"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m/>
    <x v="0"/>
    <m/>
    <m/>
    <m/>
    <m/>
    <m/>
    <m/>
    <m/>
    <m/>
    <m/>
    <m/>
    <x v="0"/>
  </r>
  <r>
    <m/>
    <x v="0"/>
    <m/>
    <m/>
    <m/>
    <m/>
    <m/>
    <m/>
    <m/>
    <m/>
    <m/>
    <m/>
    <x v="0"/>
  </r>
  <r>
    <m/>
    <x v="0"/>
    <m/>
    <m/>
    <m/>
    <m/>
    <m/>
    <m/>
    <m/>
    <m/>
    <m/>
    <m/>
    <x v="0"/>
  </r>
  <r>
    <m/>
    <x v="0"/>
    <m/>
    <m/>
    <m/>
    <m/>
    <m/>
    <m/>
    <m/>
    <m/>
    <m/>
    <m/>
    <x v="0"/>
  </r>
  <r>
    <m/>
    <x v="0"/>
    <m/>
    <m/>
    <m/>
    <m/>
    <m/>
    <m/>
    <m/>
    <m/>
    <m/>
    <m/>
    <x v="0"/>
  </r>
  <r>
    <m/>
    <x v="0"/>
    <m/>
    <m/>
    <m/>
    <m/>
    <m/>
    <m/>
    <m/>
    <m/>
    <m/>
    <m/>
    <x v="0"/>
  </r>
  <r>
    <m/>
    <x v="0"/>
    <m/>
    <m/>
    <m/>
    <m/>
    <m/>
    <m/>
    <m/>
    <m/>
    <m/>
    <m/>
    <x v="0"/>
  </r>
  <r>
    <m/>
    <x v="0"/>
    <m/>
    <m/>
    <m/>
    <m/>
    <m/>
    <m/>
    <m/>
    <m/>
    <m/>
    <m/>
    <x v="0"/>
  </r>
  <r>
    <m/>
    <x v="0"/>
    <m/>
    <m/>
    <m/>
    <m/>
    <m/>
    <m/>
    <m/>
    <m/>
    <m/>
    <m/>
    <x v="0"/>
  </r>
  <r>
    <m/>
    <x v="0"/>
    <m/>
    <m/>
    <m/>
    <m/>
    <m/>
    <m/>
    <m/>
    <m/>
    <m/>
    <m/>
    <x v="0"/>
  </r>
  <r>
    <m/>
    <x v="0"/>
    <m/>
    <m/>
    <m/>
    <m/>
    <m/>
    <m/>
    <m/>
    <m/>
    <m/>
    <m/>
    <x v="0"/>
  </r>
  <r>
    <m/>
    <x v="0"/>
    <m/>
    <m/>
    <m/>
    <m/>
    <m/>
    <m/>
    <m/>
    <m/>
    <m/>
    <m/>
    <x v="0"/>
  </r>
  <r>
    <m/>
    <x v="0"/>
    <m/>
    <m/>
    <m/>
    <m/>
    <m/>
    <m/>
    <m/>
    <m/>
    <m/>
    <m/>
    <x v="0"/>
  </r>
  <r>
    <m/>
    <x v="0"/>
    <m/>
    <m/>
    <m/>
    <m/>
    <m/>
    <m/>
    <m/>
    <m/>
    <m/>
    <m/>
    <x v="0"/>
  </r>
  <r>
    <m/>
    <x v="0"/>
    <m/>
    <m/>
    <m/>
    <m/>
    <m/>
    <m/>
    <m/>
    <m/>
    <m/>
    <m/>
    <x v="0"/>
  </r>
  <r>
    <m/>
    <x v="0"/>
    <m/>
    <m/>
    <m/>
    <m/>
    <m/>
    <m/>
    <m/>
    <m/>
    <m/>
    <m/>
    <x v="0"/>
  </r>
  <r>
    <m/>
    <x v="0"/>
    <m/>
    <m/>
    <m/>
    <m/>
    <m/>
    <m/>
    <m/>
    <m/>
    <m/>
    <m/>
    <x v="0"/>
  </r>
  <r>
    <m/>
    <x v="0"/>
    <m/>
    <m/>
    <m/>
    <m/>
    <m/>
    <m/>
    <m/>
    <m/>
    <m/>
    <m/>
    <x v="0"/>
  </r>
  <r>
    <m/>
    <x v="0"/>
    <m/>
    <m/>
    <m/>
    <m/>
    <m/>
    <m/>
    <m/>
    <m/>
    <m/>
    <m/>
    <x v="0"/>
  </r>
  <r>
    <m/>
    <x v="0"/>
    <m/>
    <m/>
    <m/>
    <m/>
    <m/>
    <m/>
    <m/>
    <m/>
    <m/>
    <m/>
    <x v="0"/>
  </r>
  <r>
    <m/>
    <x v="0"/>
    <m/>
    <m/>
    <m/>
    <m/>
    <m/>
    <m/>
    <m/>
    <m/>
    <m/>
    <m/>
    <x v="0"/>
  </r>
  <r>
    <m/>
    <x v="0"/>
    <m/>
    <m/>
    <m/>
    <m/>
    <m/>
    <m/>
    <m/>
    <m/>
    <m/>
    <m/>
    <x v="0"/>
  </r>
  <r>
    <m/>
    <x v="0"/>
    <m/>
    <m/>
    <m/>
    <m/>
    <m/>
    <m/>
    <m/>
    <m/>
    <m/>
    <m/>
    <x v="0"/>
  </r>
  <r>
    <m/>
    <x v="0"/>
    <m/>
    <m/>
    <m/>
    <m/>
    <m/>
    <m/>
    <m/>
    <m/>
    <m/>
    <m/>
    <x v="0"/>
  </r>
  <r>
    <m/>
    <x v="0"/>
    <m/>
    <m/>
    <m/>
    <m/>
    <m/>
    <m/>
    <m/>
    <m/>
    <m/>
    <m/>
    <x v="0"/>
  </r>
  <r>
    <m/>
    <x v="0"/>
    <m/>
    <m/>
    <m/>
    <m/>
    <m/>
    <m/>
    <m/>
    <m/>
    <m/>
    <m/>
    <x v="0"/>
  </r>
  <r>
    <m/>
    <x v="0"/>
    <m/>
    <m/>
    <m/>
    <m/>
    <m/>
    <m/>
    <m/>
    <m/>
    <m/>
    <m/>
    <x v="0"/>
  </r>
  <r>
    <m/>
    <x v="0"/>
    <m/>
    <m/>
    <m/>
    <m/>
    <m/>
    <m/>
    <m/>
    <m/>
    <m/>
    <m/>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m/>
    <x v="0"/>
    <x v="0"/>
    <m/>
    <m/>
    <m/>
    <m/>
    <m/>
    <m/>
    <m/>
    <m/>
    <m/>
  </r>
  <r>
    <m/>
    <x v="0"/>
    <x v="0"/>
    <m/>
    <m/>
    <m/>
    <m/>
    <m/>
    <m/>
    <m/>
    <m/>
    <m/>
  </r>
  <r>
    <m/>
    <x v="0"/>
    <x v="0"/>
    <m/>
    <m/>
    <m/>
    <m/>
    <m/>
    <m/>
    <m/>
    <m/>
    <m/>
  </r>
  <r>
    <m/>
    <x v="0"/>
    <x v="0"/>
    <m/>
    <m/>
    <m/>
    <m/>
    <m/>
    <m/>
    <m/>
    <m/>
    <m/>
  </r>
  <r>
    <m/>
    <x v="0"/>
    <x v="0"/>
    <m/>
    <m/>
    <m/>
    <m/>
    <m/>
    <m/>
    <m/>
    <m/>
    <m/>
  </r>
  <r>
    <m/>
    <x v="0"/>
    <x v="0"/>
    <m/>
    <m/>
    <m/>
    <m/>
    <m/>
    <m/>
    <m/>
    <m/>
    <m/>
  </r>
  <r>
    <m/>
    <x v="0"/>
    <x v="0"/>
    <m/>
    <m/>
    <m/>
    <m/>
    <m/>
    <m/>
    <m/>
    <m/>
    <m/>
  </r>
  <r>
    <m/>
    <x v="0"/>
    <x v="0"/>
    <m/>
    <m/>
    <m/>
    <m/>
    <m/>
    <m/>
    <m/>
    <m/>
    <m/>
  </r>
  <r>
    <m/>
    <x v="0"/>
    <x v="0"/>
    <m/>
    <m/>
    <m/>
    <m/>
    <m/>
    <m/>
    <m/>
    <m/>
    <m/>
  </r>
  <r>
    <m/>
    <x v="0"/>
    <x v="0"/>
    <m/>
    <m/>
    <m/>
    <m/>
    <m/>
    <m/>
    <m/>
    <m/>
    <m/>
  </r>
  <r>
    <m/>
    <x v="0"/>
    <x v="0"/>
    <m/>
    <m/>
    <m/>
    <m/>
    <m/>
    <m/>
    <m/>
    <m/>
    <m/>
  </r>
  <r>
    <m/>
    <x v="0"/>
    <x v="0"/>
    <m/>
    <m/>
    <m/>
    <m/>
    <m/>
    <m/>
    <m/>
    <m/>
    <m/>
  </r>
  <r>
    <m/>
    <x v="0"/>
    <x v="0"/>
    <m/>
    <m/>
    <m/>
    <m/>
    <m/>
    <m/>
    <m/>
    <m/>
    <m/>
  </r>
  <r>
    <m/>
    <x v="0"/>
    <x v="0"/>
    <m/>
    <m/>
    <m/>
    <m/>
    <m/>
    <m/>
    <m/>
    <m/>
    <m/>
  </r>
  <r>
    <m/>
    <x v="0"/>
    <x v="0"/>
    <m/>
    <m/>
    <m/>
    <m/>
    <m/>
    <m/>
    <m/>
    <m/>
    <m/>
  </r>
  <r>
    <m/>
    <x v="0"/>
    <x v="0"/>
    <m/>
    <m/>
    <m/>
    <m/>
    <m/>
    <m/>
    <m/>
    <m/>
    <m/>
  </r>
  <r>
    <m/>
    <x v="0"/>
    <x v="0"/>
    <m/>
    <m/>
    <m/>
    <m/>
    <m/>
    <m/>
    <m/>
    <m/>
    <m/>
  </r>
  <r>
    <m/>
    <x v="0"/>
    <x v="0"/>
    <m/>
    <m/>
    <m/>
    <m/>
    <m/>
    <m/>
    <m/>
    <m/>
    <m/>
  </r>
  <r>
    <m/>
    <x v="0"/>
    <x v="0"/>
    <m/>
    <m/>
    <m/>
    <m/>
    <m/>
    <m/>
    <m/>
    <m/>
    <m/>
  </r>
  <r>
    <m/>
    <x v="0"/>
    <x v="0"/>
    <m/>
    <m/>
    <m/>
    <m/>
    <m/>
    <m/>
    <m/>
    <m/>
    <m/>
  </r>
  <r>
    <m/>
    <x v="0"/>
    <x v="0"/>
    <m/>
    <m/>
    <m/>
    <m/>
    <m/>
    <m/>
    <m/>
    <m/>
    <m/>
  </r>
  <r>
    <m/>
    <x v="0"/>
    <x v="0"/>
    <m/>
    <m/>
    <m/>
    <m/>
    <m/>
    <m/>
    <m/>
    <m/>
    <m/>
  </r>
  <r>
    <m/>
    <x v="0"/>
    <x v="0"/>
    <m/>
    <m/>
    <m/>
    <m/>
    <m/>
    <m/>
    <m/>
    <m/>
    <m/>
  </r>
  <r>
    <m/>
    <x v="0"/>
    <x v="0"/>
    <m/>
    <m/>
    <m/>
    <m/>
    <m/>
    <m/>
    <m/>
    <m/>
    <m/>
  </r>
  <r>
    <m/>
    <x v="0"/>
    <x v="0"/>
    <m/>
    <m/>
    <m/>
    <m/>
    <m/>
    <m/>
    <m/>
    <m/>
    <m/>
  </r>
  <r>
    <m/>
    <x v="0"/>
    <x v="0"/>
    <m/>
    <m/>
    <m/>
    <m/>
    <m/>
    <m/>
    <m/>
    <m/>
    <m/>
  </r>
  <r>
    <m/>
    <x v="0"/>
    <x v="0"/>
    <m/>
    <m/>
    <m/>
    <m/>
    <m/>
    <m/>
    <m/>
    <m/>
    <m/>
  </r>
  <r>
    <m/>
    <x v="0"/>
    <x v="0"/>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m/>
    <x v="0"/>
    <x v="0"/>
    <m/>
    <m/>
    <m/>
    <m/>
    <m/>
    <m/>
    <m/>
    <m/>
  </r>
  <r>
    <m/>
    <x v="0"/>
    <x v="0"/>
    <m/>
    <m/>
    <m/>
    <m/>
    <m/>
    <m/>
    <m/>
    <m/>
  </r>
  <r>
    <m/>
    <x v="0"/>
    <x v="0"/>
    <m/>
    <m/>
    <m/>
    <m/>
    <m/>
    <m/>
    <m/>
    <m/>
  </r>
  <r>
    <m/>
    <x v="0"/>
    <x v="0"/>
    <m/>
    <m/>
    <m/>
    <m/>
    <m/>
    <m/>
    <m/>
    <m/>
  </r>
  <r>
    <m/>
    <x v="0"/>
    <x v="0"/>
    <m/>
    <m/>
    <m/>
    <m/>
    <m/>
    <m/>
    <m/>
    <m/>
  </r>
  <r>
    <m/>
    <x v="0"/>
    <x v="0"/>
    <m/>
    <m/>
    <m/>
    <m/>
    <m/>
    <m/>
    <m/>
    <m/>
  </r>
  <r>
    <m/>
    <x v="0"/>
    <x v="0"/>
    <m/>
    <m/>
    <m/>
    <m/>
    <m/>
    <m/>
    <m/>
    <m/>
  </r>
  <r>
    <m/>
    <x v="0"/>
    <x v="0"/>
    <m/>
    <m/>
    <m/>
    <m/>
    <m/>
    <m/>
    <m/>
    <m/>
  </r>
  <r>
    <m/>
    <x v="0"/>
    <x v="0"/>
    <m/>
    <m/>
    <m/>
    <m/>
    <m/>
    <m/>
    <m/>
    <m/>
  </r>
  <r>
    <m/>
    <x v="0"/>
    <x v="0"/>
    <m/>
    <m/>
    <m/>
    <m/>
    <m/>
    <m/>
    <m/>
    <m/>
  </r>
  <r>
    <m/>
    <x v="0"/>
    <x v="0"/>
    <m/>
    <m/>
    <m/>
    <m/>
    <m/>
    <m/>
    <m/>
    <m/>
  </r>
  <r>
    <m/>
    <x v="0"/>
    <x v="0"/>
    <m/>
    <m/>
    <m/>
    <m/>
    <m/>
    <m/>
    <m/>
    <m/>
  </r>
  <r>
    <m/>
    <x v="0"/>
    <x v="0"/>
    <m/>
    <m/>
    <m/>
    <m/>
    <m/>
    <m/>
    <m/>
    <m/>
  </r>
  <r>
    <m/>
    <x v="0"/>
    <x v="0"/>
    <m/>
    <m/>
    <m/>
    <m/>
    <m/>
    <m/>
    <m/>
    <m/>
  </r>
  <r>
    <m/>
    <x v="0"/>
    <x v="0"/>
    <m/>
    <m/>
    <m/>
    <m/>
    <m/>
    <m/>
    <m/>
    <m/>
  </r>
  <r>
    <m/>
    <x v="0"/>
    <x v="0"/>
    <m/>
    <m/>
    <m/>
    <m/>
    <m/>
    <m/>
    <m/>
    <m/>
  </r>
  <r>
    <m/>
    <x v="0"/>
    <x v="0"/>
    <m/>
    <m/>
    <m/>
    <m/>
    <m/>
    <m/>
    <m/>
    <m/>
  </r>
  <r>
    <m/>
    <x v="0"/>
    <x v="0"/>
    <m/>
    <m/>
    <m/>
    <m/>
    <m/>
    <m/>
    <m/>
    <m/>
  </r>
  <r>
    <m/>
    <x v="0"/>
    <x v="0"/>
    <m/>
    <m/>
    <m/>
    <m/>
    <m/>
    <m/>
    <m/>
    <m/>
  </r>
  <r>
    <m/>
    <x v="0"/>
    <x v="0"/>
    <m/>
    <m/>
    <m/>
    <m/>
    <m/>
    <m/>
    <m/>
    <m/>
  </r>
  <r>
    <m/>
    <x v="0"/>
    <x v="0"/>
    <m/>
    <m/>
    <m/>
    <m/>
    <m/>
    <m/>
    <m/>
    <m/>
  </r>
  <r>
    <m/>
    <x v="0"/>
    <x v="0"/>
    <m/>
    <m/>
    <m/>
    <m/>
    <m/>
    <m/>
    <m/>
    <m/>
  </r>
  <r>
    <m/>
    <x v="0"/>
    <x v="0"/>
    <m/>
    <m/>
    <m/>
    <m/>
    <m/>
    <m/>
    <m/>
    <m/>
  </r>
  <r>
    <m/>
    <x v="0"/>
    <x v="0"/>
    <m/>
    <m/>
    <m/>
    <m/>
    <m/>
    <m/>
    <m/>
    <m/>
  </r>
  <r>
    <m/>
    <x v="0"/>
    <x v="0"/>
    <m/>
    <m/>
    <m/>
    <m/>
    <m/>
    <m/>
    <m/>
    <m/>
  </r>
  <r>
    <m/>
    <x v="0"/>
    <x v="0"/>
    <m/>
    <m/>
    <m/>
    <m/>
    <m/>
    <m/>
    <m/>
    <m/>
  </r>
  <r>
    <m/>
    <x v="0"/>
    <x v="0"/>
    <m/>
    <m/>
    <m/>
    <m/>
    <m/>
    <m/>
    <m/>
    <m/>
  </r>
  <r>
    <m/>
    <x v="0"/>
    <x v="0"/>
    <m/>
    <m/>
    <m/>
    <m/>
    <m/>
    <m/>
    <m/>
    <m/>
  </r>
  <r>
    <m/>
    <x v="0"/>
    <x v="0"/>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Tendencia aNL 3" cacheId="7" applyNumberFormats="0" applyBorderFormats="0" applyFontFormats="0" applyPatternFormats="0" applyAlignmentFormats="0" applyWidthHeightFormats="0" dataCaption="" updatedVersion="8" compact="0" compactData="0">
  <location ref="A52:B53" firstHeaderRow="1" firstDataRow="1" firstDataCol="1" rowPageCount="1" colPageCount="1"/>
  <pivotFields count="13">
    <pivotField name="llave" compact="0" outline="0" multipleItemSelectionAllowed="1" showAll="0"/>
    <pivotField name="Proveedor" axis="axisRow" compact="0" outline="0" multipleItemSelectionAllowed="1" showAll="0" sortType="ascending">
      <items count="18">
        <item m="1" x="6"/>
        <item m="1" x="3"/>
        <item m="1" x="7"/>
        <item m="1" x="1"/>
        <item m="1" x="2"/>
        <item m="1" x="12"/>
        <item m="1" x="13"/>
        <item m="1" x="14"/>
        <item m="1" x="8"/>
        <item m="1" x="9"/>
        <item m="1" x="11"/>
        <item m="1" x="10"/>
        <item m="1" x="16"/>
        <item m="1" x="4"/>
        <item m="1" x="15"/>
        <item m="1" x="5"/>
        <item x="0"/>
        <item t="default"/>
      </items>
    </pivotField>
    <pivotField name="Mes evaluado" compact="0" outline="0" multipleItemSelectionAllowed="1" showAll="0"/>
    <pivotField name="Global Servicio Almacén" compact="0" outline="0" multipleItemSelectionAllowed="1" showAll="0"/>
    <pivotField name="Global Inocuidad almacén" compact="0" outline="0" multipleItemSelectionAllowed="1" showAll="0"/>
    <pivotField name="Global inocuidad Calidad" compact="0" outline="0" multipleItemSelectionAllowed="1" showAll="0"/>
    <pivotField name="Global Servicio Compras" compact="0" outline="0" multipleItemSelectionAllowed="1" showAll="0"/>
    <pivotField name="Cuestionario " compact="0" outline="0" multipleItemSelectionAllowed="1" showAll="0"/>
    <pivotField name="Total Servicio" compact="0" outline="0" multipleItemSelectionAllowed="1" showAll="0"/>
    <pivotField name="Total Inocuidad" compact="0" outline="0" multipleItemSelectionAllowed="1" showAll="0"/>
    <pivotField name="Calificación de proveedor" dataField="1" compact="0" outline="0" multipleItemSelectionAllowed="1" showAll="0"/>
    <pivotField name="No. Entregas proveedor" compact="0" outline="0" multipleItemSelectionAllowed="1" showAll="0"/>
    <pivotField name="Clasificación de proveedor" axis="axisPage" compact="0" outline="0" multipleItemSelectionAllowed="1" showAll="0">
      <items count="5">
        <item h="1" m="1" x="1"/>
        <item m="1" x="2"/>
        <item h="1" m="1" x="3"/>
        <item h="1" x="0"/>
        <item t="default"/>
      </items>
    </pivotField>
  </pivotFields>
  <rowFields count="1">
    <field x="1"/>
  </rowFields>
  <rowItems count="1">
    <i t="grand">
      <x/>
    </i>
  </rowItems>
  <colItems count="1">
    <i/>
  </colItems>
  <pageFields count="1">
    <pageField fld="12" hier="0"/>
  </pageFields>
  <dataFields count="1">
    <dataField name="Promedio de Calificación de proveedor" fld="10" subtotal="average" baseField="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Tendencia aNL" cacheId="17" applyNumberFormats="0" applyBorderFormats="0" applyFontFormats="0" applyPatternFormats="0" applyAlignmentFormats="0" applyWidthHeightFormats="0" dataCaption="" updatedVersion="8" compact="0" compactData="0">
  <location ref="A4:B6" firstHeaderRow="1" firstDataRow="1" firstDataCol="1" rowPageCount="1" colPageCount="1"/>
  <pivotFields count="11">
    <pivotField name="llave" compact="0" outline="0" multipleItemSelectionAllowed="1" showAll="0"/>
    <pivotField name="Proveedor" axis="axisRow" compact="0" outline="0" multipleItemSelectionAllowed="1" showAll="0" sortType="descending">
      <items count="18">
        <item m="1" x="1"/>
        <item m="1" x="2"/>
        <item m="1" x="3"/>
        <item m="1" x="4"/>
        <item m="1" x="5"/>
        <item m="1" x="6"/>
        <item m="1" x="7"/>
        <item m="1" x="8"/>
        <item m="1" x="9"/>
        <item m="1" x="10"/>
        <item m="1" x="11"/>
        <item m="1" x="12"/>
        <item m="1" x="13"/>
        <item m="1" x="14"/>
        <item m="1" x="15"/>
        <item m="1" x="16"/>
        <item x="0"/>
        <item t="default"/>
      </items>
      <autoSortScope>
        <pivotArea>
          <references count="1">
            <reference field="4294967294" count="1">
              <x v="0"/>
            </reference>
          </references>
        </pivotArea>
      </autoSortScope>
    </pivotField>
    <pivotField name="Mes evaluado" axis="axisPage" compact="0" outline="0" multipleItemSelectionAllowed="1" showAll="0">
      <items count="5">
        <item m="1" x="1"/>
        <item m="1" x="2"/>
        <item m="1" x="3"/>
        <item x="0"/>
        <item t="default"/>
      </items>
    </pivotField>
    <pivotField name="Global Servicio Almacén" compact="0" outline="0" multipleItemSelectionAllowed="1" showAll="0"/>
    <pivotField name="Global Inocuidad almacén" compact="0" outline="0" multipleItemSelectionAllowed="1" showAll="0"/>
    <pivotField name="Global inocuidad Calidad" compact="0" outline="0" multipleItemSelectionAllowed="1" showAll="0"/>
    <pivotField name="Global Servicio Compras" compact="0" outline="0" multipleItemSelectionAllowed="1" showAll="0"/>
    <pivotField name="Cuestionario " compact="0" outline="0" multipleItemSelectionAllowed="1" showAll="0"/>
    <pivotField name="Total Servicio" compact="0" outline="0" multipleItemSelectionAllowed="1" showAll="0"/>
    <pivotField name="Total Inocuidad" compact="0" outline="0" multipleItemSelectionAllowed="1" showAll="0"/>
    <pivotField name="Calificación de proveedor" dataField="1" compact="0" outline="0" multipleItemSelectionAllowed="1" showAll="0"/>
  </pivotFields>
  <rowFields count="1">
    <field x="1"/>
  </rowFields>
  <rowItems count="2">
    <i>
      <x v="16"/>
    </i>
    <i t="grand">
      <x/>
    </i>
  </rowItems>
  <colItems count="1">
    <i/>
  </colItems>
  <pageFields count="1">
    <pageField fld="2" hier="0"/>
  </pageFields>
  <dataFields count="1">
    <dataField name="Promedio de Calificación de proveedor" fld="10" subtotal="average" baseField="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Tendencia aNL 2" cacheId="12" applyNumberFormats="0" applyBorderFormats="0" applyFontFormats="0" applyPatternFormats="0" applyAlignmentFormats="0" applyWidthHeightFormats="0" dataCaption="" updatedVersion="8" compact="0" compactData="0">
  <location ref="A30:B32" firstHeaderRow="1" firstDataRow="1" firstDataCol="1" rowPageCount="1" colPageCount="1"/>
  <pivotFields count="12">
    <pivotField name="llave" compact="0" outline="0" multipleItemSelectionAllowed="1" showAll="0"/>
    <pivotField name="Proveedor" axis="axisRow" compact="0" outline="0" multipleItemSelectionAllowed="1" showAll="0" sortType="descending">
      <items count="18">
        <item m="1" x="1"/>
        <item m="1" x="2"/>
        <item m="1" x="3"/>
        <item m="1" x="4"/>
        <item m="1" x="5"/>
        <item m="1" x="6"/>
        <item m="1" x="7"/>
        <item m="1" x="8"/>
        <item m="1" x="9"/>
        <item m="1" x="10"/>
        <item m="1" x="11"/>
        <item m="1" x="12"/>
        <item m="1" x="13"/>
        <item m="1" x="14"/>
        <item m="1" x="15"/>
        <item m="1" x="16"/>
        <item x="0"/>
        <item t="default"/>
      </items>
      <autoSortScope>
        <pivotArea>
          <references count="1">
            <reference field="4294967294" count="1">
              <x v="0"/>
            </reference>
          </references>
        </pivotArea>
      </autoSortScope>
    </pivotField>
    <pivotField name="Mes evaluado" axis="axisPage" compact="0" outline="0" multipleItemSelectionAllowed="1" showAll="0">
      <items count="5">
        <item m="1" x="1"/>
        <item m="1" x="2"/>
        <item m="1" x="3"/>
        <item x="0"/>
        <item t="default"/>
      </items>
    </pivotField>
    <pivotField name="Global Servicio Almacén" compact="0" outline="0" multipleItemSelectionAllowed="1" showAll="0"/>
    <pivotField name="Global Inocuidad almacén" compact="0" outline="0" multipleItemSelectionAllowed="1" showAll="0"/>
    <pivotField name="Global inocuidad Calidad" compact="0" outline="0" multipleItemSelectionAllowed="1" showAll="0"/>
    <pivotField name="Global Servicio Compras" compact="0" outline="0" multipleItemSelectionAllowed="1" showAll="0"/>
    <pivotField name="Cuestionario " compact="0" outline="0" multipleItemSelectionAllowed="1" showAll="0"/>
    <pivotField name="Total Servicio" compact="0" outline="0" multipleItemSelectionAllowed="1" showAll="0"/>
    <pivotField name="Total Inocuidad" compact="0" outline="0" multipleItemSelectionAllowed="1" showAll="0"/>
    <pivotField name="Calificación de proveedor" compact="0" outline="0" multipleItemSelectionAllowed="1" showAll="0"/>
    <pivotField name="No. Entregas proveedor" dataField="1" compact="0" outline="0" multipleItemSelectionAllowed="1" showAll="0"/>
  </pivotFields>
  <rowFields count="1">
    <field x="1"/>
  </rowFields>
  <rowItems count="2">
    <i>
      <x v="16"/>
    </i>
    <i t="grand">
      <x/>
    </i>
  </rowItems>
  <colItems count="1">
    <i/>
  </colItems>
  <pageFields count="1">
    <pageField fld="2" hier="0"/>
  </pageFields>
  <dataFields count="1">
    <dataField name="Cuenta de No. Entregas proveedor" fld="11" subtotal="count" baseField="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outlinePr summaryBelow="0" summaryRight="0"/>
  </sheetPr>
  <dimension ref="A1:I998"/>
  <sheetViews>
    <sheetView tabSelected="1" view="pageLayout" topLeftCell="A32" zoomScaleNormal="100" workbookViewId="0">
      <selection activeCell="K37" sqref="K37"/>
    </sheetView>
  </sheetViews>
  <sheetFormatPr baseColWidth="10" defaultColWidth="14.42578125" defaultRowHeight="15" customHeight="1" x14ac:dyDescent="0.2"/>
  <cols>
    <col min="1" max="1" width="10.85546875" customWidth="1"/>
    <col min="2" max="2" width="8" customWidth="1"/>
    <col min="3" max="3" width="7.5703125" customWidth="1"/>
    <col min="4" max="4" width="52" customWidth="1"/>
    <col min="5" max="5" width="11" customWidth="1"/>
    <col min="6" max="6" width="12.28515625" customWidth="1"/>
    <col min="7" max="7" width="9.5703125" customWidth="1"/>
    <col min="8" max="8" width="6.42578125" customWidth="1"/>
    <col min="9" max="9" width="10.42578125" customWidth="1"/>
  </cols>
  <sheetData>
    <row r="1" spans="1:9" ht="39.950000000000003" customHeight="1" x14ac:dyDescent="0.2">
      <c r="A1" s="23"/>
      <c r="B1" s="23"/>
      <c r="C1" s="23"/>
      <c r="D1" s="24"/>
      <c r="E1" s="23"/>
      <c r="F1" s="23"/>
      <c r="G1" s="23"/>
      <c r="H1" s="23"/>
      <c r="I1" s="23"/>
    </row>
    <row r="2" spans="1:9" ht="30" customHeight="1" x14ac:dyDescent="0.4">
      <c r="A2" s="22" t="s">
        <v>0</v>
      </c>
      <c r="B2" s="21"/>
      <c r="C2" s="21"/>
      <c r="D2" s="25"/>
      <c r="E2" s="26"/>
      <c r="F2" s="26"/>
      <c r="G2" s="26"/>
      <c r="H2" s="27"/>
      <c r="I2" s="26"/>
    </row>
    <row r="3" spans="1:9" ht="15.75" customHeight="1" x14ac:dyDescent="0.2">
      <c r="A3" s="34"/>
      <c r="B3" s="34"/>
      <c r="C3" s="34"/>
      <c r="D3" s="35"/>
      <c r="E3" s="34"/>
      <c r="F3" s="34"/>
      <c r="G3" s="34"/>
      <c r="H3" s="34"/>
      <c r="I3" s="34"/>
    </row>
    <row r="4" spans="1:9" ht="15.75" customHeight="1" x14ac:dyDescent="0.2">
      <c r="A4" s="102" t="s">
        <v>1</v>
      </c>
      <c r="B4" s="74"/>
      <c r="C4" s="74"/>
      <c r="D4" s="74"/>
      <c r="E4" s="74"/>
      <c r="F4" s="74"/>
      <c r="G4" s="74"/>
      <c r="H4" s="74"/>
      <c r="I4" s="74"/>
    </row>
    <row r="5" spans="1:9" ht="15.75" customHeight="1" x14ac:dyDescent="0.2">
      <c r="A5" s="34"/>
      <c r="B5" s="34"/>
      <c r="C5" s="34"/>
      <c r="D5" s="35"/>
      <c r="E5" s="34"/>
      <c r="F5" s="34"/>
      <c r="G5" s="34"/>
      <c r="H5" s="34"/>
      <c r="I5" s="34"/>
    </row>
    <row r="6" spans="1:9" ht="15.75" customHeight="1" x14ac:dyDescent="0.2">
      <c r="A6" s="92" t="s">
        <v>2</v>
      </c>
      <c r="B6" s="74"/>
      <c r="C6" s="36" t="s">
        <v>3</v>
      </c>
      <c r="D6" s="37"/>
      <c r="E6" s="34"/>
      <c r="F6" s="103"/>
      <c r="G6" s="74"/>
      <c r="H6" s="103"/>
      <c r="I6" s="74"/>
    </row>
    <row r="7" spans="1:9" ht="15.75" customHeight="1" x14ac:dyDescent="0.2">
      <c r="A7" s="34"/>
      <c r="B7" s="34"/>
      <c r="C7" s="34"/>
      <c r="D7" s="35"/>
      <c r="E7" s="34"/>
      <c r="F7" s="34"/>
      <c r="G7" s="34"/>
      <c r="H7" s="34"/>
      <c r="I7" s="34"/>
    </row>
    <row r="8" spans="1:9" ht="15.75" customHeight="1" x14ac:dyDescent="0.2">
      <c r="A8" s="92" t="s">
        <v>4</v>
      </c>
      <c r="B8" s="74"/>
      <c r="C8" s="74"/>
      <c r="D8" s="1" t="s">
        <v>5</v>
      </c>
      <c r="E8" s="35"/>
      <c r="F8" s="34"/>
      <c r="G8" s="34"/>
      <c r="H8" s="34"/>
      <c r="I8" s="34"/>
    </row>
    <row r="9" spans="1:9" ht="15.75" customHeight="1" x14ac:dyDescent="0.2">
      <c r="A9" s="92" t="s">
        <v>6</v>
      </c>
      <c r="B9" s="74"/>
      <c r="C9" s="74"/>
      <c r="D9" s="2" t="s">
        <v>7</v>
      </c>
      <c r="E9" s="35"/>
      <c r="F9" s="34"/>
      <c r="G9" s="34"/>
      <c r="H9" s="34"/>
      <c r="I9" s="34"/>
    </row>
    <row r="10" spans="1:9" ht="15.75" customHeight="1" x14ac:dyDescent="0.2">
      <c r="A10" s="92" t="s">
        <v>8</v>
      </c>
      <c r="B10" s="74"/>
      <c r="C10" s="74"/>
      <c r="D10" s="2" t="s">
        <v>9</v>
      </c>
      <c r="E10" s="35"/>
      <c r="F10" s="34"/>
      <c r="G10" s="34"/>
      <c r="H10" s="34"/>
      <c r="I10" s="34"/>
    </row>
    <row r="11" spans="1:9" ht="15.75" customHeight="1" x14ac:dyDescent="0.2">
      <c r="A11" s="94"/>
      <c r="B11" s="74"/>
      <c r="C11" s="74"/>
      <c r="D11" s="35"/>
      <c r="E11" s="35"/>
      <c r="F11" s="34"/>
      <c r="G11" s="34"/>
      <c r="H11" s="34"/>
      <c r="I11" s="34"/>
    </row>
    <row r="12" spans="1:9" ht="15.75" customHeight="1" x14ac:dyDescent="0.2">
      <c r="A12" s="93" t="s">
        <v>10</v>
      </c>
      <c r="B12" s="74"/>
      <c r="C12" s="74"/>
      <c r="D12" s="74"/>
      <c r="E12" s="74"/>
      <c r="F12" s="74"/>
      <c r="G12" s="74"/>
      <c r="H12" s="74"/>
      <c r="I12" s="74"/>
    </row>
    <row r="13" spans="1:9" ht="15.75" customHeight="1" x14ac:dyDescent="0.2">
      <c r="A13" s="38"/>
      <c r="B13" s="38"/>
      <c r="C13" s="38"/>
      <c r="D13" s="38"/>
      <c r="E13" s="38"/>
      <c r="F13" s="38"/>
      <c r="G13" s="34"/>
      <c r="H13" s="34"/>
      <c r="I13" s="34"/>
    </row>
    <row r="14" spans="1:9" ht="15.75" customHeight="1" x14ac:dyDescent="0.2">
      <c r="A14" s="73" t="s">
        <v>11</v>
      </c>
      <c r="B14" s="74"/>
      <c r="C14" s="74"/>
      <c r="D14" s="74"/>
      <c r="E14" s="74"/>
      <c r="F14" s="74"/>
      <c r="G14" s="39"/>
      <c r="H14" s="39"/>
      <c r="I14" s="39"/>
    </row>
    <row r="15" spans="1:9" ht="9.75" customHeight="1" x14ac:dyDescent="0.2">
      <c r="A15" s="35"/>
      <c r="B15" s="35"/>
      <c r="C15" s="35"/>
      <c r="D15" s="35"/>
      <c r="E15" s="35"/>
      <c r="F15" s="35"/>
      <c r="G15" s="34"/>
      <c r="H15" s="34"/>
      <c r="I15" s="34"/>
    </row>
    <row r="16" spans="1:9" ht="15.75" customHeight="1" x14ac:dyDescent="0.2">
      <c r="A16" s="99" t="s">
        <v>12</v>
      </c>
      <c r="B16" s="100"/>
      <c r="C16" s="100"/>
      <c r="D16" s="20" t="s">
        <v>13</v>
      </c>
      <c r="E16" s="18" t="s">
        <v>14</v>
      </c>
      <c r="F16" s="19" t="s">
        <v>15</v>
      </c>
      <c r="G16" s="96" t="s">
        <v>16</v>
      </c>
      <c r="H16" s="97"/>
      <c r="I16" s="98"/>
    </row>
    <row r="17" spans="1:9" ht="15.75" customHeight="1" x14ac:dyDescent="0.2">
      <c r="A17" s="101" t="s">
        <v>17</v>
      </c>
      <c r="B17" s="88"/>
      <c r="C17" s="89"/>
      <c r="D17" s="5" t="s">
        <v>18</v>
      </c>
      <c r="E17" s="14">
        <v>10</v>
      </c>
      <c r="F17" s="15">
        <f>E17</f>
        <v>10</v>
      </c>
      <c r="G17" s="82"/>
      <c r="H17" s="83"/>
      <c r="I17" s="84"/>
    </row>
    <row r="18" spans="1:9" ht="51" customHeight="1" x14ac:dyDescent="0.2">
      <c r="A18" s="95" t="s">
        <v>19</v>
      </c>
      <c r="B18" s="71"/>
      <c r="C18" s="72"/>
      <c r="D18" s="13" t="s">
        <v>20</v>
      </c>
      <c r="E18" s="15">
        <v>100</v>
      </c>
      <c r="F18" s="16">
        <f t="shared" ref="F18:F19" si="0">E18*0.4</f>
        <v>40</v>
      </c>
      <c r="G18" s="85"/>
      <c r="H18" s="81"/>
      <c r="I18" s="86"/>
    </row>
    <row r="19" spans="1:9" ht="66" customHeight="1" x14ac:dyDescent="0.2">
      <c r="A19" s="91" t="s">
        <v>21</v>
      </c>
      <c r="B19" s="71"/>
      <c r="C19" s="72"/>
      <c r="D19" s="13" t="s">
        <v>22</v>
      </c>
      <c r="E19" s="15">
        <v>100</v>
      </c>
      <c r="F19" s="16">
        <f t="shared" si="0"/>
        <v>40</v>
      </c>
      <c r="G19" s="85"/>
      <c r="H19" s="81"/>
      <c r="I19" s="86"/>
    </row>
    <row r="20" spans="1:9" ht="68.25" customHeight="1" x14ac:dyDescent="0.2">
      <c r="A20" s="70" t="s">
        <v>23</v>
      </c>
      <c r="B20" s="71"/>
      <c r="C20" s="72"/>
      <c r="D20" s="13" t="s">
        <v>24</v>
      </c>
      <c r="E20" s="15">
        <v>100</v>
      </c>
      <c r="F20" s="17">
        <f>E20*0.2</f>
        <v>20</v>
      </c>
      <c r="G20" s="85"/>
      <c r="H20" s="81"/>
      <c r="I20" s="86"/>
    </row>
    <row r="21" spans="1:9" ht="15.75" customHeight="1" x14ac:dyDescent="0.2">
      <c r="A21" s="94"/>
      <c r="B21" s="74"/>
      <c r="C21" s="74"/>
      <c r="D21" s="35"/>
      <c r="F21" s="35"/>
      <c r="G21" s="34"/>
      <c r="H21" s="34"/>
      <c r="I21" s="34"/>
    </row>
    <row r="22" spans="1:9" ht="15.75" customHeight="1" x14ac:dyDescent="0.2">
      <c r="A22" s="34"/>
      <c r="B22" s="34"/>
      <c r="C22" s="34"/>
      <c r="D22" s="40"/>
      <c r="E22" s="35"/>
      <c r="F22" s="7"/>
      <c r="G22" s="34"/>
      <c r="H22" s="34"/>
      <c r="I22" s="34"/>
    </row>
    <row r="23" spans="1:9" ht="15.75" customHeight="1" x14ac:dyDescent="0.2">
      <c r="A23" s="73" t="s">
        <v>25</v>
      </c>
      <c r="B23" s="74"/>
      <c r="C23" s="74"/>
      <c r="D23" s="74"/>
      <c r="E23" s="74"/>
      <c r="F23" s="74"/>
      <c r="G23" s="34"/>
      <c r="H23" s="34"/>
      <c r="I23" s="34"/>
    </row>
    <row r="24" spans="1:9" ht="15.75" customHeight="1" x14ac:dyDescent="0.2">
      <c r="A24" s="34"/>
      <c r="B24" s="34"/>
      <c r="C24" s="34"/>
      <c r="D24" s="40"/>
      <c r="E24" s="35"/>
      <c r="F24" s="35"/>
      <c r="G24" s="34"/>
      <c r="H24" s="34"/>
      <c r="I24" s="34"/>
    </row>
    <row r="25" spans="1:9" ht="15.75" customHeight="1" x14ac:dyDescent="0.2">
      <c r="A25" s="75" t="s">
        <v>12</v>
      </c>
      <c r="B25" s="76"/>
      <c r="C25" s="77"/>
      <c r="D25" s="8" t="s">
        <v>13</v>
      </c>
      <c r="E25" s="3" t="s">
        <v>26</v>
      </c>
      <c r="F25" s="4" t="s">
        <v>15</v>
      </c>
      <c r="G25" s="78" t="s">
        <v>16</v>
      </c>
      <c r="H25" s="76"/>
      <c r="I25" s="77"/>
    </row>
    <row r="26" spans="1:9" ht="39" customHeight="1" x14ac:dyDescent="0.2">
      <c r="A26" s="70" t="s">
        <v>27</v>
      </c>
      <c r="B26" s="71"/>
      <c r="C26" s="72"/>
      <c r="D26" s="13" t="s">
        <v>28</v>
      </c>
      <c r="E26" s="15">
        <v>80</v>
      </c>
      <c r="F26" s="17">
        <f>E26*0.1</f>
        <v>8</v>
      </c>
      <c r="G26" s="82"/>
      <c r="H26" s="83"/>
      <c r="I26" s="84"/>
    </row>
    <row r="27" spans="1:9" ht="54.75" customHeight="1" x14ac:dyDescent="0.2">
      <c r="A27" s="70" t="s">
        <v>29</v>
      </c>
      <c r="B27" s="71"/>
      <c r="C27" s="72"/>
      <c r="D27" s="13" t="s">
        <v>30</v>
      </c>
      <c r="E27" s="15">
        <v>100</v>
      </c>
      <c r="F27" s="17">
        <f t="shared" ref="F27" si="1">E27*0.25</f>
        <v>25</v>
      </c>
      <c r="G27" s="85"/>
      <c r="H27" s="81"/>
      <c r="I27" s="86"/>
    </row>
    <row r="28" spans="1:9" ht="54.75" customHeight="1" x14ac:dyDescent="0.2">
      <c r="A28" s="91" t="s">
        <v>31</v>
      </c>
      <c r="B28" s="71"/>
      <c r="C28" s="72"/>
      <c r="D28" s="13" t="s">
        <v>32</v>
      </c>
      <c r="E28" s="15">
        <v>100</v>
      </c>
      <c r="F28" s="17">
        <f>E28*0.05</f>
        <v>5</v>
      </c>
      <c r="G28" s="85"/>
      <c r="H28" s="81"/>
      <c r="I28" s="86"/>
    </row>
    <row r="29" spans="1:9" ht="51" customHeight="1" x14ac:dyDescent="0.2">
      <c r="A29" s="90" t="s">
        <v>33</v>
      </c>
      <c r="B29" s="71"/>
      <c r="C29" s="72"/>
      <c r="D29" s="13" t="s">
        <v>34</v>
      </c>
      <c r="E29" s="15">
        <v>100</v>
      </c>
      <c r="F29" s="17">
        <f>E29*0.25</f>
        <v>25</v>
      </c>
      <c r="G29" s="85"/>
      <c r="H29" s="81"/>
      <c r="I29" s="86"/>
    </row>
    <row r="30" spans="1:9" ht="54" customHeight="1" x14ac:dyDescent="0.2">
      <c r="A30" s="70" t="s">
        <v>35</v>
      </c>
      <c r="B30" s="71"/>
      <c r="C30" s="72"/>
      <c r="D30" s="13" t="s">
        <v>36</v>
      </c>
      <c r="E30" s="15">
        <v>100</v>
      </c>
      <c r="F30" s="17">
        <f>E30*0.15</f>
        <v>15</v>
      </c>
      <c r="G30" s="87"/>
      <c r="H30" s="88"/>
      <c r="I30" s="89"/>
    </row>
    <row r="31" spans="1:9" ht="15.75" customHeight="1" x14ac:dyDescent="0.2">
      <c r="A31" s="34"/>
      <c r="B31" s="34"/>
      <c r="C31" s="34"/>
      <c r="D31" s="34"/>
      <c r="E31" s="35"/>
      <c r="F31" s="34"/>
      <c r="G31" s="34"/>
      <c r="H31" s="34"/>
      <c r="I31" s="34"/>
    </row>
    <row r="32" spans="1:9" ht="15.75" customHeight="1" x14ac:dyDescent="0.2">
      <c r="A32" s="34"/>
      <c r="B32" s="34"/>
      <c r="C32" s="34"/>
      <c r="D32" s="35"/>
      <c r="E32" s="35"/>
      <c r="F32" s="35"/>
      <c r="G32" s="34"/>
      <c r="H32" s="34"/>
      <c r="I32" s="34"/>
    </row>
    <row r="33" spans="1:9" ht="15.75" customHeight="1" x14ac:dyDescent="0.2">
      <c r="A33" s="73" t="s">
        <v>37</v>
      </c>
      <c r="B33" s="74"/>
      <c r="C33" s="74"/>
      <c r="D33" s="74"/>
      <c r="E33" s="74"/>
      <c r="F33" s="74"/>
      <c r="G33" s="34"/>
      <c r="H33" s="34"/>
      <c r="I33" s="34"/>
    </row>
    <row r="34" spans="1:9" ht="15.75" customHeight="1" x14ac:dyDescent="0.2">
      <c r="A34" s="34"/>
      <c r="B34" s="34"/>
      <c r="C34" s="34"/>
      <c r="D34" s="35"/>
      <c r="E34" s="35"/>
      <c r="F34" s="35"/>
      <c r="G34" s="34"/>
      <c r="H34" s="34"/>
      <c r="I34" s="34"/>
    </row>
    <row r="35" spans="1:9" ht="15.75" customHeight="1" x14ac:dyDescent="0.2">
      <c r="A35" s="75" t="s">
        <v>12</v>
      </c>
      <c r="B35" s="76"/>
      <c r="C35" s="77"/>
      <c r="D35" s="8" t="s">
        <v>13</v>
      </c>
      <c r="E35" s="3" t="s">
        <v>26</v>
      </c>
      <c r="F35" s="4" t="s">
        <v>15</v>
      </c>
      <c r="G35" s="78" t="s">
        <v>16</v>
      </c>
      <c r="H35" s="76"/>
      <c r="I35" s="77"/>
    </row>
    <row r="36" spans="1:9" ht="33" customHeight="1" x14ac:dyDescent="0.2">
      <c r="A36" s="109" t="s">
        <v>38</v>
      </c>
      <c r="B36" s="110"/>
      <c r="C36" s="111"/>
      <c r="D36" s="13" t="s">
        <v>39</v>
      </c>
      <c r="E36" s="15">
        <v>80</v>
      </c>
      <c r="F36" s="16">
        <f t="shared" ref="F36:F37" si="2">E36*0.1</f>
        <v>8</v>
      </c>
      <c r="G36" s="82"/>
      <c r="H36" s="83"/>
      <c r="I36" s="84"/>
    </row>
    <row r="37" spans="1:9" ht="33.75" customHeight="1" x14ac:dyDescent="0.2">
      <c r="A37" s="109" t="s">
        <v>40</v>
      </c>
      <c r="B37" s="110"/>
      <c r="C37" s="111"/>
      <c r="D37" s="13" t="s">
        <v>41</v>
      </c>
      <c r="E37" s="15">
        <v>100</v>
      </c>
      <c r="F37" s="16">
        <f t="shared" si="2"/>
        <v>10</v>
      </c>
      <c r="G37" s="87"/>
      <c r="H37" s="88"/>
      <c r="I37" s="89"/>
    </row>
    <row r="38" spans="1:9" ht="15.75" customHeight="1" x14ac:dyDescent="0.2">
      <c r="A38" s="34"/>
      <c r="B38" s="34"/>
      <c r="C38" s="34"/>
      <c r="D38" s="34"/>
      <c r="E38" s="7"/>
      <c r="G38" s="34"/>
      <c r="H38" s="34"/>
      <c r="I38" s="34"/>
    </row>
    <row r="39" spans="1:9" ht="15.75" customHeight="1" x14ac:dyDescent="0.2">
      <c r="A39" s="34"/>
      <c r="B39" s="34"/>
      <c r="C39" s="34"/>
      <c r="D39" s="34"/>
      <c r="E39" s="34"/>
      <c r="F39" s="34"/>
      <c r="G39" s="34"/>
      <c r="H39" s="34"/>
      <c r="I39" s="34"/>
    </row>
    <row r="40" spans="1:9" ht="15.75" customHeight="1" x14ac:dyDescent="0.2">
      <c r="A40" s="112" t="s">
        <v>42</v>
      </c>
      <c r="B40" s="74"/>
      <c r="C40" s="74"/>
      <c r="D40" s="74"/>
      <c r="E40" s="74"/>
      <c r="F40" s="74"/>
      <c r="G40" s="74"/>
      <c r="H40" s="74"/>
      <c r="I40" s="74"/>
    </row>
    <row r="41" spans="1:9" ht="15.75" customHeight="1" x14ac:dyDescent="0.2">
      <c r="A41" s="34"/>
      <c r="B41" s="34"/>
      <c r="C41" s="34"/>
      <c r="D41" s="34"/>
      <c r="E41" s="34"/>
      <c r="F41" s="34"/>
      <c r="G41" s="34"/>
      <c r="H41" s="34"/>
      <c r="I41" s="34"/>
    </row>
    <row r="42" spans="1:9" ht="15.75" customHeight="1" x14ac:dyDescent="0.2">
      <c r="A42" s="34"/>
      <c r="B42" s="34"/>
      <c r="C42" s="34"/>
      <c r="D42" s="34"/>
      <c r="E42" s="105" t="s">
        <v>43</v>
      </c>
      <c r="F42" s="74"/>
      <c r="G42" s="74"/>
      <c r="H42" s="34"/>
      <c r="I42" s="34"/>
    </row>
    <row r="43" spans="1:9" ht="12.75" customHeight="1" x14ac:dyDescent="0.2">
      <c r="A43" s="106" t="s">
        <v>44</v>
      </c>
      <c r="B43" s="74"/>
      <c r="C43" s="74"/>
      <c r="D43" s="39" t="s">
        <v>45</v>
      </c>
      <c r="E43" s="41" t="s">
        <v>46</v>
      </c>
      <c r="F43" s="41">
        <f>SUM(F18+F19+F36+F37)</f>
        <v>98</v>
      </c>
      <c r="G43" s="41">
        <f>F43*0.25</f>
        <v>24.5</v>
      </c>
      <c r="H43" s="34"/>
      <c r="I43" s="34"/>
    </row>
    <row r="44" spans="1:9" ht="15.75" customHeight="1" x14ac:dyDescent="0.2">
      <c r="A44" s="107" t="s">
        <v>47</v>
      </c>
      <c r="B44" s="74"/>
      <c r="C44" s="74"/>
      <c r="D44" s="39" t="s">
        <v>48</v>
      </c>
      <c r="E44" s="42" t="s">
        <v>49</v>
      </c>
      <c r="F44" s="42">
        <f>SUM(F20,F26:F30)</f>
        <v>98</v>
      </c>
      <c r="G44" s="42">
        <f>F44*0.5</f>
        <v>49</v>
      </c>
      <c r="H44" s="34"/>
      <c r="I44" s="34"/>
    </row>
    <row r="45" spans="1:9" ht="15.75" customHeight="1" x14ac:dyDescent="0.2">
      <c r="A45" s="108" t="s">
        <v>50</v>
      </c>
      <c r="B45" s="74"/>
      <c r="C45" s="74"/>
      <c r="D45" s="39" t="s">
        <v>51</v>
      </c>
      <c r="E45" s="43" t="s">
        <v>52</v>
      </c>
      <c r="F45" s="43">
        <v>100</v>
      </c>
      <c r="G45" s="43">
        <f>F45*0.25</f>
        <v>25</v>
      </c>
      <c r="H45" s="34"/>
      <c r="I45" s="34"/>
    </row>
    <row r="46" spans="1:9" ht="15.75" customHeight="1" x14ac:dyDescent="0.2">
      <c r="A46" s="40"/>
      <c r="B46" s="34"/>
      <c r="C46" s="34"/>
      <c r="D46" s="39"/>
      <c r="E46" s="34"/>
      <c r="F46" s="34"/>
      <c r="G46" s="34"/>
      <c r="H46" s="34"/>
      <c r="I46" s="34"/>
    </row>
    <row r="47" spans="1:9" ht="15.75" customHeight="1" x14ac:dyDescent="0.2">
      <c r="A47" s="104"/>
      <c r="B47" s="74"/>
      <c r="C47" s="74"/>
      <c r="D47" s="34"/>
      <c r="E47" s="34"/>
      <c r="F47" s="34"/>
      <c r="G47" s="34"/>
      <c r="H47" s="34"/>
      <c r="I47" s="34"/>
    </row>
    <row r="48" spans="1:9" ht="15.75" customHeight="1" x14ac:dyDescent="0.2">
      <c r="A48" s="104"/>
      <c r="B48" s="74"/>
      <c r="C48" s="74"/>
      <c r="D48" s="34"/>
      <c r="E48" s="105" t="s">
        <v>53</v>
      </c>
      <c r="F48" s="74"/>
      <c r="G48" s="74"/>
      <c r="H48" s="34"/>
      <c r="I48" s="34"/>
    </row>
    <row r="49" spans="1:9" ht="15.75" customHeight="1" x14ac:dyDescent="0.2">
      <c r="A49" s="79"/>
      <c r="B49" s="74"/>
      <c r="C49" s="74"/>
      <c r="D49" s="34"/>
      <c r="E49" s="80">
        <f>SUM(G43:G45)</f>
        <v>98.5</v>
      </c>
      <c r="F49" s="81"/>
      <c r="G49" s="81"/>
      <c r="H49" s="34"/>
      <c r="I49" s="34"/>
    </row>
    <row r="50" spans="1:9" ht="15.75" customHeight="1" x14ac:dyDescent="0.2">
      <c r="A50" s="34"/>
      <c r="B50" s="34"/>
      <c r="C50" s="34"/>
      <c r="D50" s="34"/>
      <c r="E50" s="81"/>
      <c r="F50" s="81"/>
      <c r="G50" s="81"/>
      <c r="H50" s="34"/>
      <c r="I50" s="34"/>
    </row>
    <row r="51" spans="1:9" ht="15.75" customHeight="1" x14ac:dyDescent="0.2">
      <c r="A51" s="34"/>
      <c r="B51" s="34"/>
      <c r="C51" s="34"/>
      <c r="D51" s="34"/>
      <c r="E51" s="81"/>
      <c r="F51" s="81"/>
      <c r="G51" s="81"/>
      <c r="H51" s="34"/>
      <c r="I51" s="34"/>
    </row>
    <row r="52" spans="1:9" ht="15.75" customHeight="1" x14ac:dyDescent="0.2">
      <c r="A52" s="34"/>
      <c r="B52" s="34"/>
      <c r="C52" s="34"/>
      <c r="D52" s="34"/>
      <c r="E52" s="34"/>
      <c r="F52" s="34"/>
      <c r="G52" s="34"/>
      <c r="H52" s="34"/>
      <c r="I52" s="34"/>
    </row>
    <row r="53" spans="1:9" ht="15.75" customHeight="1" x14ac:dyDescent="0.2"/>
    <row r="54" spans="1:9" ht="15.75" customHeight="1" x14ac:dyDescent="0.2"/>
    <row r="55" spans="1:9" ht="15.75" customHeight="1" thickBot="1" x14ac:dyDescent="0.25"/>
    <row r="56" spans="1:9" ht="46.5" customHeight="1" thickBot="1" x14ac:dyDescent="0.25">
      <c r="A56" s="28" t="s">
        <v>54</v>
      </c>
      <c r="B56" s="29" t="s">
        <v>55</v>
      </c>
      <c r="C56" s="29" t="s">
        <v>56</v>
      </c>
      <c r="H56" s="69"/>
      <c r="I56" s="69"/>
    </row>
    <row r="57" spans="1:9" ht="15.75" customHeight="1" thickBot="1" x14ac:dyDescent="0.25">
      <c r="A57" s="30" t="s">
        <v>57</v>
      </c>
      <c r="B57" s="31" t="s">
        <v>58</v>
      </c>
      <c r="C57" s="32" t="s">
        <v>59</v>
      </c>
    </row>
    <row r="58" spans="1:9" ht="15.75" customHeight="1" x14ac:dyDescent="0.2">
      <c r="A58" s="63" t="s">
        <v>60</v>
      </c>
      <c r="B58" s="66" t="s">
        <v>61</v>
      </c>
      <c r="C58" s="33" t="s">
        <v>62</v>
      </c>
    </row>
    <row r="59" spans="1:9" ht="15.75" customHeight="1" x14ac:dyDescent="0.2">
      <c r="A59" s="64"/>
      <c r="B59" s="67"/>
      <c r="C59" s="33" t="s">
        <v>63</v>
      </c>
    </row>
    <row r="60" spans="1:9" ht="15.75" customHeight="1" x14ac:dyDescent="0.2">
      <c r="A60" s="64"/>
      <c r="B60" s="67"/>
      <c r="C60" s="33" t="s">
        <v>64</v>
      </c>
    </row>
    <row r="61" spans="1:9" ht="15.75" customHeight="1" x14ac:dyDescent="0.2">
      <c r="A61" s="64"/>
      <c r="B61" s="67"/>
      <c r="C61" s="33" t="s">
        <v>65</v>
      </c>
    </row>
    <row r="62" spans="1:9" ht="15.75" customHeight="1" thickBot="1" x14ac:dyDescent="0.25">
      <c r="A62" s="65"/>
      <c r="B62" s="68"/>
      <c r="C62" s="32" t="s">
        <v>66</v>
      </c>
    </row>
    <row r="63" spans="1:9" ht="15.75" customHeight="1" thickBot="1" x14ac:dyDescent="0.25">
      <c r="A63" s="30" t="s">
        <v>67</v>
      </c>
      <c r="B63" s="31" t="s">
        <v>68</v>
      </c>
      <c r="C63" s="32" t="s">
        <v>69</v>
      </c>
    </row>
    <row r="64" spans="1:9"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sheetData>
  <mergeCells count="46">
    <mergeCell ref="A4:I4"/>
    <mergeCell ref="A6:B6"/>
    <mergeCell ref="F6:G6"/>
    <mergeCell ref="H6:I6"/>
    <mergeCell ref="A48:C48"/>
    <mergeCell ref="E48:G48"/>
    <mergeCell ref="A43:C43"/>
    <mergeCell ref="A44:C44"/>
    <mergeCell ref="A45:C45"/>
    <mergeCell ref="A47:C47"/>
    <mergeCell ref="A36:C36"/>
    <mergeCell ref="G36:I37"/>
    <mergeCell ref="A37:C37"/>
    <mergeCell ref="A40:I40"/>
    <mergeCell ref="E42:G42"/>
    <mergeCell ref="A8:C8"/>
    <mergeCell ref="A9:C9"/>
    <mergeCell ref="A10:C10"/>
    <mergeCell ref="A12:I12"/>
    <mergeCell ref="A14:F14"/>
    <mergeCell ref="G25:I25"/>
    <mergeCell ref="A11:C11"/>
    <mergeCell ref="A18:C18"/>
    <mergeCell ref="G16:I16"/>
    <mergeCell ref="G17:I20"/>
    <mergeCell ref="A19:C19"/>
    <mergeCell ref="A20:C20"/>
    <mergeCell ref="A16:C16"/>
    <mergeCell ref="A17:C17"/>
    <mergeCell ref="A21:C21"/>
    <mergeCell ref="A23:F23"/>
    <mergeCell ref="A25:C25"/>
    <mergeCell ref="A58:A62"/>
    <mergeCell ref="B58:B62"/>
    <mergeCell ref="H56:I56"/>
    <mergeCell ref="A30:C30"/>
    <mergeCell ref="A33:F33"/>
    <mergeCell ref="A35:C35"/>
    <mergeCell ref="G35:I35"/>
    <mergeCell ref="A49:C49"/>
    <mergeCell ref="E49:G51"/>
    <mergeCell ref="G26:I30"/>
    <mergeCell ref="A29:C29"/>
    <mergeCell ref="A26:C26"/>
    <mergeCell ref="A27:C27"/>
    <mergeCell ref="A28:C28"/>
  </mergeCells>
  <conditionalFormatting sqref="E49">
    <cfRule type="cellIs" dxfId="8" priority="1" operator="between">
      <formula>80</formula>
      <formula>100</formula>
    </cfRule>
  </conditionalFormatting>
  <conditionalFormatting sqref="E49">
    <cfRule type="cellIs" dxfId="7" priority="2" operator="between">
      <formula>60</formula>
      <formula>79</formula>
    </cfRule>
  </conditionalFormatting>
  <conditionalFormatting sqref="E49">
    <cfRule type="cellIs" dxfId="6" priority="3" operator="between">
      <formula>0</formula>
      <formula>59</formula>
    </cfRule>
  </conditionalFormatting>
  <pageMargins left="0.7" right="0.7" top="9.7500000000000003E-2" bottom="0.67500000000000004" header="0" footer="0"/>
  <pageSetup scale="72" orientation="portrait" r:id="rId1"/>
  <headerFooter>
    <oddFooter xml:space="preserve">&amp;R&amp;"Abadi Extra Light,Normal"&amp;9Clave:COF04              Revisión: Séptima          Fecha:26/02/2024        Página: &amp;P de &amp;N
</oddFooter>
  </headerFooter>
  <rowBreaks count="1" manualBreakCount="1">
    <brk id="31" max="16383" man="1"/>
  </rowBreaks>
  <drawing r:id="rId2"/>
  <extLst>
    <ext xmlns:x14="http://schemas.microsoft.com/office/spreadsheetml/2009/9/main" uri="{CCE6A557-97BC-4b89-ADB6-D9C93CAAB3DF}">
      <x14:dataValidations xmlns:xm="http://schemas.microsoft.com/office/excel/2006/main" count="4">
        <x14:dataValidation type="list" allowBlank="1" showErrorMessage="1" xr:uid="{00000000-0002-0000-0000-000000000000}">
          <x14:formula1>
            <xm:f>Listado!$D$3:$D$5</xm:f>
          </x14:formula1>
          <xm:sqref>C6</xm:sqref>
        </x14:dataValidation>
        <x14:dataValidation type="list" allowBlank="1" showErrorMessage="1" xr:uid="{00000000-0002-0000-0000-000001000000}">
          <x14:formula1>
            <xm:f>Listado!$C$3:$C$4</xm:f>
          </x14:formula1>
          <xm:sqref>D9</xm:sqref>
        </x14:dataValidation>
        <x14:dataValidation type="list" allowBlank="1" showErrorMessage="1" xr:uid="{00000000-0002-0000-0000-000002000000}">
          <x14:formula1>
            <xm:f>Listado!$E$3:$E$14</xm:f>
          </x14:formula1>
          <xm:sqref>D10</xm:sqref>
        </x14:dataValidation>
        <x14:dataValidation type="list" allowBlank="1" showErrorMessage="1" xr:uid="{00000000-0002-0000-0000-000003000000}">
          <x14:formula1>
            <xm:f>Listado!$B$3:$B$139</xm:f>
          </x14:formula1>
          <xm:sqref>D8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outlinePr summaryBelow="0" summaryRight="0"/>
  </sheetPr>
  <dimension ref="A1:L1000"/>
  <sheetViews>
    <sheetView workbookViewId="0">
      <selection activeCell="A8" sqref="A8"/>
    </sheetView>
  </sheetViews>
  <sheetFormatPr baseColWidth="10" defaultColWidth="14.42578125" defaultRowHeight="15" customHeight="1" x14ac:dyDescent="0.2"/>
  <cols>
    <col min="1" max="1" width="56.5703125" customWidth="1"/>
    <col min="2" max="2" width="21.42578125" customWidth="1"/>
    <col min="3" max="3" width="49.140625" customWidth="1"/>
    <col min="4" max="4" width="14.42578125" customWidth="1"/>
    <col min="5" max="5" width="24.5703125" customWidth="1"/>
    <col min="6" max="6" width="14.42578125" customWidth="1"/>
    <col min="7" max="7" width="25.7109375" customWidth="1"/>
    <col min="8" max="8" width="18.42578125" customWidth="1"/>
    <col min="9" max="9" width="23.7109375" customWidth="1"/>
    <col min="11" max="11" width="25.140625" customWidth="1"/>
    <col min="12" max="12" width="22.5703125" customWidth="1"/>
    <col min="13" max="13" width="37.5703125" customWidth="1"/>
  </cols>
  <sheetData>
    <row r="1" spans="1:12" ht="15.75" customHeight="1" x14ac:dyDescent="0.2"/>
    <row r="2" spans="1:12" ht="15.75" customHeight="1" x14ac:dyDescent="0.2">
      <c r="A2" t="s">
        <v>70</v>
      </c>
      <c r="B2" s="44" t="s">
        <v>2</v>
      </c>
      <c r="C2" s="44" t="s">
        <v>4</v>
      </c>
      <c r="D2" s="44" t="s">
        <v>6</v>
      </c>
      <c r="E2" s="44" t="s">
        <v>8</v>
      </c>
      <c r="F2" s="9" t="s">
        <v>17</v>
      </c>
      <c r="G2" s="10" t="s">
        <v>19</v>
      </c>
      <c r="H2" s="10" t="s">
        <v>21</v>
      </c>
      <c r="I2" s="11" t="s">
        <v>23</v>
      </c>
      <c r="J2" s="6" t="s">
        <v>31</v>
      </c>
      <c r="K2" t="s">
        <v>71</v>
      </c>
      <c r="L2" t="s">
        <v>72</v>
      </c>
    </row>
    <row r="3" spans="1:12" ht="15.75" customHeight="1" x14ac:dyDescent="0.2">
      <c r="B3" s="44"/>
      <c r="C3" s="44"/>
      <c r="D3" s="44"/>
      <c r="E3" s="44"/>
      <c r="F3" s="44"/>
      <c r="G3" s="45"/>
      <c r="H3" s="45"/>
      <c r="I3" s="46"/>
      <c r="J3" s="46"/>
    </row>
    <row r="4" spans="1:12" ht="15.75" customHeight="1" x14ac:dyDescent="0.2">
      <c r="B4" s="44"/>
      <c r="C4" s="44"/>
      <c r="D4" s="44"/>
      <c r="E4" s="44"/>
      <c r="F4" s="44"/>
      <c r="G4" s="45"/>
      <c r="H4" s="45"/>
      <c r="I4" s="46"/>
      <c r="J4" s="46"/>
    </row>
    <row r="5" spans="1:12" ht="15.75" customHeight="1" x14ac:dyDescent="0.2">
      <c r="B5" s="44"/>
      <c r="C5" s="44"/>
      <c r="D5" s="44"/>
      <c r="E5" s="44"/>
      <c r="F5" s="44"/>
      <c r="G5" s="45"/>
      <c r="H5" s="45"/>
      <c r="I5" s="46"/>
      <c r="J5" s="46"/>
    </row>
    <row r="6" spans="1:12" ht="15.75" customHeight="1" x14ac:dyDescent="0.2">
      <c r="B6" s="44"/>
      <c r="C6" s="44"/>
      <c r="D6" s="44"/>
      <c r="E6" s="44"/>
      <c r="F6" s="44"/>
      <c r="G6" s="45"/>
      <c r="H6" s="45"/>
      <c r="I6" s="46"/>
      <c r="J6" s="46"/>
    </row>
    <row r="7" spans="1:12" ht="15.75" customHeight="1" x14ac:dyDescent="0.2">
      <c r="B7" s="44"/>
      <c r="C7" s="44"/>
      <c r="D7" s="44"/>
      <c r="E7" s="44"/>
      <c r="F7" s="44"/>
      <c r="G7" s="45"/>
      <c r="H7" s="45"/>
      <c r="I7" s="46"/>
      <c r="J7" s="46"/>
    </row>
    <row r="8" spans="1:12" ht="15.75" customHeight="1" x14ac:dyDescent="0.2">
      <c r="B8" s="44"/>
      <c r="C8" s="44"/>
      <c r="D8" s="44"/>
      <c r="E8" s="44"/>
      <c r="F8" s="44"/>
      <c r="G8" s="45"/>
      <c r="H8" s="45"/>
      <c r="I8" s="46"/>
      <c r="J8" s="46"/>
    </row>
    <row r="9" spans="1:12" ht="15.75" customHeight="1" x14ac:dyDescent="0.2">
      <c r="B9" s="44"/>
      <c r="C9" s="44"/>
      <c r="D9" s="44"/>
      <c r="E9" s="44"/>
      <c r="F9" s="44"/>
      <c r="G9" s="45"/>
      <c r="H9" s="45"/>
      <c r="I9" s="46"/>
      <c r="J9" s="46"/>
    </row>
    <row r="10" spans="1:12" ht="15.75" customHeight="1" x14ac:dyDescent="0.2">
      <c r="B10" s="44"/>
      <c r="C10" s="44"/>
      <c r="D10" s="44"/>
      <c r="E10" s="44"/>
      <c r="F10" s="44"/>
      <c r="G10" s="45"/>
      <c r="H10" s="45"/>
      <c r="I10" s="46"/>
      <c r="J10" s="46"/>
    </row>
    <row r="11" spans="1:12" ht="15.75" customHeight="1" x14ac:dyDescent="0.2">
      <c r="B11" s="44"/>
      <c r="C11" s="44"/>
      <c r="D11" s="44"/>
      <c r="E11" s="44"/>
      <c r="F11" s="44"/>
      <c r="G11" s="45"/>
      <c r="H11" s="45"/>
      <c r="I11" s="46"/>
      <c r="J11" s="46"/>
    </row>
    <row r="12" spans="1:12" ht="15.75" customHeight="1" x14ac:dyDescent="0.2">
      <c r="B12" s="44"/>
      <c r="C12" s="44"/>
      <c r="D12" s="44"/>
      <c r="E12" s="44"/>
      <c r="F12" s="44"/>
      <c r="G12" s="45"/>
      <c r="H12" s="45"/>
      <c r="I12" s="46"/>
      <c r="J12" s="46"/>
    </row>
    <row r="13" spans="1:12" ht="15.75" customHeight="1" x14ac:dyDescent="0.2">
      <c r="B13" s="44"/>
      <c r="C13" s="44"/>
      <c r="D13" s="44"/>
      <c r="E13" s="44"/>
      <c r="F13" s="44"/>
      <c r="G13" s="45"/>
      <c r="H13" s="45"/>
      <c r="I13" s="46"/>
      <c r="J13" s="46"/>
    </row>
    <row r="14" spans="1:12" ht="15.75" customHeight="1" x14ac:dyDescent="0.2">
      <c r="B14" s="44"/>
      <c r="C14" s="44"/>
      <c r="D14" s="44"/>
      <c r="E14" s="44"/>
      <c r="F14" s="44"/>
      <c r="G14" s="45"/>
      <c r="H14" s="45"/>
      <c r="I14" s="46"/>
      <c r="J14" s="46"/>
    </row>
    <row r="15" spans="1:12" ht="15.75" customHeight="1" x14ac:dyDescent="0.2">
      <c r="B15" s="44"/>
      <c r="C15" s="44"/>
      <c r="D15" s="44"/>
      <c r="E15" s="44"/>
      <c r="F15" s="44"/>
      <c r="G15" s="45"/>
      <c r="H15" s="45"/>
      <c r="I15" s="46"/>
      <c r="J15" s="46"/>
    </row>
    <row r="16" spans="1:12" ht="15.75" customHeight="1" x14ac:dyDescent="0.2">
      <c r="B16" s="44"/>
      <c r="C16" s="44"/>
      <c r="D16" s="44"/>
      <c r="E16" s="44"/>
      <c r="F16" s="44"/>
      <c r="G16" s="45"/>
      <c r="H16" s="45"/>
      <c r="I16" s="46"/>
      <c r="J16" s="46"/>
    </row>
    <row r="17" spans="2:10" ht="15.75" customHeight="1" x14ac:dyDescent="0.2">
      <c r="B17" s="44"/>
      <c r="C17" s="44"/>
      <c r="D17" s="44"/>
      <c r="E17" s="44"/>
      <c r="F17" s="44"/>
      <c r="G17" s="45"/>
      <c r="H17" s="45"/>
      <c r="I17" s="46"/>
      <c r="J17" s="46"/>
    </row>
    <row r="18" spans="2:10" ht="15.75" customHeight="1" x14ac:dyDescent="0.2">
      <c r="B18" s="44"/>
      <c r="C18" s="44"/>
      <c r="D18" s="44"/>
      <c r="E18" s="44"/>
      <c r="F18" s="44"/>
      <c r="G18" s="45"/>
      <c r="H18" s="45"/>
      <c r="I18" s="46"/>
      <c r="J18" s="46"/>
    </row>
    <row r="19" spans="2:10" ht="15.75" customHeight="1" x14ac:dyDescent="0.2">
      <c r="B19" s="44"/>
      <c r="C19" s="44"/>
      <c r="D19" s="44"/>
      <c r="E19" s="44"/>
      <c r="F19" s="44"/>
      <c r="G19" s="45"/>
      <c r="H19" s="45"/>
      <c r="I19" s="46"/>
      <c r="J19" s="46"/>
    </row>
    <row r="20" spans="2:10" ht="15.75" customHeight="1" x14ac:dyDescent="0.2">
      <c r="B20" s="44"/>
      <c r="C20" s="44"/>
      <c r="D20" s="44"/>
      <c r="E20" s="44"/>
      <c r="F20" s="44"/>
      <c r="G20" s="45"/>
      <c r="H20" s="45"/>
      <c r="I20" s="46"/>
      <c r="J20" s="46"/>
    </row>
    <row r="21" spans="2:10" ht="15.75" customHeight="1" x14ac:dyDescent="0.2">
      <c r="B21" s="44"/>
      <c r="C21" s="44"/>
      <c r="D21" s="44"/>
      <c r="E21" s="44"/>
      <c r="F21" s="44"/>
      <c r="G21" s="45"/>
      <c r="H21" s="45"/>
      <c r="I21" s="46"/>
      <c r="J21" s="46"/>
    </row>
    <row r="22" spans="2:10" ht="15.75" customHeight="1" x14ac:dyDescent="0.2">
      <c r="B22" s="44"/>
      <c r="C22" s="44"/>
      <c r="D22" s="44"/>
      <c r="E22" s="44"/>
      <c r="F22" s="44"/>
      <c r="G22" s="45"/>
      <c r="H22" s="45"/>
      <c r="I22" s="46"/>
      <c r="J22" s="46"/>
    </row>
    <row r="23" spans="2:10" ht="15.75" customHeight="1" x14ac:dyDescent="0.2">
      <c r="B23" s="44"/>
      <c r="C23" s="44"/>
      <c r="D23" s="44"/>
      <c r="E23" s="44"/>
      <c r="F23" s="44"/>
      <c r="G23" s="45"/>
      <c r="H23" s="45"/>
      <c r="I23" s="46"/>
      <c r="J23" s="46"/>
    </row>
    <row r="24" spans="2:10" ht="15.75" customHeight="1" x14ac:dyDescent="0.2">
      <c r="B24" s="44"/>
      <c r="C24" s="44"/>
      <c r="D24" s="44"/>
      <c r="E24" s="44"/>
      <c r="F24" s="44"/>
      <c r="G24" s="45"/>
      <c r="H24" s="45"/>
      <c r="I24" s="46"/>
      <c r="J24" s="46"/>
    </row>
    <row r="25" spans="2:10" ht="15.75" customHeight="1" x14ac:dyDescent="0.2">
      <c r="B25" s="44"/>
      <c r="C25" s="44"/>
      <c r="D25" s="44"/>
      <c r="E25" s="44"/>
      <c r="F25" s="44"/>
      <c r="G25" s="45"/>
      <c r="H25" s="45"/>
      <c r="I25" s="46"/>
      <c r="J25" s="46"/>
    </row>
    <row r="26" spans="2:10" ht="15.75" customHeight="1" x14ac:dyDescent="0.2">
      <c r="B26" s="44"/>
      <c r="C26" s="44"/>
      <c r="D26" s="44"/>
      <c r="E26" s="44"/>
      <c r="F26" s="44"/>
      <c r="G26" s="45"/>
      <c r="H26" s="45"/>
      <c r="I26" s="46"/>
      <c r="J26" s="46"/>
    </row>
    <row r="27" spans="2:10" ht="15.75" customHeight="1" x14ac:dyDescent="0.2">
      <c r="B27" s="44"/>
      <c r="C27" s="44"/>
      <c r="D27" s="44"/>
      <c r="E27" s="44"/>
      <c r="F27" s="44"/>
      <c r="G27" s="45"/>
      <c r="H27" s="45"/>
      <c r="I27" s="46"/>
      <c r="J27" s="46"/>
    </row>
    <row r="28" spans="2:10" ht="15.75" customHeight="1" x14ac:dyDescent="0.2">
      <c r="B28" s="44"/>
      <c r="C28" s="44"/>
      <c r="D28" s="44"/>
      <c r="E28" s="44"/>
      <c r="F28" s="44"/>
      <c r="G28" s="45"/>
      <c r="H28" s="45"/>
      <c r="I28" s="46"/>
      <c r="J28" s="46"/>
    </row>
    <row r="29" spans="2:10" ht="15.75" customHeight="1" x14ac:dyDescent="0.2">
      <c r="B29" s="44"/>
      <c r="C29" s="44"/>
      <c r="D29" s="44"/>
      <c r="E29" s="44"/>
      <c r="F29" s="44"/>
      <c r="G29" s="45"/>
      <c r="H29" s="45"/>
      <c r="I29" s="46"/>
      <c r="J29" s="46"/>
    </row>
    <row r="30" spans="2:10" ht="15.75" customHeight="1" x14ac:dyDescent="0.2">
      <c r="B30" s="44"/>
      <c r="C30" s="44"/>
      <c r="D30" s="44"/>
      <c r="E30" s="44"/>
      <c r="F30" s="44"/>
      <c r="G30" s="45"/>
      <c r="H30" s="45"/>
      <c r="I30" s="46"/>
      <c r="J30" s="46"/>
    </row>
    <row r="31" spans="2:10" ht="15.75" customHeight="1" x14ac:dyDescent="0.2"/>
    <row r="32" spans="2:10"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ummaryRight="0"/>
  </sheetPr>
  <dimension ref="A1:J1000"/>
  <sheetViews>
    <sheetView workbookViewId="0">
      <selection activeCell="A3" sqref="A3:XFD30"/>
    </sheetView>
  </sheetViews>
  <sheetFormatPr baseColWidth="10" defaultColWidth="14.42578125" defaultRowHeight="15" customHeight="1" x14ac:dyDescent="0.2"/>
  <cols>
    <col min="1" max="1" width="20.28515625" customWidth="1"/>
    <col min="2" max="2" width="21.42578125" customWidth="1"/>
    <col min="3" max="3" width="49.140625" customWidth="1"/>
    <col min="4" max="4" width="14.42578125" customWidth="1"/>
    <col min="5" max="5" width="24.5703125" customWidth="1"/>
    <col min="6" max="6" width="33.5703125" customWidth="1"/>
    <col min="7" max="7" width="32.42578125" customWidth="1"/>
    <col min="8" max="8" width="30.140625" customWidth="1"/>
    <col min="9" max="9" width="37.42578125" customWidth="1"/>
    <col min="10" max="10" width="24" customWidth="1"/>
  </cols>
  <sheetData>
    <row r="1" spans="1:10" ht="15.75" customHeight="1" x14ac:dyDescent="0.2"/>
    <row r="2" spans="1:10" ht="15.75" customHeight="1" x14ac:dyDescent="0.2">
      <c r="A2" t="s">
        <v>73</v>
      </c>
      <c r="B2" s="47" t="s">
        <v>2</v>
      </c>
      <c r="C2" s="47" t="s">
        <v>4</v>
      </c>
      <c r="D2" s="47" t="s">
        <v>6</v>
      </c>
      <c r="E2" s="47" t="s">
        <v>8</v>
      </c>
      <c r="F2" s="48" t="s">
        <v>27</v>
      </c>
      <c r="G2" s="48" t="s">
        <v>29</v>
      </c>
      <c r="H2" s="49" t="s">
        <v>33</v>
      </c>
      <c r="I2" s="48" t="s">
        <v>35</v>
      </c>
      <c r="J2" s="47" t="s">
        <v>74</v>
      </c>
    </row>
    <row r="3" spans="1:10" ht="15.75" customHeight="1" x14ac:dyDescent="0.2">
      <c r="B3" s="47"/>
      <c r="C3" s="47"/>
      <c r="D3" s="47"/>
      <c r="E3" s="47"/>
      <c r="F3" s="47"/>
      <c r="G3" s="47"/>
      <c r="H3" s="50"/>
      <c r="I3" s="47"/>
      <c r="J3" s="47"/>
    </row>
    <row r="4" spans="1:10" ht="15.75" customHeight="1" x14ac:dyDescent="0.2">
      <c r="B4" s="47"/>
      <c r="C4" s="47"/>
      <c r="D4" s="47"/>
      <c r="E4" s="47"/>
      <c r="F4" s="47"/>
      <c r="G4" s="47"/>
      <c r="H4" s="50"/>
      <c r="I4" s="47"/>
      <c r="J4" s="47"/>
    </row>
    <row r="5" spans="1:10" ht="15.75" customHeight="1" x14ac:dyDescent="0.2">
      <c r="B5" s="47"/>
      <c r="C5" s="47"/>
      <c r="D5" s="47"/>
      <c r="E5" s="47"/>
      <c r="F5" s="47"/>
      <c r="G5" s="47"/>
      <c r="H5" s="50"/>
      <c r="I5" s="47"/>
      <c r="J5" s="47"/>
    </row>
    <row r="6" spans="1:10" ht="15.75" customHeight="1" x14ac:dyDescent="0.2">
      <c r="B6" s="47"/>
      <c r="C6" s="47"/>
      <c r="D6" s="47"/>
      <c r="E6" s="47"/>
      <c r="F6" s="47"/>
      <c r="G6" s="47"/>
      <c r="H6" s="50"/>
      <c r="I6" s="47"/>
      <c r="J6" s="47"/>
    </row>
    <row r="7" spans="1:10" ht="15.75" customHeight="1" x14ac:dyDescent="0.2">
      <c r="B7" s="47"/>
      <c r="C7" s="47"/>
      <c r="D7" s="47"/>
      <c r="E7" s="47"/>
      <c r="F7" s="47"/>
      <c r="G7" s="47"/>
      <c r="H7" s="50"/>
      <c r="I7" s="47"/>
      <c r="J7" s="47"/>
    </row>
    <row r="8" spans="1:10" ht="15.75" customHeight="1" x14ac:dyDescent="0.2">
      <c r="B8" s="47"/>
      <c r="C8" s="47"/>
      <c r="D8" s="47"/>
      <c r="E8" s="47"/>
      <c r="F8" s="47"/>
      <c r="G8" s="47"/>
      <c r="H8" s="50"/>
      <c r="I8" s="47"/>
      <c r="J8" s="47"/>
    </row>
    <row r="9" spans="1:10" ht="15.75" customHeight="1" x14ac:dyDescent="0.2">
      <c r="B9" s="47"/>
      <c r="C9" s="47"/>
      <c r="D9" s="47"/>
      <c r="E9" s="47"/>
      <c r="F9" s="47"/>
      <c r="G9" s="47"/>
      <c r="H9" s="50"/>
      <c r="I9" s="47"/>
      <c r="J9" s="47"/>
    </row>
    <row r="10" spans="1:10" ht="15.75" customHeight="1" x14ac:dyDescent="0.2">
      <c r="B10" s="47"/>
      <c r="C10" s="47"/>
      <c r="D10" s="47"/>
      <c r="E10" s="47"/>
      <c r="F10" s="47"/>
      <c r="G10" s="47"/>
      <c r="H10" s="50"/>
      <c r="I10" s="47"/>
      <c r="J10" s="47"/>
    </row>
    <row r="11" spans="1:10" ht="15.75" customHeight="1" x14ac:dyDescent="0.2">
      <c r="B11" s="47"/>
      <c r="C11" s="47"/>
      <c r="D11" s="47"/>
      <c r="E11" s="47"/>
      <c r="F11" s="47"/>
      <c r="G11" s="47"/>
      <c r="H11" s="50"/>
      <c r="I11" s="47"/>
      <c r="J11" s="47"/>
    </row>
    <row r="12" spans="1:10" ht="15.75" customHeight="1" x14ac:dyDescent="0.2">
      <c r="B12" s="47"/>
      <c r="C12" s="47"/>
      <c r="D12" s="47"/>
      <c r="E12" s="47"/>
      <c r="F12" s="47"/>
      <c r="G12" s="47"/>
      <c r="H12" s="50"/>
      <c r="I12" s="47"/>
      <c r="J12" s="47"/>
    </row>
    <row r="13" spans="1:10" ht="15.75" customHeight="1" x14ac:dyDescent="0.2">
      <c r="B13" s="47"/>
      <c r="C13" s="47"/>
      <c r="D13" s="47"/>
      <c r="E13" s="47"/>
      <c r="F13" s="47"/>
      <c r="G13" s="47"/>
      <c r="H13" s="50"/>
      <c r="I13" s="47"/>
      <c r="J13" s="47"/>
    </row>
    <row r="14" spans="1:10" ht="15.75" customHeight="1" x14ac:dyDescent="0.2">
      <c r="B14" s="47"/>
      <c r="C14" s="47"/>
      <c r="D14" s="47"/>
      <c r="E14" s="47"/>
      <c r="F14" s="47"/>
      <c r="G14" s="47"/>
      <c r="H14" s="50"/>
      <c r="I14" s="47"/>
      <c r="J14" s="47"/>
    </row>
    <row r="15" spans="1:10" ht="15.75" customHeight="1" x14ac:dyDescent="0.2">
      <c r="B15" s="47"/>
      <c r="C15" s="47"/>
      <c r="D15" s="47"/>
      <c r="E15" s="47"/>
      <c r="F15" s="47"/>
      <c r="G15" s="47"/>
      <c r="H15" s="50"/>
      <c r="I15" s="47"/>
      <c r="J15" s="47"/>
    </row>
    <row r="16" spans="1:10" ht="15.75" customHeight="1" x14ac:dyDescent="0.2">
      <c r="B16" s="47"/>
      <c r="C16" s="47"/>
      <c r="D16" s="47"/>
      <c r="E16" s="47"/>
      <c r="F16" s="47"/>
      <c r="G16" s="47"/>
      <c r="H16" s="50"/>
      <c r="I16" s="47"/>
      <c r="J16" s="47"/>
    </row>
    <row r="17" spans="2:10" ht="15.75" customHeight="1" x14ac:dyDescent="0.2">
      <c r="B17" s="47"/>
      <c r="C17" s="47"/>
      <c r="D17" s="47"/>
      <c r="E17" s="47"/>
      <c r="F17" s="47"/>
      <c r="G17" s="47"/>
      <c r="H17" s="50"/>
      <c r="I17" s="47"/>
      <c r="J17" s="47"/>
    </row>
    <row r="18" spans="2:10" ht="15.75" customHeight="1" x14ac:dyDescent="0.2">
      <c r="B18" s="47"/>
      <c r="C18" s="47"/>
      <c r="D18" s="47"/>
      <c r="E18" s="47"/>
      <c r="F18" s="47"/>
      <c r="G18" s="47"/>
      <c r="H18" s="50"/>
      <c r="I18" s="47"/>
      <c r="J18" s="47"/>
    </row>
    <row r="19" spans="2:10" ht="15.75" customHeight="1" x14ac:dyDescent="0.2">
      <c r="B19" s="47"/>
      <c r="C19" s="47"/>
      <c r="D19" s="47"/>
      <c r="E19" s="47"/>
      <c r="F19" s="47"/>
      <c r="G19" s="47"/>
      <c r="H19" s="50"/>
      <c r="I19" s="47"/>
      <c r="J19" s="47"/>
    </row>
    <row r="20" spans="2:10" ht="15.75" customHeight="1" x14ac:dyDescent="0.2">
      <c r="B20" s="47"/>
      <c r="C20" s="47"/>
      <c r="D20" s="47"/>
      <c r="E20" s="47"/>
      <c r="F20" s="47"/>
      <c r="G20" s="47"/>
      <c r="H20" s="50"/>
      <c r="I20" s="47"/>
      <c r="J20" s="47"/>
    </row>
    <row r="21" spans="2:10" ht="15.75" customHeight="1" x14ac:dyDescent="0.2">
      <c r="B21" s="47"/>
      <c r="C21" s="47"/>
      <c r="D21" s="47"/>
      <c r="E21" s="47"/>
      <c r="F21" s="47"/>
      <c r="G21" s="47"/>
      <c r="H21" s="50"/>
      <c r="I21" s="47"/>
      <c r="J21" s="47"/>
    </row>
    <row r="22" spans="2:10" ht="15.75" customHeight="1" x14ac:dyDescent="0.2">
      <c r="B22" s="47"/>
      <c r="C22" s="47"/>
      <c r="D22" s="47"/>
      <c r="E22" s="47"/>
      <c r="F22" s="47"/>
      <c r="G22" s="47"/>
      <c r="H22" s="50"/>
      <c r="I22" s="47"/>
      <c r="J22" s="47"/>
    </row>
    <row r="23" spans="2:10" ht="15.75" customHeight="1" x14ac:dyDescent="0.2">
      <c r="B23" s="47"/>
      <c r="C23" s="47"/>
      <c r="D23" s="47"/>
      <c r="E23" s="47"/>
      <c r="F23" s="47"/>
      <c r="G23" s="47"/>
      <c r="H23" s="50"/>
      <c r="I23" s="47"/>
      <c r="J23" s="47"/>
    </row>
    <row r="24" spans="2:10" ht="15.75" customHeight="1" x14ac:dyDescent="0.2">
      <c r="B24" s="47"/>
      <c r="C24" s="47"/>
      <c r="D24" s="47"/>
      <c r="E24" s="47"/>
      <c r="F24" s="47"/>
      <c r="G24" s="47"/>
      <c r="H24" s="50"/>
      <c r="I24" s="47"/>
      <c r="J24" s="47"/>
    </row>
    <row r="25" spans="2:10" ht="15.75" customHeight="1" x14ac:dyDescent="0.2">
      <c r="B25" s="47"/>
      <c r="C25" s="47"/>
      <c r="D25" s="47"/>
      <c r="E25" s="47"/>
      <c r="F25" s="47"/>
      <c r="G25" s="47"/>
      <c r="H25" s="50"/>
      <c r="I25" s="47"/>
      <c r="J25" s="47"/>
    </row>
    <row r="26" spans="2:10" ht="15.75" customHeight="1" x14ac:dyDescent="0.2">
      <c r="B26" s="47"/>
      <c r="C26" s="47"/>
      <c r="D26" s="47"/>
      <c r="E26" s="47"/>
      <c r="F26" s="47"/>
      <c r="G26" s="47"/>
      <c r="H26" s="50"/>
      <c r="I26" s="47"/>
      <c r="J26" s="47"/>
    </row>
    <row r="27" spans="2:10" ht="15.75" customHeight="1" x14ac:dyDescent="0.2">
      <c r="B27" s="47"/>
      <c r="C27" s="47"/>
      <c r="D27" s="47"/>
      <c r="E27" s="47"/>
      <c r="F27" s="47"/>
      <c r="G27" s="47"/>
      <c r="H27" s="50"/>
      <c r="I27" s="47"/>
      <c r="J27" s="47"/>
    </row>
    <row r="28" spans="2:10" ht="15.75" customHeight="1" x14ac:dyDescent="0.2">
      <c r="B28" s="47"/>
      <c r="C28" s="47"/>
      <c r="D28" s="47"/>
      <c r="E28" s="47"/>
      <c r="F28" s="47"/>
      <c r="G28" s="47"/>
      <c r="H28" s="50"/>
      <c r="I28" s="47"/>
      <c r="J28" s="47"/>
    </row>
    <row r="29" spans="2:10" ht="15.75" customHeight="1" x14ac:dyDescent="0.2">
      <c r="B29" s="47"/>
      <c r="C29" s="47"/>
      <c r="D29" s="47"/>
      <c r="E29" s="47"/>
      <c r="F29" s="47"/>
      <c r="G29" s="47"/>
      <c r="H29" s="50"/>
      <c r="I29" s="47"/>
      <c r="J29" s="47"/>
    </row>
    <row r="30" spans="2:10" ht="15.75" customHeight="1" x14ac:dyDescent="0.2">
      <c r="B30" s="47"/>
      <c r="C30" s="47"/>
      <c r="D30" s="47"/>
      <c r="E30" s="47"/>
      <c r="F30" s="47"/>
      <c r="G30" s="47"/>
      <c r="H30" s="50"/>
      <c r="I30" s="47"/>
      <c r="J30" s="47"/>
    </row>
    <row r="31" spans="2:10" ht="15.75" customHeight="1" x14ac:dyDescent="0.2"/>
    <row r="32" spans="2:10"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outlinePr summaryBelow="0" summaryRight="0"/>
  </sheetPr>
  <dimension ref="A1:H1000"/>
  <sheetViews>
    <sheetView topLeftCell="C1" workbookViewId="0">
      <selection activeCell="C3" sqref="A3:XFD30"/>
    </sheetView>
  </sheetViews>
  <sheetFormatPr baseColWidth="10" defaultColWidth="14.42578125" defaultRowHeight="15" customHeight="1" x14ac:dyDescent="0.2"/>
  <cols>
    <col min="1" max="1" width="14.42578125" customWidth="1"/>
    <col min="2" max="2" width="21.42578125" customWidth="1"/>
    <col min="3" max="3" width="49.140625" customWidth="1"/>
    <col min="4" max="4" width="14.42578125" customWidth="1"/>
    <col min="5" max="5" width="24.5703125" customWidth="1"/>
    <col min="6" max="6" width="28.28515625" customWidth="1"/>
    <col min="7" max="7" width="30.42578125" customWidth="1"/>
    <col min="8" max="8" width="23.140625" customWidth="1"/>
  </cols>
  <sheetData>
    <row r="1" spans="1:8" ht="15.75" customHeight="1" x14ac:dyDescent="0.2"/>
    <row r="2" spans="1:8" ht="15.75" customHeight="1" x14ac:dyDescent="0.2">
      <c r="A2" t="s">
        <v>75</v>
      </c>
      <c r="B2" s="44" t="s">
        <v>2</v>
      </c>
      <c r="C2" s="44" t="s">
        <v>4</v>
      </c>
      <c r="D2" s="44" t="s">
        <v>6</v>
      </c>
      <c r="E2" s="44" t="s">
        <v>8</v>
      </c>
      <c r="F2" s="45" t="s">
        <v>76</v>
      </c>
      <c r="G2" s="45" t="s">
        <v>40</v>
      </c>
      <c r="H2" s="45" t="s">
        <v>77</v>
      </c>
    </row>
    <row r="3" spans="1:8" ht="15.75" customHeight="1" x14ac:dyDescent="0.2">
      <c r="B3" s="44"/>
      <c r="C3" s="44"/>
      <c r="D3" s="44"/>
      <c r="E3" s="44"/>
      <c r="F3" s="45"/>
      <c r="G3" s="45"/>
      <c r="H3" s="45"/>
    </row>
    <row r="4" spans="1:8" ht="15.75" customHeight="1" x14ac:dyDescent="0.2">
      <c r="B4" s="44"/>
      <c r="C4" s="44"/>
      <c r="D4" s="44"/>
      <c r="E4" s="44"/>
      <c r="F4" s="45"/>
      <c r="G4" s="45"/>
      <c r="H4" s="45"/>
    </row>
    <row r="5" spans="1:8" ht="15.75" customHeight="1" x14ac:dyDescent="0.2">
      <c r="B5" s="44"/>
      <c r="C5" s="44"/>
      <c r="D5" s="44"/>
      <c r="E5" s="44"/>
      <c r="F5" s="45"/>
      <c r="G5" s="45"/>
      <c r="H5" s="45"/>
    </row>
    <row r="6" spans="1:8" ht="15.75" customHeight="1" x14ac:dyDescent="0.2">
      <c r="B6" s="44"/>
      <c r="C6" s="44"/>
      <c r="D6" s="44"/>
      <c r="E6" s="44"/>
      <c r="F6" s="45"/>
      <c r="G6" s="45"/>
      <c r="H6" s="45"/>
    </row>
    <row r="7" spans="1:8" ht="15.75" customHeight="1" x14ac:dyDescent="0.2">
      <c r="B7" s="44"/>
      <c r="C7" s="44"/>
      <c r="D7" s="44"/>
      <c r="E7" s="44"/>
      <c r="F7" s="45"/>
      <c r="G7" s="45"/>
      <c r="H7" s="45"/>
    </row>
    <row r="8" spans="1:8" ht="15.75" customHeight="1" x14ac:dyDescent="0.2">
      <c r="B8" s="44"/>
      <c r="C8" s="44"/>
      <c r="D8" s="44"/>
      <c r="E8" s="44"/>
      <c r="F8" s="45"/>
      <c r="G8" s="45"/>
      <c r="H8" s="45"/>
    </row>
    <row r="9" spans="1:8" ht="15.75" customHeight="1" x14ac:dyDescent="0.2">
      <c r="B9" s="44"/>
      <c r="C9" s="44"/>
      <c r="D9" s="44"/>
      <c r="E9" s="44"/>
      <c r="F9" s="45"/>
      <c r="G9" s="45"/>
      <c r="H9" s="45"/>
    </row>
    <row r="10" spans="1:8" ht="15.75" customHeight="1" x14ac:dyDescent="0.2">
      <c r="B10" s="44"/>
      <c r="C10" s="44"/>
      <c r="D10" s="44"/>
      <c r="E10" s="44"/>
      <c r="F10" s="45"/>
      <c r="G10" s="45"/>
      <c r="H10" s="45"/>
    </row>
    <row r="11" spans="1:8" ht="15.75" customHeight="1" x14ac:dyDescent="0.2">
      <c r="B11" s="44"/>
      <c r="C11" s="44"/>
      <c r="D11" s="44"/>
      <c r="E11" s="44"/>
      <c r="F11" s="45"/>
      <c r="G11" s="45"/>
      <c r="H11" s="45"/>
    </row>
    <row r="12" spans="1:8" ht="15.75" customHeight="1" x14ac:dyDescent="0.2">
      <c r="B12" s="44"/>
      <c r="C12" s="44"/>
      <c r="D12" s="44"/>
      <c r="E12" s="44"/>
      <c r="F12" s="45"/>
      <c r="G12" s="45"/>
      <c r="H12" s="45"/>
    </row>
    <row r="13" spans="1:8" ht="15.75" customHeight="1" x14ac:dyDescent="0.2">
      <c r="B13" s="44"/>
      <c r="C13" s="44"/>
      <c r="D13" s="44"/>
      <c r="E13" s="44"/>
      <c r="F13" s="45"/>
      <c r="G13" s="45"/>
      <c r="H13" s="45"/>
    </row>
    <row r="14" spans="1:8" ht="15.75" customHeight="1" x14ac:dyDescent="0.2">
      <c r="B14" s="44"/>
      <c r="C14" s="44"/>
      <c r="D14" s="44"/>
      <c r="E14" s="44"/>
      <c r="F14" s="45"/>
      <c r="G14" s="45"/>
      <c r="H14" s="45"/>
    </row>
    <row r="15" spans="1:8" ht="15.75" customHeight="1" x14ac:dyDescent="0.2">
      <c r="B15" s="44"/>
      <c r="C15" s="44"/>
      <c r="D15" s="44"/>
      <c r="E15" s="44"/>
      <c r="F15" s="45"/>
      <c r="G15" s="45"/>
      <c r="H15" s="45"/>
    </row>
    <row r="16" spans="1:8" ht="15.75" customHeight="1" x14ac:dyDescent="0.2">
      <c r="B16" s="44"/>
      <c r="C16" s="44"/>
      <c r="D16" s="44"/>
      <c r="E16" s="44"/>
      <c r="F16" s="45"/>
      <c r="G16" s="45"/>
      <c r="H16" s="45"/>
    </row>
    <row r="17" spans="2:8" ht="15.75" customHeight="1" x14ac:dyDescent="0.2">
      <c r="B17" s="44"/>
      <c r="C17" s="44"/>
      <c r="D17" s="44"/>
      <c r="E17" s="44"/>
      <c r="F17" s="45"/>
      <c r="G17" s="45"/>
      <c r="H17" s="45"/>
    </row>
    <row r="18" spans="2:8" ht="15.75" customHeight="1" x14ac:dyDescent="0.2">
      <c r="B18" s="44"/>
      <c r="C18" s="44"/>
      <c r="D18" s="44"/>
      <c r="E18" s="44"/>
      <c r="F18" s="45"/>
      <c r="G18" s="45"/>
      <c r="H18" s="45"/>
    </row>
    <row r="19" spans="2:8" ht="15.75" customHeight="1" x14ac:dyDescent="0.2">
      <c r="B19" s="44"/>
      <c r="C19" s="44"/>
      <c r="D19" s="44"/>
      <c r="E19" s="44"/>
      <c r="F19" s="45"/>
      <c r="G19" s="45"/>
      <c r="H19" s="45"/>
    </row>
    <row r="20" spans="2:8" ht="15.75" customHeight="1" x14ac:dyDescent="0.2">
      <c r="B20" s="44"/>
      <c r="C20" s="44"/>
      <c r="D20" s="44"/>
      <c r="E20" s="44"/>
      <c r="F20" s="45"/>
      <c r="G20" s="45"/>
      <c r="H20" s="45"/>
    </row>
    <row r="21" spans="2:8" ht="15.75" customHeight="1" x14ac:dyDescent="0.2">
      <c r="B21" s="44"/>
      <c r="C21" s="44"/>
      <c r="D21" s="44"/>
      <c r="E21" s="44"/>
      <c r="F21" s="45"/>
      <c r="G21" s="45"/>
      <c r="H21" s="45"/>
    </row>
    <row r="22" spans="2:8" ht="15.75" customHeight="1" x14ac:dyDescent="0.2">
      <c r="B22" s="44"/>
      <c r="C22" s="44"/>
      <c r="D22" s="44"/>
      <c r="E22" s="44"/>
      <c r="F22" s="45"/>
      <c r="G22" s="45"/>
      <c r="H22" s="45"/>
    </row>
    <row r="23" spans="2:8" ht="15.75" customHeight="1" x14ac:dyDescent="0.2">
      <c r="B23" s="44"/>
      <c r="C23" s="44"/>
      <c r="D23" s="44"/>
      <c r="E23" s="44"/>
      <c r="F23" s="45"/>
      <c r="G23" s="45"/>
      <c r="H23" s="45"/>
    </row>
    <row r="24" spans="2:8" ht="15.75" customHeight="1" x14ac:dyDescent="0.2">
      <c r="B24" s="44"/>
      <c r="C24" s="44"/>
      <c r="D24" s="44"/>
      <c r="E24" s="44"/>
      <c r="F24" s="45"/>
      <c r="G24" s="45"/>
      <c r="H24" s="45"/>
    </row>
    <row r="25" spans="2:8" ht="15.75" customHeight="1" x14ac:dyDescent="0.2">
      <c r="B25" s="44"/>
      <c r="C25" s="44"/>
      <c r="D25" s="44"/>
      <c r="E25" s="44"/>
      <c r="F25" s="45"/>
      <c r="G25" s="45"/>
      <c r="H25" s="45"/>
    </row>
    <row r="26" spans="2:8" ht="15.75" customHeight="1" x14ac:dyDescent="0.2">
      <c r="B26" s="44"/>
      <c r="C26" s="44"/>
      <c r="D26" s="44"/>
      <c r="E26" s="44"/>
      <c r="F26" s="45"/>
      <c r="G26" s="45"/>
      <c r="H26" s="45"/>
    </row>
    <row r="27" spans="2:8" ht="15.75" customHeight="1" x14ac:dyDescent="0.2">
      <c r="B27" s="44"/>
      <c r="C27" s="44"/>
      <c r="D27" s="44"/>
      <c r="E27" s="44"/>
      <c r="F27" s="45"/>
      <c r="G27" s="45"/>
      <c r="H27" s="45"/>
    </row>
    <row r="28" spans="2:8" ht="15.75" customHeight="1" x14ac:dyDescent="0.2">
      <c r="B28" s="44"/>
      <c r="C28" s="44"/>
      <c r="D28" s="44"/>
      <c r="E28" s="44"/>
      <c r="F28" s="45"/>
      <c r="G28" s="45"/>
      <c r="H28" s="45"/>
    </row>
    <row r="29" spans="2:8" ht="15.75" customHeight="1" x14ac:dyDescent="0.2">
      <c r="B29" s="44"/>
      <c r="C29" s="44"/>
      <c r="D29" s="44"/>
      <c r="E29" s="44"/>
      <c r="F29" s="45"/>
      <c r="G29" s="45"/>
      <c r="H29" s="45"/>
    </row>
    <row r="30" spans="2:8" ht="15.75" customHeight="1" x14ac:dyDescent="0.2">
      <c r="B30" s="44"/>
      <c r="C30" s="44"/>
      <c r="D30" s="44"/>
      <c r="E30" s="44"/>
      <c r="F30" s="45"/>
      <c r="G30" s="45"/>
      <c r="H30" s="45"/>
    </row>
    <row r="31" spans="2:8" ht="15.75" customHeight="1" x14ac:dyDescent="0.2"/>
    <row r="32" spans="2:8"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M1000"/>
  <sheetViews>
    <sheetView workbookViewId="0">
      <selection activeCell="D38" sqref="D38"/>
    </sheetView>
  </sheetViews>
  <sheetFormatPr baseColWidth="10" defaultColWidth="14.42578125" defaultRowHeight="15" customHeight="1" x14ac:dyDescent="0.2"/>
  <cols>
    <col min="1" max="2" width="51.85546875" customWidth="1"/>
    <col min="3" max="3" width="13.28515625" customWidth="1"/>
    <col min="4" max="4" width="28.7109375" customWidth="1"/>
    <col min="5" max="5" width="23.85546875" customWidth="1"/>
    <col min="6" max="6" width="22.7109375" customWidth="1"/>
    <col min="7" max="7" width="22.140625" customWidth="1"/>
    <col min="8" max="8" width="30.85546875" customWidth="1"/>
    <col min="9" max="9" width="16.7109375" customWidth="1"/>
    <col min="10" max="10" width="20.140625" customWidth="1"/>
    <col min="11" max="11" width="24.5703125" customWidth="1"/>
    <col min="12" max="12" width="21" customWidth="1"/>
    <col min="13" max="13" width="22.85546875" customWidth="1"/>
    <col min="14" max="26" width="10.7109375" customWidth="1"/>
  </cols>
  <sheetData>
    <row r="1" spans="1:13" ht="12.75" customHeight="1" x14ac:dyDescent="0.2"/>
    <row r="2" spans="1:13" ht="12.75" customHeight="1" x14ac:dyDescent="0.2">
      <c r="A2" t="s">
        <v>75</v>
      </c>
      <c r="B2" s="51" t="s">
        <v>4</v>
      </c>
      <c r="C2" s="51" t="s">
        <v>8</v>
      </c>
      <c r="D2" s="41" t="s">
        <v>71</v>
      </c>
      <c r="E2" s="52" t="s">
        <v>72</v>
      </c>
      <c r="F2" s="47" t="s">
        <v>74</v>
      </c>
      <c r="G2" s="45" t="s">
        <v>77</v>
      </c>
      <c r="H2" s="53" t="s">
        <v>78</v>
      </c>
      <c r="I2" s="41" t="s">
        <v>79</v>
      </c>
      <c r="J2" s="54" t="s">
        <v>80</v>
      </c>
      <c r="K2" s="55" t="s">
        <v>81</v>
      </c>
      <c r="L2" s="52" t="s">
        <v>82</v>
      </c>
      <c r="M2" s="7" t="s">
        <v>83</v>
      </c>
    </row>
    <row r="3" spans="1:13" ht="12.75" customHeight="1" x14ac:dyDescent="0.2">
      <c r="B3" s="44"/>
      <c r="C3" s="44"/>
      <c r="D3" s="7"/>
      <c r="E3" s="7"/>
      <c r="F3" s="7"/>
      <c r="G3" s="7"/>
      <c r="H3" s="7"/>
      <c r="I3" s="7"/>
      <c r="J3" s="7"/>
      <c r="K3" s="7"/>
      <c r="L3" s="7"/>
      <c r="M3" s="7"/>
    </row>
    <row r="4" spans="1:13" ht="12.75" customHeight="1" x14ac:dyDescent="0.2">
      <c r="B4" s="44"/>
      <c r="C4" s="44"/>
    </row>
    <row r="5" spans="1:13" ht="12.75" customHeight="1" x14ac:dyDescent="0.2">
      <c r="B5" s="44"/>
      <c r="C5" s="44"/>
    </row>
    <row r="6" spans="1:13" ht="12.75" customHeight="1" x14ac:dyDescent="0.2">
      <c r="B6" s="44"/>
      <c r="C6" s="44"/>
    </row>
    <row r="7" spans="1:13" ht="12.75" customHeight="1" x14ac:dyDescent="0.2">
      <c r="B7" s="44"/>
      <c r="C7" s="44"/>
    </row>
    <row r="8" spans="1:13" ht="12.75" customHeight="1" x14ac:dyDescent="0.2">
      <c r="B8" s="44"/>
      <c r="C8" s="44"/>
    </row>
    <row r="9" spans="1:13" ht="12.75" customHeight="1" x14ac:dyDescent="0.2">
      <c r="B9" s="44"/>
      <c r="C9" s="44"/>
    </row>
    <row r="10" spans="1:13" ht="12.75" customHeight="1" x14ac:dyDescent="0.2">
      <c r="B10" s="44"/>
      <c r="C10" s="44"/>
    </row>
    <row r="11" spans="1:13" ht="12.75" customHeight="1" x14ac:dyDescent="0.2">
      <c r="B11" s="44"/>
      <c r="C11" s="44"/>
    </row>
    <row r="12" spans="1:13" ht="12.75" customHeight="1" x14ac:dyDescent="0.2">
      <c r="B12" s="44"/>
      <c r="C12" s="44"/>
    </row>
    <row r="13" spans="1:13" ht="12.75" customHeight="1" x14ac:dyDescent="0.2">
      <c r="B13" s="44"/>
      <c r="C13" s="44"/>
    </row>
    <row r="14" spans="1:13" ht="12.75" customHeight="1" x14ac:dyDescent="0.2">
      <c r="B14" s="44"/>
      <c r="C14" s="44"/>
    </row>
    <row r="15" spans="1:13" ht="12.75" customHeight="1" x14ac:dyDescent="0.2">
      <c r="B15" s="44"/>
      <c r="C15" s="44"/>
    </row>
    <row r="16" spans="1:13" ht="12.75" customHeight="1" x14ac:dyDescent="0.2">
      <c r="B16" s="44"/>
      <c r="C16" s="44"/>
    </row>
    <row r="17" spans="2:3" ht="12.75" customHeight="1" x14ac:dyDescent="0.2">
      <c r="B17" s="44"/>
      <c r="C17" s="44"/>
    </row>
    <row r="18" spans="2:3" ht="12.75" customHeight="1" x14ac:dyDescent="0.2">
      <c r="B18" s="44"/>
      <c r="C18" s="44"/>
    </row>
    <row r="19" spans="2:3" ht="12.75" customHeight="1" x14ac:dyDescent="0.2">
      <c r="B19" s="44"/>
      <c r="C19" s="44"/>
    </row>
    <row r="20" spans="2:3" ht="12.75" customHeight="1" x14ac:dyDescent="0.2">
      <c r="B20" s="44"/>
      <c r="C20" s="44"/>
    </row>
    <row r="21" spans="2:3" ht="12.75" customHeight="1" x14ac:dyDescent="0.2">
      <c r="B21" s="44"/>
      <c r="C21" s="44"/>
    </row>
    <row r="22" spans="2:3" ht="12.75" customHeight="1" x14ac:dyDescent="0.2">
      <c r="B22" s="44"/>
      <c r="C22" s="44"/>
    </row>
    <row r="23" spans="2:3" ht="12.75" customHeight="1" x14ac:dyDescent="0.2">
      <c r="B23" s="44"/>
      <c r="C23" s="44"/>
    </row>
    <row r="24" spans="2:3" ht="12.75" customHeight="1" x14ac:dyDescent="0.2">
      <c r="B24" s="44"/>
      <c r="C24" s="44"/>
    </row>
    <row r="25" spans="2:3" ht="12.75" customHeight="1" x14ac:dyDescent="0.2">
      <c r="B25" s="44"/>
      <c r="C25" s="44"/>
    </row>
    <row r="26" spans="2:3" ht="12.75" customHeight="1" x14ac:dyDescent="0.2">
      <c r="B26" s="44"/>
      <c r="C26" s="44"/>
    </row>
    <row r="27" spans="2:3" ht="12.75" customHeight="1" x14ac:dyDescent="0.2">
      <c r="B27" s="44"/>
      <c r="C27" s="44"/>
    </row>
    <row r="28" spans="2:3" ht="12.75" customHeight="1" x14ac:dyDescent="0.2">
      <c r="B28" s="44"/>
      <c r="C28" s="44"/>
    </row>
    <row r="29" spans="2:3" ht="12.75" customHeight="1" x14ac:dyDescent="0.2">
      <c r="B29" s="44"/>
      <c r="C29" s="44"/>
    </row>
    <row r="30" spans="2:3" ht="12.75" customHeight="1" x14ac:dyDescent="0.2">
      <c r="B30" s="44"/>
      <c r="C30" s="44"/>
    </row>
    <row r="31" spans="2:3" ht="12.75" customHeight="1" x14ac:dyDescent="0.25">
      <c r="B31" s="12"/>
      <c r="C31" s="12"/>
    </row>
    <row r="32" spans="2:3" ht="12.75" customHeight="1" x14ac:dyDescent="0.25">
      <c r="B32" s="12"/>
      <c r="C32" s="12"/>
    </row>
    <row r="33" spans="2:3" ht="12.75" customHeight="1" x14ac:dyDescent="0.25">
      <c r="B33" s="12"/>
      <c r="C33" s="12"/>
    </row>
    <row r="34" spans="2:3" ht="12.75" customHeight="1" x14ac:dyDescent="0.25">
      <c r="B34" s="12"/>
      <c r="C34" s="12"/>
    </row>
    <row r="35" spans="2:3" ht="12.75" customHeight="1" x14ac:dyDescent="0.25">
      <c r="B35" s="12"/>
      <c r="C35" s="12"/>
    </row>
    <row r="36" spans="2:3" ht="12.75" customHeight="1" x14ac:dyDescent="0.25">
      <c r="B36" s="12"/>
      <c r="C36" s="12"/>
    </row>
    <row r="37" spans="2:3" ht="12.75" customHeight="1" x14ac:dyDescent="0.25">
      <c r="B37" s="12"/>
      <c r="C37" s="12"/>
    </row>
    <row r="38" spans="2:3" ht="12.75" customHeight="1" x14ac:dyDescent="0.25">
      <c r="B38" s="12"/>
      <c r="C38" s="12"/>
    </row>
    <row r="39" spans="2:3" ht="12.75" customHeight="1" x14ac:dyDescent="0.25">
      <c r="B39" s="12"/>
      <c r="C39" s="12"/>
    </row>
    <row r="40" spans="2:3" ht="12.75" customHeight="1" x14ac:dyDescent="0.25">
      <c r="B40" s="12"/>
      <c r="C40" s="12"/>
    </row>
    <row r="41" spans="2:3" ht="12.75" customHeight="1" x14ac:dyDescent="0.25">
      <c r="B41" s="12"/>
      <c r="C41" s="12"/>
    </row>
    <row r="42" spans="2:3" ht="12.75" customHeight="1" x14ac:dyDescent="0.25">
      <c r="B42" s="12"/>
      <c r="C42" s="12"/>
    </row>
    <row r="43" spans="2:3" ht="12.75" customHeight="1" x14ac:dyDescent="0.25">
      <c r="B43" s="12"/>
      <c r="C43" s="12"/>
    </row>
    <row r="44" spans="2:3" ht="12.75" customHeight="1" x14ac:dyDescent="0.25">
      <c r="B44" s="12"/>
      <c r="C44" s="12"/>
    </row>
    <row r="45" spans="2:3" ht="12.75" customHeight="1" x14ac:dyDescent="0.25">
      <c r="B45" s="12"/>
      <c r="C45" s="12"/>
    </row>
    <row r="46" spans="2:3" ht="12.75" customHeight="1" x14ac:dyDescent="0.25">
      <c r="B46" s="12"/>
      <c r="C46" s="12"/>
    </row>
    <row r="47" spans="2:3" ht="12.75" customHeight="1" x14ac:dyDescent="0.25">
      <c r="B47" s="12"/>
      <c r="C47" s="12"/>
    </row>
    <row r="48" spans="2:3" ht="12.75" customHeight="1" x14ac:dyDescent="0.25">
      <c r="B48" s="12"/>
      <c r="C48" s="12"/>
    </row>
    <row r="49" spans="2:3" ht="12.75" customHeight="1" x14ac:dyDescent="0.25">
      <c r="B49" s="12"/>
      <c r="C49" s="12"/>
    </row>
    <row r="50" spans="2:3" ht="12.75" customHeight="1" x14ac:dyDescent="0.25">
      <c r="B50" s="12"/>
      <c r="C50" s="12"/>
    </row>
    <row r="51" spans="2:3" ht="12.75" customHeight="1" x14ac:dyDescent="0.25">
      <c r="B51" s="12"/>
      <c r="C51" s="12"/>
    </row>
    <row r="52" spans="2:3" ht="12.75" customHeight="1" x14ac:dyDescent="0.25">
      <c r="B52" s="12"/>
      <c r="C52" s="12"/>
    </row>
    <row r="53" spans="2:3" ht="12.75" customHeight="1" x14ac:dyDescent="0.25">
      <c r="B53" s="12"/>
      <c r="C53" s="12"/>
    </row>
    <row r="54" spans="2:3" ht="12.75" customHeight="1" x14ac:dyDescent="0.25">
      <c r="B54" s="12"/>
      <c r="C54" s="12"/>
    </row>
    <row r="55" spans="2:3" ht="12.75" customHeight="1" x14ac:dyDescent="0.25">
      <c r="B55" s="12"/>
      <c r="C55" s="12"/>
    </row>
    <row r="56" spans="2:3" ht="12.75" customHeight="1" x14ac:dyDescent="0.25">
      <c r="B56" s="12"/>
      <c r="C56" s="12"/>
    </row>
    <row r="57" spans="2:3" ht="12.75" customHeight="1" x14ac:dyDescent="0.25">
      <c r="B57" s="12"/>
      <c r="C57" s="12"/>
    </row>
    <row r="58" spans="2:3" ht="12.75" customHeight="1" x14ac:dyDescent="0.25">
      <c r="B58" s="12"/>
      <c r="C58" s="12"/>
    </row>
    <row r="59" spans="2:3" ht="12.75" customHeight="1" x14ac:dyDescent="0.25">
      <c r="B59" s="12"/>
      <c r="C59" s="12"/>
    </row>
    <row r="60" spans="2:3" ht="12.75" customHeight="1" x14ac:dyDescent="0.25">
      <c r="B60" s="12"/>
      <c r="C60" s="12"/>
    </row>
    <row r="61" spans="2:3" ht="12.75" customHeight="1" x14ac:dyDescent="0.25">
      <c r="B61" s="12"/>
      <c r="C61" s="12"/>
    </row>
    <row r="62" spans="2:3" ht="12.75" customHeight="1" x14ac:dyDescent="0.25">
      <c r="B62" s="12"/>
      <c r="C62" s="12"/>
    </row>
    <row r="63" spans="2:3" ht="12.75" customHeight="1" x14ac:dyDescent="0.25">
      <c r="B63" s="12"/>
      <c r="C63" s="12"/>
    </row>
    <row r="64" spans="2:3" ht="12.75" customHeight="1" x14ac:dyDescent="0.25">
      <c r="B64" s="12"/>
      <c r="C64" s="12"/>
    </row>
    <row r="65" spans="2:3" ht="12.75" customHeight="1" x14ac:dyDescent="0.25">
      <c r="B65" s="12"/>
      <c r="C65" s="12"/>
    </row>
    <row r="66" spans="2:3" ht="12.75" customHeight="1" x14ac:dyDescent="0.25">
      <c r="B66" s="12"/>
      <c r="C66" s="12"/>
    </row>
    <row r="67" spans="2:3" ht="12.75" customHeight="1" x14ac:dyDescent="0.25">
      <c r="B67" s="12"/>
      <c r="C67" s="12"/>
    </row>
    <row r="68" spans="2:3" ht="12.75" customHeight="1" x14ac:dyDescent="0.25">
      <c r="B68" s="12"/>
      <c r="C68" s="12"/>
    </row>
    <row r="69" spans="2:3" ht="12.75" customHeight="1" x14ac:dyDescent="0.25">
      <c r="B69" s="12"/>
      <c r="C69" s="12"/>
    </row>
    <row r="70" spans="2:3" ht="12.75" customHeight="1" x14ac:dyDescent="0.25">
      <c r="B70" s="12"/>
      <c r="C70" s="12"/>
    </row>
    <row r="71" spans="2:3" ht="12.75" customHeight="1" x14ac:dyDescent="0.25">
      <c r="B71" s="12"/>
      <c r="C71" s="12"/>
    </row>
    <row r="72" spans="2:3" ht="12.75" customHeight="1" x14ac:dyDescent="0.25">
      <c r="B72" s="12"/>
      <c r="C72" s="12"/>
    </row>
    <row r="73" spans="2:3" ht="12.75" customHeight="1" x14ac:dyDescent="0.25">
      <c r="B73" s="12"/>
      <c r="C73" s="12"/>
    </row>
    <row r="74" spans="2:3" ht="12.75" customHeight="1" x14ac:dyDescent="0.25">
      <c r="B74" s="12"/>
      <c r="C74" s="12"/>
    </row>
    <row r="75" spans="2:3" ht="12.75" customHeight="1" x14ac:dyDescent="0.25">
      <c r="B75" s="12"/>
      <c r="C75" s="12"/>
    </row>
    <row r="76" spans="2:3" ht="12.75" customHeight="1" x14ac:dyDescent="0.25">
      <c r="B76" s="12"/>
      <c r="C76" s="12"/>
    </row>
    <row r="77" spans="2:3" ht="12.75" customHeight="1" x14ac:dyDescent="0.25">
      <c r="B77" s="12"/>
      <c r="C77" s="12"/>
    </row>
    <row r="78" spans="2:3" ht="12.75" customHeight="1" x14ac:dyDescent="0.25">
      <c r="B78" s="12"/>
      <c r="C78" s="12"/>
    </row>
    <row r="79" spans="2:3" ht="12.75" customHeight="1" x14ac:dyDescent="0.25">
      <c r="B79" s="12"/>
      <c r="C79" s="12"/>
    </row>
    <row r="80" spans="2:3" ht="12.75" customHeight="1" x14ac:dyDescent="0.25">
      <c r="B80" s="12"/>
      <c r="C80" s="12"/>
    </row>
    <row r="81" spans="2:3" ht="12.75" customHeight="1" x14ac:dyDescent="0.25">
      <c r="B81" s="12"/>
      <c r="C81" s="12"/>
    </row>
    <row r="82" spans="2:3" ht="12.75" customHeight="1" x14ac:dyDescent="0.25">
      <c r="B82" s="12"/>
      <c r="C82" s="12"/>
    </row>
    <row r="83" spans="2:3" ht="12.75" customHeight="1" x14ac:dyDescent="0.25">
      <c r="B83" s="12"/>
      <c r="C83" s="12"/>
    </row>
    <row r="84" spans="2:3" ht="12.75" customHeight="1" x14ac:dyDescent="0.25">
      <c r="B84" s="12"/>
      <c r="C84" s="12"/>
    </row>
    <row r="85" spans="2:3" ht="12.75" customHeight="1" x14ac:dyDescent="0.25">
      <c r="B85" s="12"/>
      <c r="C85" s="12"/>
    </row>
    <row r="86" spans="2:3" ht="12.75" customHeight="1" x14ac:dyDescent="0.25">
      <c r="B86" s="12"/>
      <c r="C86" s="12"/>
    </row>
    <row r="87" spans="2:3" ht="12.75" customHeight="1" x14ac:dyDescent="0.25">
      <c r="B87" s="12"/>
      <c r="C87" s="12"/>
    </row>
    <row r="88" spans="2:3" ht="12.75" customHeight="1" x14ac:dyDescent="0.25">
      <c r="B88" s="12"/>
      <c r="C88" s="12"/>
    </row>
    <row r="89" spans="2:3" ht="12.75" customHeight="1" x14ac:dyDescent="0.25">
      <c r="B89" s="12"/>
      <c r="C89" s="12"/>
    </row>
    <row r="90" spans="2:3" ht="12.75" customHeight="1" x14ac:dyDescent="0.25">
      <c r="B90" s="12"/>
      <c r="C90" s="12"/>
    </row>
    <row r="91" spans="2:3" ht="12.75" customHeight="1" x14ac:dyDescent="0.25">
      <c r="B91" s="12"/>
      <c r="C91" s="12"/>
    </row>
    <row r="92" spans="2:3" ht="12.75" customHeight="1" x14ac:dyDescent="0.25">
      <c r="B92" s="12"/>
      <c r="C92" s="12"/>
    </row>
    <row r="93" spans="2:3" ht="12.75" customHeight="1" x14ac:dyDescent="0.25">
      <c r="B93" s="12"/>
      <c r="C93" s="12"/>
    </row>
    <row r="94" spans="2:3" ht="12.75" customHeight="1" x14ac:dyDescent="0.25">
      <c r="B94" s="12"/>
      <c r="C94" s="12"/>
    </row>
    <row r="95" spans="2:3" ht="12.75" customHeight="1" x14ac:dyDescent="0.25">
      <c r="B95" s="12"/>
      <c r="C95" s="12"/>
    </row>
    <row r="96" spans="2:3" ht="12.75" customHeight="1" x14ac:dyDescent="0.25">
      <c r="B96" s="12"/>
      <c r="C96" s="12"/>
    </row>
    <row r="97" spans="2:3" ht="12.75" customHeight="1" x14ac:dyDescent="0.25">
      <c r="B97" s="12"/>
      <c r="C97" s="12"/>
    </row>
    <row r="98" spans="2:3" ht="12.75" customHeight="1" x14ac:dyDescent="0.25">
      <c r="B98" s="12"/>
      <c r="C98" s="12"/>
    </row>
    <row r="99" spans="2:3" ht="12.75" customHeight="1" x14ac:dyDescent="0.25">
      <c r="B99" s="12"/>
      <c r="C99" s="12"/>
    </row>
    <row r="100" spans="2:3" ht="12.75" customHeight="1" x14ac:dyDescent="0.25">
      <c r="B100" s="12"/>
      <c r="C100" s="12"/>
    </row>
    <row r="101" spans="2:3" ht="12.75" customHeight="1" x14ac:dyDescent="0.25">
      <c r="B101" s="12"/>
      <c r="C101" s="12"/>
    </row>
    <row r="102" spans="2:3" ht="12.75" customHeight="1" x14ac:dyDescent="0.25">
      <c r="B102" s="12"/>
      <c r="C102" s="12"/>
    </row>
    <row r="103" spans="2:3" ht="12.75" customHeight="1" x14ac:dyDescent="0.25">
      <c r="B103" s="12"/>
      <c r="C103" s="12"/>
    </row>
    <row r="104" spans="2:3" ht="12.75" customHeight="1" x14ac:dyDescent="0.25">
      <c r="B104" s="12"/>
      <c r="C104" s="12"/>
    </row>
    <row r="105" spans="2:3" ht="12.75" customHeight="1" x14ac:dyDescent="0.25">
      <c r="B105" s="12"/>
      <c r="C105" s="12"/>
    </row>
    <row r="106" spans="2:3" ht="12.75" customHeight="1" x14ac:dyDescent="0.25">
      <c r="B106" s="12"/>
      <c r="C106" s="12"/>
    </row>
    <row r="107" spans="2:3" ht="12.75" customHeight="1" x14ac:dyDescent="0.25">
      <c r="B107" s="12"/>
      <c r="C107" s="12"/>
    </row>
    <row r="108" spans="2:3" ht="12.75" customHeight="1" x14ac:dyDescent="0.25">
      <c r="B108" s="12"/>
      <c r="C108" s="12"/>
    </row>
    <row r="109" spans="2:3" ht="12.75" customHeight="1" x14ac:dyDescent="0.25">
      <c r="B109" s="12"/>
      <c r="C109" s="12"/>
    </row>
    <row r="110" spans="2:3" ht="12.75" customHeight="1" x14ac:dyDescent="0.25">
      <c r="B110" s="12"/>
      <c r="C110" s="12"/>
    </row>
    <row r="111" spans="2:3" ht="12.75" customHeight="1" x14ac:dyDescent="0.25">
      <c r="B111" s="12"/>
      <c r="C111" s="12"/>
    </row>
    <row r="112" spans="2:3" ht="12.75" customHeight="1" x14ac:dyDescent="0.25">
      <c r="B112" s="12"/>
      <c r="C112" s="12"/>
    </row>
    <row r="113" spans="2:3" ht="12.75" customHeight="1" x14ac:dyDescent="0.25">
      <c r="B113" s="12"/>
      <c r="C113" s="12"/>
    </row>
    <row r="114" spans="2:3" ht="12.75" customHeight="1" x14ac:dyDescent="0.25">
      <c r="B114" s="12"/>
      <c r="C114" s="12"/>
    </row>
    <row r="115" spans="2:3" ht="12.75" customHeight="1" x14ac:dyDescent="0.25">
      <c r="B115" s="12"/>
      <c r="C115" s="12"/>
    </row>
    <row r="116" spans="2:3" ht="12.75" customHeight="1" x14ac:dyDescent="0.25">
      <c r="B116" s="12"/>
      <c r="C116" s="12"/>
    </row>
    <row r="117" spans="2:3" ht="12.75" customHeight="1" x14ac:dyDescent="0.25">
      <c r="B117" s="12"/>
      <c r="C117" s="12"/>
    </row>
    <row r="118" spans="2:3" ht="12.75" customHeight="1" x14ac:dyDescent="0.25">
      <c r="B118" s="12"/>
      <c r="C118" s="12"/>
    </row>
    <row r="119" spans="2:3" ht="12.75" customHeight="1" x14ac:dyDescent="0.25">
      <c r="B119" s="12"/>
      <c r="C119" s="12"/>
    </row>
    <row r="120" spans="2:3" ht="12.75" customHeight="1" x14ac:dyDescent="0.25">
      <c r="B120" s="12"/>
      <c r="C120" s="12"/>
    </row>
    <row r="121" spans="2:3" ht="12.75" customHeight="1" x14ac:dyDescent="0.25">
      <c r="B121" s="12"/>
      <c r="C121" s="12"/>
    </row>
    <row r="122" spans="2:3" ht="12.75" customHeight="1" x14ac:dyDescent="0.25">
      <c r="B122" s="12"/>
      <c r="C122" s="12"/>
    </row>
    <row r="123" spans="2:3" ht="12.75" customHeight="1" x14ac:dyDescent="0.25">
      <c r="B123" s="12"/>
      <c r="C123" s="12"/>
    </row>
    <row r="124" spans="2:3" ht="12.75" customHeight="1" x14ac:dyDescent="0.25">
      <c r="B124" s="12"/>
      <c r="C124" s="12"/>
    </row>
    <row r="125" spans="2:3" ht="12.75" customHeight="1" x14ac:dyDescent="0.25">
      <c r="B125" s="12"/>
      <c r="C125" s="12"/>
    </row>
    <row r="126" spans="2:3" ht="12.75" customHeight="1" x14ac:dyDescent="0.25">
      <c r="B126" s="12"/>
      <c r="C126" s="12"/>
    </row>
    <row r="127" spans="2:3" ht="12.75" customHeight="1" x14ac:dyDescent="0.25">
      <c r="B127" s="12"/>
      <c r="C127" s="12"/>
    </row>
    <row r="128" spans="2:3" ht="12.75" customHeight="1" x14ac:dyDescent="0.25">
      <c r="B128" s="12"/>
      <c r="C128" s="12"/>
    </row>
    <row r="129" spans="2:3" ht="12.75" customHeight="1" x14ac:dyDescent="0.25">
      <c r="B129" s="12"/>
      <c r="C129" s="12"/>
    </row>
    <row r="130" spans="2:3" ht="12.75" customHeight="1" x14ac:dyDescent="0.25">
      <c r="B130" s="12"/>
      <c r="C130" s="12"/>
    </row>
    <row r="131" spans="2:3" ht="12.75" customHeight="1" x14ac:dyDescent="0.25">
      <c r="B131" s="12"/>
      <c r="C131" s="12"/>
    </row>
    <row r="132" spans="2:3" ht="12.75" customHeight="1" x14ac:dyDescent="0.25">
      <c r="B132" s="12"/>
      <c r="C132" s="12"/>
    </row>
    <row r="133" spans="2:3" ht="12.75" customHeight="1" x14ac:dyDescent="0.25">
      <c r="B133" s="12"/>
      <c r="C133" s="12"/>
    </row>
    <row r="134" spans="2:3" ht="12.75" customHeight="1" x14ac:dyDescent="0.25">
      <c r="B134" s="12"/>
      <c r="C134" s="12"/>
    </row>
    <row r="135" spans="2:3" ht="12.75" customHeight="1" x14ac:dyDescent="0.25">
      <c r="B135" s="12"/>
      <c r="C135" s="12"/>
    </row>
    <row r="136" spans="2:3" ht="12.75" customHeight="1" x14ac:dyDescent="0.25">
      <c r="B136" s="12"/>
      <c r="C136" s="12"/>
    </row>
    <row r="137" spans="2:3" ht="12.75" customHeight="1" x14ac:dyDescent="0.25">
      <c r="B137" s="12"/>
      <c r="C137" s="12"/>
    </row>
    <row r="138" spans="2:3" ht="12.75" customHeight="1" x14ac:dyDescent="0.25">
      <c r="B138" s="12"/>
      <c r="C138" s="12"/>
    </row>
    <row r="139" spans="2:3" ht="12.75" customHeight="1" x14ac:dyDescent="0.25">
      <c r="B139" s="12"/>
      <c r="C139" s="12"/>
    </row>
    <row r="140" spans="2:3" ht="12.75" customHeight="1" x14ac:dyDescent="0.25">
      <c r="B140" s="12"/>
      <c r="C140" s="12"/>
    </row>
    <row r="141" spans="2:3" ht="12.75" customHeight="1" x14ac:dyDescent="0.25">
      <c r="B141" s="12"/>
      <c r="C141" s="12"/>
    </row>
    <row r="142" spans="2:3" ht="12.75" customHeight="1" x14ac:dyDescent="0.25">
      <c r="B142" s="12"/>
      <c r="C142" s="12"/>
    </row>
    <row r="143" spans="2:3" ht="12.75" customHeight="1" x14ac:dyDescent="0.25">
      <c r="B143" s="12"/>
      <c r="C143" s="12"/>
    </row>
    <row r="144" spans="2:3" ht="12.75" customHeight="1" x14ac:dyDescent="0.25">
      <c r="B144" s="12"/>
      <c r="C144" s="12"/>
    </row>
    <row r="145" spans="2:3" ht="12.75" customHeight="1" x14ac:dyDescent="0.25">
      <c r="B145" s="12"/>
      <c r="C145" s="12"/>
    </row>
    <row r="146" spans="2:3" ht="12.75" customHeight="1" x14ac:dyDescent="0.25">
      <c r="B146" s="12"/>
      <c r="C146" s="12"/>
    </row>
    <row r="147" spans="2:3" ht="12.75" customHeight="1" x14ac:dyDescent="0.25">
      <c r="B147" s="12"/>
      <c r="C147" s="12"/>
    </row>
    <row r="148" spans="2:3" ht="12.75" customHeight="1" x14ac:dyDescent="0.25">
      <c r="B148" s="12"/>
      <c r="C148" s="12"/>
    </row>
    <row r="149" spans="2:3" ht="12.75" customHeight="1" x14ac:dyDescent="0.25">
      <c r="B149" s="12"/>
      <c r="C149" s="12"/>
    </row>
    <row r="150" spans="2:3" ht="12.75" customHeight="1" x14ac:dyDescent="0.25">
      <c r="B150" s="12"/>
      <c r="C150" s="12"/>
    </row>
    <row r="151" spans="2:3" ht="12.75" customHeight="1" x14ac:dyDescent="0.25">
      <c r="B151" s="12"/>
      <c r="C151" s="12"/>
    </row>
    <row r="152" spans="2:3" ht="12.75" customHeight="1" x14ac:dyDescent="0.25">
      <c r="B152" s="12"/>
      <c r="C152" s="12"/>
    </row>
    <row r="153" spans="2:3" ht="12.75" customHeight="1" x14ac:dyDescent="0.25">
      <c r="B153" s="12"/>
      <c r="C153" s="12"/>
    </row>
    <row r="154" spans="2:3" ht="12.75" customHeight="1" x14ac:dyDescent="0.25">
      <c r="B154" s="12"/>
      <c r="C154" s="12"/>
    </row>
    <row r="155" spans="2:3" ht="12.75" customHeight="1" x14ac:dyDescent="0.25">
      <c r="B155" s="12"/>
      <c r="C155" s="12"/>
    </row>
    <row r="156" spans="2:3" ht="12.75" customHeight="1" x14ac:dyDescent="0.25">
      <c r="B156" s="12"/>
      <c r="C156" s="12"/>
    </row>
    <row r="157" spans="2:3" ht="12.75" customHeight="1" x14ac:dyDescent="0.25">
      <c r="B157" s="12"/>
      <c r="C157" s="12"/>
    </row>
    <row r="158" spans="2:3" ht="12.75" customHeight="1" x14ac:dyDescent="0.25">
      <c r="B158" s="12"/>
      <c r="C158" s="12"/>
    </row>
    <row r="159" spans="2:3" ht="12.75" customHeight="1" x14ac:dyDescent="0.25">
      <c r="B159" s="12"/>
      <c r="C159" s="12"/>
    </row>
    <row r="160" spans="2:3" ht="12.75" customHeight="1" x14ac:dyDescent="0.25">
      <c r="B160" s="12"/>
      <c r="C160" s="12"/>
    </row>
    <row r="161" spans="2:3" ht="12.75" customHeight="1" x14ac:dyDescent="0.25">
      <c r="B161" s="12"/>
      <c r="C161" s="12"/>
    </row>
    <row r="162" spans="2:3" ht="12.75" customHeight="1" x14ac:dyDescent="0.25">
      <c r="B162" s="12"/>
      <c r="C162" s="12"/>
    </row>
    <row r="163" spans="2:3" ht="12.75" customHeight="1" x14ac:dyDescent="0.25">
      <c r="B163" s="12"/>
      <c r="C163" s="12"/>
    </row>
    <row r="164" spans="2:3" ht="12.75" customHeight="1" x14ac:dyDescent="0.25">
      <c r="B164" s="12"/>
      <c r="C164" s="12"/>
    </row>
    <row r="165" spans="2:3" ht="12.75" customHeight="1" x14ac:dyDescent="0.25">
      <c r="B165" s="12"/>
      <c r="C165" s="12"/>
    </row>
    <row r="166" spans="2:3" ht="12.75" customHeight="1" x14ac:dyDescent="0.25">
      <c r="B166" s="12"/>
      <c r="C166" s="12"/>
    </row>
    <row r="167" spans="2:3" ht="12.75" customHeight="1" x14ac:dyDescent="0.25">
      <c r="B167" s="12"/>
      <c r="C167" s="12"/>
    </row>
    <row r="168" spans="2:3" ht="12.75" customHeight="1" x14ac:dyDescent="0.25">
      <c r="B168" s="12"/>
      <c r="C168" s="12"/>
    </row>
    <row r="169" spans="2:3" ht="12.75" customHeight="1" x14ac:dyDescent="0.25">
      <c r="B169" s="12"/>
      <c r="C169" s="12"/>
    </row>
    <row r="170" spans="2:3" ht="12.75" customHeight="1" x14ac:dyDescent="0.25">
      <c r="B170" s="12"/>
      <c r="C170" s="12"/>
    </row>
    <row r="171" spans="2:3" ht="12.75" customHeight="1" x14ac:dyDescent="0.25">
      <c r="B171" s="12"/>
      <c r="C171" s="12"/>
    </row>
    <row r="172" spans="2:3" ht="12.75" customHeight="1" x14ac:dyDescent="0.25">
      <c r="B172" s="12"/>
      <c r="C172" s="12"/>
    </row>
    <row r="173" spans="2:3" ht="12.75" customHeight="1" x14ac:dyDescent="0.25">
      <c r="B173" s="12"/>
      <c r="C173" s="12"/>
    </row>
    <row r="174" spans="2:3" ht="12.75" customHeight="1" x14ac:dyDescent="0.25">
      <c r="B174" s="12"/>
      <c r="C174" s="12"/>
    </row>
    <row r="175" spans="2:3" ht="12.75" customHeight="1" x14ac:dyDescent="0.25">
      <c r="B175" s="12"/>
      <c r="C175" s="12"/>
    </row>
    <row r="176" spans="2:3" ht="12.75" customHeight="1" x14ac:dyDescent="0.25">
      <c r="B176" s="12"/>
      <c r="C176" s="12"/>
    </row>
    <row r="177" spans="2:3" ht="12.75" customHeight="1" x14ac:dyDescent="0.25">
      <c r="B177" s="12"/>
      <c r="C177" s="12"/>
    </row>
    <row r="178" spans="2:3" ht="12.75" customHeight="1" x14ac:dyDescent="0.25">
      <c r="B178" s="12"/>
      <c r="C178" s="12"/>
    </row>
    <row r="179" spans="2:3" ht="12.75" customHeight="1" x14ac:dyDescent="0.25">
      <c r="B179" s="12"/>
      <c r="C179" s="12"/>
    </row>
    <row r="180" spans="2:3" ht="12.75" customHeight="1" x14ac:dyDescent="0.25">
      <c r="B180" s="12"/>
      <c r="C180" s="12"/>
    </row>
    <row r="181" spans="2:3" ht="12.75" customHeight="1" x14ac:dyDescent="0.25">
      <c r="B181" s="12"/>
      <c r="C181" s="12"/>
    </row>
    <row r="182" spans="2:3" ht="12.75" customHeight="1" x14ac:dyDescent="0.25">
      <c r="B182" s="12"/>
      <c r="C182" s="12"/>
    </row>
    <row r="183" spans="2:3" ht="12.75" customHeight="1" x14ac:dyDescent="0.25">
      <c r="B183" s="12"/>
      <c r="C183" s="12"/>
    </row>
    <row r="184" spans="2:3" ht="12.75" customHeight="1" x14ac:dyDescent="0.25">
      <c r="B184" s="12"/>
      <c r="C184" s="12"/>
    </row>
    <row r="185" spans="2:3" ht="12.75" customHeight="1" x14ac:dyDescent="0.25">
      <c r="B185" s="12"/>
      <c r="C185" s="12"/>
    </row>
    <row r="186" spans="2:3" ht="12.75" customHeight="1" x14ac:dyDescent="0.25">
      <c r="B186" s="12"/>
      <c r="C186" s="12"/>
    </row>
    <row r="187" spans="2:3" ht="12.75" customHeight="1" x14ac:dyDescent="0.25">
      <c r="B187" s="12"/>
      <c r="C187" s="12"/>
    </row>
    <row r="188" spans="2:3" ht="12.75" customHeight="1" x14ac:dyDescent="0.25">
      <c r="B188" s="12"/>
      <c r="C188" s="12"/>
    </row>
    <row r="189" spans="2:3" ht="12.75" customHeight="1" x14ac:dyDescent="0.25">
      <c r="B189" s="12"/>
      <c r="C189" s="12"/>
    </row>
    <row r="190" spans="2:3" ht="12.75" customHeight="1" x14ac:dyDescent="0.25">
      <c r="B190" s="12"/>
      <c r="C190" s="12"/>
    </row>
    <row r="191" spans="2:3" ht="12.75" customHeight="1" x14ac:dyDescent="0.25">
      <c r="B191" s="12"/>
      <c r="C191" s="12"/>
    </row>
    <row r="192" spans="2:3" ht="12.75" customHeight="1" x14ac:dyDescent="0.25">
      <c r="B192" s="12"/>
      <c r="C192" s="12"/>
    </row>
    <row r="193" spans="2:3" ht="12.75" customHeight="1" x14ac:dyDescent="0.25">
      <c r="B193" s="12"/>
      <c r="C193" s="12"/>
    </row>
    <row r="194" spans="2:3" ht="12.75" customHeight="1" x14ac:dyDescent="0.25">
      <c r="B194" s="12"/>
      <c r="C194" s="12"/>
    </row>
    <row r="195" spans="2:3" ht="12.75" customHeight="1" x14ac:dyDescent="0.25">
      <c r="B195" s="12"/>
      <c r="C195" s="12"/>
    </row>
    <row r="196" spans="2:3" ht="12.75" customHeight="1" x14ac:dyDescent="0.25">
      <c r="B196" s="12"/>
      <c r="C196" s="12"/>
    </row>
    <row r="197" spans="2:3" ht="12.75" customHeight="1" x14ac:dyDescent="0.2"/>
    <row r="198" spans="2:3" ht="12.75" customHeight="1" x14ac:dyDescent="0.2"/>
    <row r="199" spans="2:3" ht="12.75" customHeight="1" x14ac:dyDescent="0.2"/>
    <row r="200" spans="2:3" ht="12.75" customHeight="1" x14ac:dyDescent="0.2"/>
    <row r="201" spans="2:3" ht="12.75" customHeight="1" x14ac:dyDescent="0.2"/>
    <row r="202" spans="2:3" ht="12.75" customHeight="1" x14ac:dyDescent="0.2"/>
    <row r="203" spans="2:3" ht="12.75" customHeight="1" x14ac:dyDescent="0.2"/>
    <row r="204" spans="2:3" ht="12.75" customHeight="1" x14ac:dyDescent="0.2"/>
    <row r="205" spans="2:3" ht="12.75" customHeight="1" x14ac:dyDescent="0.2"/>
    <row r="206" spans="2:3" ht="12.75" customHeight="1" x14ac:dyDescent="0.2"/>
    <row r="207" spans="2:3" ht="12.75" customHeight="1" x14ac:dyDescent="0.2"/>
    <row r="208" spans="2:3"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autoFilter ref="A2:K31" xr:uid="{00000000-0009-0000-0000-000004000000}"/>
  <conditionalFormatting sqref="K3:K30">
    <cfRule type="cellIs" dxfId="5" priority="1" operator="between">
      <formula>80</formula>
      <formula>100</formula>
    </cfRule>
  </conditionalFormatting>
  <conditionalFormatting sqref="K3:K30">
    <cfRule type="cellIs" dxfId="4" priority="2" operator="between">
      <formula>2</formula>
      <formula>59</formula>
    </cfRule>
  </conditionalFormatting>
  <conditionalFormatting sqref="K3:K30">
    <cfRule type="cellIs" dxfId="3" priority="3" operator="between">
      <formula>60</formula>
      <formula>79</formula>
    </cfRule>
  </conditionalFormatting>
  <conditionalFormatting sqref="M1:M1000">
    <cfRule type="containsText" dxfId="2" priority="4" operator="containsText" text="POCO CONFIABLE">
      <formula>NOT(ISERROR(SEARCH(("POCO CONFIABLE"),(M1))))</formula>
    </cfRule>
  </conditionalFormatting>
  <conditionalFormatting sqref="M1:M1000">
    <cfRule type="containsText" dxfId="1" priority="5" operator="containsText" text="EN DESARROLLO">
      <formula>NOT(ISERROR(SEARCH(("EN DESARROLLO"),(M1))))</formula>
    </cfRule>
  </conditionalFormatting>
  <conditionalFormatting sqref="M1:M1000">
    <cfRule type="containsText" dxfId="0" priority="6" operator="containsText" text="CONFIABLE">
      <formula>NOT(ISERROR(SEARCH(("CONFIABLE"),(M1))))</formula>
    </cfRule>
  </conditionalFormatting>
  <pageMargins left="0.7" right="0.7" top="0.75" bottom="0.75" header="0" footer="0"/>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1000"/>
  <sheetViews>
    <sheetView workbookViewId="0">
      <selection activeCell="B13" sqref="B13"/>
    </sheetView>
  </sheetViews>
  <sheetFormatPr baseColWidth="10" defaultColWidth="14.42578125" defaultRowHeight="15" customHeight="1" x14ac:dyDescent="0.2"/>
  <cols>
    <col min="1" max="1" width="36.85546875" customWidth="1"/>
    <col min="2" max="2" width="37.42578125" customWidth="1"/>
    <col min="3" max="6" width="49.42578125" customWidth="1"/>
    <col min="7" max="26" width="10.7109375" customWidth="1"/>
  </cols>
  <sheetData>
    <row r="1" spans="1:2" ht="12.75" customHeight="1" x14ac:dyDescent="0.2"/>
    <row r="2" spans="1:2" ht="12.75" customHeight="1" x14ac:dyDescent="0.2">
      <c r="A2" s="61" t="s">
        <v>8</v>
      </c>
      <c r="B2" s="60" t="s">
        <v>84</v>
      </c>
    </row>
    <row r="3" spans="1:2" ht="12.75" customHeight="1" x14ac:dyDescent="0.2"/>
    <row r="4" spans="1:2" ht="12.75" customHeight="1" x14ac:dyDescent="0.2">
      <c r="A4" s="57" t="s">
        <v>4</v>
      </c>
      <c r="B4" s="58" t="s">
        <v>85</v>
      </c>
    </row>
    <row r="5" spans="1:2" ht="12.75" customHeight="1" x14ac:dyDescent="0.2">
      <c r="A5" s="62" t="s">
        <v>84</v>
      </c>
      <c r="B5" s="114"/>
    </row>
    <row r="6" spans="1:2" ht="12.75" customHeight="1" x14ac:dyDescent="0.2">
      <c r="A6" s="59" t="s">
        <v>86</v>
      </c>
      <c r="B6" s="113"/>
    </row>
    <row r="7" spans="1:2" ht="12.75" customHeight="1" x14ac:dyDescent="0.2"/>
    <row r="8" spans="1:2" ht="12.75" customHeight="1" x14ac:dyDescent="0.2"/>
    <row r="9" spans="1:2" ht="12.75" customHeight="1" x14ac:dyDescent="0.2"/>
    <row r="10" spans="1:2" ht="12.75" customHeight="1" x14ac:dyDescent="0.2"/>
    <row r="11" spans="1:2" ht="12.75" customHeight="1" x14ac:dyDescent="0.2"/>
    <row r="12" spans="1:2" ht="12.75" customHeight="1" x14ac:dyDescent="0.2"/>
    <row r="13" spans="1:2" ht="12.75" customHeight="1" x14ac:dyDescent="0.2"/>
    <row r="14" spans="1:2" ht="12.75" customHeight="1" x14ac:dyDescent="0.2"/>
    <row r="15" spans="1:2" ht="12.75" customHeight="1" x14ac:dyDescent="0.2"/>
    <row r="16" spans="1:2" ht="12.75" customHeight="1" x14ac:dyDescent="0.2"/>
    <row r="17" spans="1:2" ht="12.75" customHeight="1" x14ac:dyDescent="0.2"/>
    <row r="18" spans="1:2" ht="12.75" customHeight="1" x14ac:dyDescent="0.2"/>
    <row r="19" spans="1:2" ht="12.75" customHeight="1" x14ac:dyDescent="0.2"/>
    <row r="20" spans="1:2" ht="12.75" customHeight="1" x14ac:dyDescent="0.2"/>
    <row r="21" spans="1:2" ht="12.75" customHeight="1" x14ac:dyDescent="0.2"/>
    <row r="22" spans="1:2" ht="12.75" customHeight="1" x14ac:dyDescent="0.2"/>
    <row r="23" spans="1:2" ht="12.75" customHeight="1" x14ac:dyDescent="0.2"/>
    <row r="24" spans="1:2" ht="12.75" customHeight="1" x14ac:dyDescent="0.2"/>
    <row r="25" spans="1:2" ht="12.75" customHeight="1" x14ac:dyDescent="0.2"/>
    <row r="26" spans="1:2" ht="12.75" customHeight="1" x14ac:dyDescent="0.2"/>
    <row r="27" spans="1:2" ht="12.75" customHeight="1" x14ac:dyDescent="0.2"/>
    <row r="28" spans="1:2" ht="12.75" customHeight="1" x14ac:dyDescent="0.2">
      <c r="A28" s="61" t="s">
        <v>8</v>
      </c>
      <c r="B28" s="60" t="s">
        <v>84</v>
      </c>
    </row>
    <row r="29" spans="1:2" ht="12.75" customHeight="1" x14ac:dyDescent="0.2"/>
    <row r="30" spans="1:2" ht="12.75" customHeight="1" x14ac:dyDescent="0.2">
      <c r="A30" s="57" t="s">
        <v>4</v>
      </c>
      <c r="B30" s="58" t="s">
        <v>87</v>
      </c>
    </row>
    <row r="31" spans="1:2" ht="12.75" customHeight="1" x14ac:dyDescent="0.2">
      <c r="A31" s="62" t="s">
        <v>84</v>
      </c>
      <c r="B31" s="114"/>
    </row>
    <row r="32" spans="1:2" ht="12.75" customHeight="1" x14ac:dyDescent="0.2">
      <c r="A32" s="59" t="s">
        <v>86</v>
      </c>
      <c r="B32" s="113"/>
    </row>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spans="1:2" ht="12.75" customHeight="1" x14ac:dyDescent="0.2"/>
    <row r="50" spans="1:2" ht="12.75" customHeight="1" x14ac:dyDescent="0.2">
      <c r="A50" s="61" t="s">
        <v>83</v>
      </c>
      <c r="B50" s="60" t="s">
        <v>88</v>
      </c>
    </row>
    <row r="51" spans="1:2" ht="12.75" customHeight="1" x14ac:dyDescent="0.2"/>
    <row r="52" spans="1:2" ht="12.75" customHeight="1" x14ac:dyDescent="0.2">
      <c r="A52" s="57" t="s">
        <v>4</v>
      </c>
      <c r="B52" s="58" t="s">
        <v>85</v>
      </c>
    </row>
    <row r="53" spans="1:2" ht="12.75" customHeight="1" x14ac:dyDescent="0.2">
      <c r="A53" s="59" t="s">
        <v>86</v>
      </c>
      <c r="B53" s="113"/>
    </row>
    <row r="54" spans="1:2" ht="12.75" customHeight="1" x14ac:dyDescent="0.2"/>
    <row r="55" spans="1:2" ht="12.75" customHeight="1" x14ac:dyDescent="0.2"/>
    <row r="56" spans="1:2" ht="12.75" customHeight="1" x14ac:dyDescent="0.2"/>
    <row r="57" spans="1:2" ht="12.75" customHeight="1" x14ac:dyDescent="0.2"/>
    <row r="58" spans="1:2" ht="12.75" customHeight="1" x14ac:dyDescent="0.2"/>
    <row r="59" spans="1:2" ht="12.75" customHeight="1" x14ac:dyDescent="0.2">
      <c r="B59" s="7">
        <f>3.5*500</f>
        <v>1750</v>
      </c>
    </row>
    <row r="60" spans="1:2" ht="12.75" customHeight="1" x14ac:dyDescent="0.2"/>
    <row r="61" spans="1:2" ht="12.75" customHeight="1" x14ac:dyDescent="0.2"/>
    <row r="62" spans="1:2" ht="12.75" customHeight="1" x14ac:dyDescent="0.2"/>
    <row r="63" spans="1:2" ht="12.75" customHeight="1" x14ac:dyDescent="0.2"/>
    <row r="64" spans="1:2" ht="12.75" customHeight="1" x14ac:dyDescent="0.2"/>
    <row r="65" spans="1:2" ht="12.75" customHeight="1" x14ac:dyDescent="0.2">
      <c r="A65" s="7">
        <f>20*25</f>
        <v>500</v>
      </c>
      <c r="B65" s="7">
        <v>2000</v>
      </c>
    </row>
    <row r="66" spans="1:2" ht="12.75" customHeight="1" x14ac:dyDescent="0.2"/>
    <row r="67" spans="1:2" ht="12.75" customHeight="1" x14ac:dyDescent="0.2"/>
    <row r="68" spans="1:2" ht="12.75" customHeight="1" x14ac:dyDescent="0.2"/>
    <row r="69" spans="1:2" ht="12.75" customHeight="1" x14ac:dyDescent="0.2"/>
    <row r="70" spans="1:2" ht="12.75" customHeight="1" x14ac:dyDescent="0.2"/>
    <row r="71" spans="1:2" ht="12.75" customHeight="1" x14ac:dyDescent="0.2"/>
    <row r="72" spans="1:2" ht="12.75" customHeight="1" x14ac:dyDescent="0.2"/>
    <row r="73" spans="1:2" ht="12.75" customHeight="1" x14ac:dyDescent="0.2"/>
    <row r="74" spans="1:2" ht="12.75" customHeight="1" x14ac:dyDescent="0.2"/>
    <row r="75" spans="1:2" ht="12.75" customHeight="1" x14ac:dyDescent="0.2"/>
    <row r="76" spans="1:2" ht="12.75" customHeight="1" x14ac:dyDescent="0.2"/>
    <row r="77" spans="1:2" ht="12.75" customHeight="1" x14ac:dyDescent="0.2"/>
    <row r="78" spans="1:2" ht="12.75" customHeight="1" x14ac:dyDescent="0.2"/>
    <row r="79" spans="1:2" ht="12.75" customHeight="1" x14ac:dyDescent="0.2"/>
    <row r="80" spans="1:2"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pageMargins left="0.7" right="0.7" top="0.75" bottom="0.75" header="0" footer="0"/>
  <pageSetup orientation="landscape"/>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ummaryRight="0"/>
  </sheetPr>
  <dimension ref="B1:G1000"/>
  <sheetViews>
    <sheetView workbookViewId="0">
      <selection activeCell="D28" sqref="D28"/>
    </sheetView>
  </sheetViews>
  <sheetFormatPr baseColWidth="10" defaultColWidth="14.42578125" defaultRowHeight="15" customHeight="1" x14ac:dyDescent="0.2"/>
  <cols>
    <col min="1" max="1" width="14.42578125" customWidth="1"/>
    <col min="2" max="2" width="62" customWidth="1"/>
    <col min="3" max="3" width="14.42578125" customWidth="1"/>
    <col min="4" max="4" width="26.85546875" customWidth="1"/>
    <col min="5" max="6" width="14.42578125" customWidth="1"/>
  </cols>
  <sheetData>
    <row r="1" spans="2:7" ht="15.75" customHeight="1" x14ac:dyDescent="0.2"/>
    <row r="2" spans="2:7" ht="15.75" customHeight="1" x14ac:dyDescent="0.2">
      <c r="B2" s="56" t="s">
        <v>4</v>
      </c>
      <c r="C2" s="56" t="s">
        <v>6</v>
      </c>
      <c r="D2" s="56" t="s">
        <v>2</v>
      </c>
      <c r="E2" s="56" t="s">
        <v>8</v>
      </c>
      <c r="G2" s="56" t="s">
        <v>89</v>
      </c>
    </row>
    <row r="3" spans="2:7" ht="15.75" customHeight="1" x14ac:dyDescent="0.25">
      <c r="B3" s="12" t="s">
        <v>5</v>
      </c>
      <c r="C3" s="7" t="s">
        <v>7</v>
      </c>
      <c r="D3" s="7" t="s">
        <v>90</v>
      </c>
      <c r="E3" s="7" t="s">
        <v>9</v>
      </c>
      <c r="G3" s="7" t="s">
        <v>3</v>
      </c>
    </row>
    <row r="4" spans="2:7" ht="15.75" customHeight="1" x14ac:dyDescent="0.25">
      <c r="B4" s="12" t="s">
        <v>91</v>
      </c>
      <c r="C4" s="7" t="s">
        <v>92</v>
      </c>
      <c r="D4" s="7" t="s">
        <v>3</v>
      </c>
      <c r="E4" s="7" t="s">
        <v>93</v>
      </c>
    </row>
    <row r="5" spans="2:7" ht="15.75" customHeight="1" x14ac:dyDescent="0.25">
      <c r="B5" s="12" t="s">
        <v>94</v>
      </c>
      <c r="D5" s="7" t="s">
        <v>95</v>
      </c>
      <c r="E5" s="7" t="s">
        <v>96</v>
      </c>
      <c r="G5" s="7"/>
    </row>
    <row r="6" spans="2:7" ht="15.75" customHeight="1" x14ac:dyDescent="0.25">
      <c r="B6" s="12" t="s">
        <v>97</v>
      </c>
      <c r="D6" s="7"/>
      <c r="E6" s="7" t="s">
        <v>98</v>
      </c>
    </row>
    <row r="7" spans="2:7" ht="15.75" customHeight="1" x14ac:dyDescent="0.25">
      <c r="B7" s="12" t="s">
        <v>99</v>
      </c>
      <c r="E7" s="7" t="s">
        <v>100</v>
      </c>
    </row>
    <row r="8" spans="2:7" ht="15.75" customHeight="1" x14ac:dyDescent="0.25">
      <c r="B8" s="12" t="s">
        <v>101</v>
      </c>
      <c r="E8" s="7" t="s">
        <v>102</v>
      </c>
    </row>
    <row r="9" spans="2:7" ht="15.75" customHeight="1" x14ac:dyDescent="0.25">
      <c r="B9" s="12" t="s">
        <v>103</v>
      </c>
      <c r="E9" s="7" t="s">
        <v>104</v>
      </c>
    </row>
    <row r="10" spans="2:7" ht="15.75" customHeight="1" x14ac:dyDescent="0.25">
      <c r="B10" s="12" t="s">
        <v>105</v>
      </c>
      <c r="E10" s="7" t="s">
        <v>106</v>
      </c>
    </row>
    <row r="11" spans="2:7" ht="15.75" customHeight="1" x14ac:dyDescent="0.25">
      <c r="B11" s="12" t="s">
        <v>107</v>
      </c>
      <c r="E11" s="7" t="s">
        <v>108</v>
      </c>
    </row>
    <row r="12" spans="2:7" ht="15.75" customHeight="1" x14ac:dyDescent="0.25">
      <c r="B12" s="12" t="s">
        <v>109</v>
      </c>
      <c r="E12" s="7" t="s">
        <v>110</v>
      </c>
    </row>
    <row r="13" spans="2:7" ht="15.75" customHeight="1" x14ac:dyDescent="0.25">
      <c r="B13" s="12" t="s">
        <v>111</v>
      </c>
      <c r="E13" s="7" t="s">
        <v>112</v>
      </c>
    </row>
    <row r="14" spans="2:7" ht="15.75" customHeight="1" x14ac:dyDescent="0.25">
      <c r="B14" s="12" t="s">
        <v>113</v>
      </c>
      <c r="E14" s="7" t="s">
        <v>114</v>
      </c>
    </row>
    <row r="15" spans="2:7" ht="15.75" customHeight="1" x14ac:dyDescent="0.25">
      <c r="B15" s="12" t="s">
        <v>115</v>
      </c>
    </row>
    <row r="16" spans="2:7" ht="15.75" customHeight="1" x14ac:dyDescent="0.25">
      <c r="B16" s="12" t="s">
        <v>116</v>
      </c>
    </row>
    <row r="17" spans="2:2" ht="15.75" customHeight="1" x14ac:dyDescent="0.25">
      <c r="B17" s="12" t="s">
        <v>117</v>
      </c>
    </row>
    <row r="18" spans="2:2" ht="15.75" customHeight="1" x14ac:dyDescent="0.25">
      <c r="B18" s="12" t="s">
        <v>118</v>
      </c>
    </row>
    <row r="19" spans="2:2" ht="15.75" customHeight="1" x14ac:dyDescent="0.25">
      <c r="B19" s="12" t="s">
        <v>119</v>
      </c>
    </row>
    <row r="20" spans="2:2" ht="15.75" customHeight="1" x14ac:dyDescent="0.25">
      <c r="B20" s="12" t="s">
        <v>120</v>
      </c>
    </row>
    <row r="21" spans="2:2" ht="15.75" customHeight="1" x14ac:dyDescent="0.25">
      <c r="B21" s="12" t="s">
        <v>121</v>
      </c>
    </row>
    <row r="22" spans="2:2" ht="15.75" customHeight="1" x14ac:dyDescent="0.25">
      <c r="B22" s="12" t="s">
        <v>122</v>
      </c>
    </row>
    <row r="23" spans="2:2" ht="15.75" customHeight="1" x14ac:dyDescent="0.25">
      <c r="B23" s="12" t="s">
        <v>123</v>
      </c>
    </row>
    <row r="24" spans="2:2" ht="15.75" customHeight="1" x14ac:dyDescent="0.25">
      <c r="B24" s="12" t="s">
        <v>124</v>
      </c>
    </row>
    <row r="25" spans="2:2" ht="15.75" customHeight="1" x14ac:dyDescent="0.25">
      <c r="B25" s="12" t="s">
        <v>125</v>
      </c>
    </row>
    <row r="26" spans="2:2" ht="15.75" customHeight="1" x14ac:dyDescent="0.25">
      <c r="B26" s="12" t="s">
        <v>126</v>
      </c>
    </row>
    <row r="27" spans="2:2" ht="15.75" customHeight="1" x14ac:dyDescent="0.25">
      <c r="B27" s="12" t="s">
        <v>127</v>
      </c>
    </row>
    <row r="28" spans="2:2" ht="15.75" customHeight="1" x14ac:dyDescent="0.25">
      <c r="B28" s="12" t="s">
        <v>128</v>
      </c>
    </row>
    <row r="29" spans="2:2" ht="15.75" customHeight="1" x14ac:dyDescent="0.25">
      <c r="B29" s="12" t="s">
        <v>129</v>
      </c>
    </row>
    <row r="30" spans="2:2" ht="15.75" customHeight="1" x14ac:dyDescent="0.25">
      <c r="B30" s="12" t="s">
        <v>130</v>
      </c>
    </row>
    <row r="31" spans="2:2" ht="15.75" customHeight="1" x14ac:dyDescent="0.25">
      <c r="B31" s="12" t="s">
        <v>131</v>
      </c>
    </row>
    <row r="32" spans="2:2" ht="15.75" customHeight="1" x14ac:dyDescent="0.25">
      <c r="B32" s="12" t="s">
        <v>132</v>
      </c>
    </row>
    <row r="33" spans="2:2" ht="15.75" customHeight="1" x14ac:dyDescent="0.25">
      <c r="B33" s="12" t="s">
        <v>133</v>
      </c>
    </row>
    <row r="34" spans="2:2" ht="15.75" customHeight="1" x14ac:dyDescent="0.25">
      <c r="B34" s="12" t="s">
        <v>134</v>
      </c>
    </row>
    <row r="35" spans="2:2" ht="15.75" customHeight="1" x14ac:dyDescent="0.25">
      <c r="B35" s="12" t="s">
        <v>135</v>
      </c>
    </row>
    <row r="36" spans="2:2" ht="15.75" customHeight="1" x14ac:dyDescent="0.25">
      <c r="B36" s="12" t="s">
        <v>136</v>
      </c>
    </row>
    <row r="37" spans="2:2" ht="15.75" customHeight="1" x14ac:dyDescent="0.25">
      <c r="B37" s="12" t="s">
        <v>137</v>
      </c>
    </row>
    <row r="38" spans="2:2" ht="15.75" customHeight="1" x14ac:dyDescent="0.25">
      <c r="B38" s="12" t="s">
        <v>138</v>
      </c>
    </row>
    <row r="39" spans="2:2" ht="15.75" customHeight="1" x14ac:dyDescent="0.25">
      <c r="B39" s="12" t="s">
        <v>139</v>
      </c>
    </row>
    <row r="40" spans="2:2" ht="15.75" customHeight="1" x14ac:dyDescent="0.25">
      <c r="B40" s="12" t="s">
        <v>140</v>
      </c>
    </row>
    <row r="41" spans="2:2" ht="15.75" customHeight="1" x14ac:dyDescent="0.25">
      <c r="B41" s="12" t="s">
        <v>141</v>
      </c>
    </row>
    <row r="42" spans="2:2" ht="15.75" customHeight="1" x14ac:dyDescent="0.25">
      <c r="B42" s="12" t="s">
        <v>142</v>
      </c>
    </row>
    <row r="43" spans="2:2" ht="15.75" customHeight="1" x14ac:dyDescent="0.25">
      <c r="B43" s="12" t="s">
        <v>143</v>
      </c>
    </row>
    <row r="44" spans="2:2" ht="15.75" customHeight="1" x14ac:dyDescent="0.25">
      <c r="B44" s="12" t="s">
        <v>144</v>
      </c>
    </row>
    <row r="45" spans="2:2" ht="15.75" customHeight="1" x14ac:dyDescent="0.25">
      <c r="B45" s="12" t="s">
        <v>145</v>
      </c>
    </row>
    <row r="46" spans="2:2" ht="15.75" customHeight="1" x14ac:dyDescent="0.25">
      <c r="B46" s="12" t="s">
        <v>146</v>
      </c>
    </row>
    <row r="47" spans="2:2" ht="15.75" customHeight="1" x14ac:dyDescent="0.25">
      <c r="B47" s="12" t="s">
        <v>147</v>
      </c>
    </row>
    <row r="48" spans="2:2" ht="15.75" customHeight="1" x14ac:dyDescent="0.25">
      <c r="B48" s="12" t="s">
        <v>148</v>
      </c>
    </row>
    <row r="49" spans="2:2" ht="15.75" customHeight="1" x14ac:dyDescent="0.25">
      <c r="B49" s="12" t="s">
        <v>149</v>
      </c>
    </row>
    <row r="50" spans="2:2" ht="15.75" customHeight="1" x14ac:dyDescent="0.25">
      <c r="B50" s="12" t="s">
        <v>150</v>
      </c>
    </row>
    <row r="51" spans="2:2" ht="15.75" customHeight="1" x14ac:dyDescent="0.25">
      <c r="B51" s="12" t="s">
        <v>151</v>
      </c>
    </row>
    <row r="52" spans="2:2" ht="15.75" customHeight="1" x14ac:dyDescent="0.25">
      <c r="B52" s="12"/>
    </row>
    <row r="53" spans="2:2" ht="15.75" customHeight="1" x14ac:dyDescent="0.25">
      <c r="B53" s="12"/>
    </row>
    <row r="54" spans="2:2" ht="15.75" customHeight="1" x14ac:dyDescent="0.25">
      <c r="B54" s="12"/>
    </row>
    <row r="55" spans="2:2" ht="15.75" customHeight="1" x14ac:dyDescent="0.2"/>
    <row r="56" spans="2:2" ht="15.75" customHeight="1" x14ac:dyDescent="0.25">
      <c r="B56" s="12"/>
    </row>
    <row r="57" spans="2:2" ht="15.75" customHeight="1" x14ac:dyDescent="0.25">
      <c r="B57" s="12"/>
    </row>
    <row r="58" spans="2:2" ht="15.75" customHeight="1" x14ac:dyDescent="0.25">
      <c r="B58" s="12"/>
    </row>
    <row r="59" spans="2:2" ht="15.75" customHeight="1" x14ac:dyDescent="0.2"/>
    <row r="60" spans="2:2" ht="15.75" customHeight="1" x14ac:dyDescent="0.25">
      <c r="B60" s="12"/>
    </row>
    <row r="61" spans="2:2" ht="15.75" customHeight="1" x14ac:dyDescent="0.25">
      <c r="B61" s="12"/>
    </row>
    <row r="62" spans="2:2" ht="15.75" customHeight="1" x14ac:dyDescent="0.25">
      <c r="B62" s="12"/>
    </row>
    <row r="63" spans="2:2" ht="15.75" customHeight="1" x14ac:dyDescent="0.25">
      <c r="B63" s="12"/>
    </row>
    <row r="64" spans="2:2" ht="15.75" customHeight="1" x14ac:dyDescent="0.2"/>
    <row r="65" spans="2:2" ht="15.75" customHeight="1" x14ac:dyDescent="0.25">
      <c r="B65" s="12"/>
    </row>
    <row r="66" spans="2:2" ht="15.75" customHeight="1" x14ac:dyDescent="0.2"/>
    <row r="67" spans="2:2" ht="15.75" customHeight="1" x14ac:dyDescent="0.2"/>
    <row r="68" spans="2:2" ht="15.75" customHeight="1" x14ac:dyDescent="0.25">
      <c r="B68" s="12"/>
    </row>
    <row r="69" spans="2:2" ht="15.75" customHeight="1" x14ac:dyDescent="0.25">
      <c r="B69" s="12"/>
    </row>
    <row r="70" spans="2:2" ht="15.75" customHeight="1" x14ac:dyDescent="0.25">
      <c r="B70" s="12"/>
    </row>
    <row r="71" spans="2:2" ht="15.75" customHeight="1" x14ac:dyDescent="0.25">
      <c r="B71" s="12"/>
    </row>
    <row r="72" spans="2:2" ht="15.75" customHeight="1" x14ac:dyDescent="0.25">
      <c r="B72" s="12"/>
    </row>
    <row r="73" spans="2:2" ht="15.75" customHeight="1" x14ac:dyDescent="0.2"/>
    <row r="74" spans="2:2" ht="15.75" customHeight="1" x14ac:dyDescent="0.2"/>
    <row r="75" spans="2:2" ht="15.75" customHeight="1" x14ac:dyDescent="0.25">
      <c r="B75" s="12"/>
    </row>
    <row r="76" spans="2:2" ht="15.75" customHeight="1" x14ac:dyDescent="0.25">
      <c r="B76" s="12"/>
    </row>
    <row r="77" spans="2:2" ht="15.75" customHeight="1" x14ac:dyDescent="0.25">
      <c r="B77" s="12"/>
    </row>
    <row r="78" spans="2:2" ht="15.75" customHeight="1" x14ac:dyDescent="0.25">
      <c r="B78" s="12"/>
    </row>
    <row r="79" spans="2:2" ht="15.75" customHeight="1" x14ac:dyDescent="0.25">
      <c r="B79" s="12"/>
    </row>
    <row r="80" spans="2:2" ht="15.75" customHeight="1" x14ac:dyDescent="0.25">
      <c r="B80" s="12"/>
    </row>
    <row r="81" spans="2:2" ht="15.75" customHeight="1" x14ac:dyDescent="0.25">
      <c r="B81" s="12"/>
    </row>
    <row r="82" spans="2:2" ht="15.75" customHeight="1" x14ac:dyDescent="0.2"/>
    <row r="83" spans="2:2" ht="15.75" customHeight="1" x14ac:dyDescent="0.2"/>
    <row r="84" spans="2:2" ht="15.75" customHeight="1" x14ac:dyDescent="0.25">
      <c r="B84" s="12"/>
    </row>
    <row r="85" spans="2:2" ht="15.75" customHeight="1" x14ac:dyDescent="0.25">
      <c r="B85" s="12"/>
    </row>
    <row r="86" spans="2:2" ht="15.75" customHeight="1" x14ac:dyDescent="0.25">
      <c r="B86" s="12"/>
    </row>
    <row r="87" spans="2:2" ht="15.75" customHeight="1" x14ac:dyDescent="0.25">
      <c r="B87" s="12"/>
    </row>
    <row r="88" spans="2:2" ht="15.75" customHeight="1" x14ac:dyDescent="0.25">
      <c r="B88" s="12"/>
    </row>
    <row r="89" spans="2:2" ht="15.75" customHeight="1" x14ac:dyDescent="0.25">
      <c r="B89" s="12"/>
    </row>
    <row r="90" spans="2:2" ht="15.75" customHeight="1" x14ac:dyDescent="0.25">
      <c r="B90" s="12"/>
    </row>
    <row r="91" spans="2:2" ht="15.75" customHeight="1" x14ac:dyDescent="0.25">
      <c r="B91" s="12"/>
    </row>
    <row r="92" spans="2:2" ht="15.75" customHeight="1" x14ac:dyDescent="0.25">
      <c r="B92" s="12"/>
    </row>
    <row r="93" spans="2:2" ht="15.75" customHeight="1" x14ac:dyDescent="0.25">
      <c r="B93" s="12"/>
    </row>
    <row r="94" spans="2:2" ht="15.75" customHeight="1" x14ac:dyDescent="0.25">
      <c r="B94" s="12"/>
    </row>
    <row r="95" spans="2:2" ht="15.75" customHeight="1" x14ac:dyDescent="0.25">
      <c r="B95" s="12"/>
    </row>
    <row r="96" spans="2:2" ht="15.75" customHeight="1" x14ac:dyDescent="0.25">
      <c r="B96" s="12"/>
    </row>
    <row r="97" spans="2:2" ht="15.75" customHeight="1" x14ac:dyDescent="0.25">
      <c r="B97" s="12"/>
    </row>
    <row r="98" spans="2:2" ht="15.75" customHeight="1" x14ac:dyDescent="0.25">
      <c r="B98" s="12"/>
    </row>
    <row r="99" spans="2:2" ht="15.75" customHeight="1" x14ac:dyDescent="0.25">
      <c r="B99" s="12"/>
    </row>
    <row r="100" spans="2:2" ht="15.75" customHeight="1" x14ac:dyDescent="0.25">
      <c r="B100" s="12"/>
    </row>
    <row r="101" spans="2:2" ht="15.75" customHeight="1" x14ac:dyDescent="0.2"/>
    <row r="102" spans="2:2" ht="15.75" customHeight="1" x14ac:dyDescent="0.25">
      <c r="B102" s="12"/>
    </row>
    <row r="103" spans="2:2" ht="15.75" customHeight="1" x14ac:dyDescent="0.25">
      <c r="B103" s="12"/>
    </row>
    <row r="104" spans="2:2" ht="15.75" customHeight="1" x14ac:dyDescent="0.25">
      <c r="B104" s="12"/>
    </row>
    <row r="105" spans="2:2" ht="15.75" customHeight="1" x14ac:dyDescent="0.25">
      <c r="B105" s="12"/>
    </row>
    <row r="106" spans="2:2" ht="15.75" customHeight="1" x14ac:dyDescent="0.25">
      <c r="B106" s="12"/>
    </row>
    <row r="107" spans="2:2" ht="15.75" customHeight="1" x14ac:dyDescent="0.25">
      <c r="B107" s="12"/>
    </row>
    <row r="108" spans="2:2" ht="15.75" customHeight="1" x14ac:dyDescent="0.25">
      <c r="B108" s="12"/>
    </row>
    <row r="109" spans="2:2" ht="15.75" customHeight="1" x14ac:dyDescent="0.25">
      <c r="B109" s="12"/>
    </row>
    <row r="110" spans="2:2" ht="15.75" customHeight="1" x14ac:dyDescent="0.25">
      <c r="B110" s="12"/>
    </row>
    <row r="111" spans="2:2" ht="15.75" customHeight="1" x14ac:dyDescent="0.2"/>
    <row r="112" spans="2:2" ht="15.75" customHeight="1" x14ac:dyDescent="0.2"/>
    <row r="113" spans="2:2" ht="15.75" customHeight="1" x14ac:dyDescent="0.25">
      <c r="B113" s="12"/>
    </row>
    <row r="114" spans="2:2" ht="15.75" customHeight="1" x14ac:dyDescent="0.25">
      <c r="B114" s="12"/>
    </row>
    <row r="115" spans="2:2" ht="15.75" customHeight="1" x14ac:dyDescent="0.25">
      <c r="B115" s="12"/>
    </row>
    <row r="116" spans="2:2" ht="15.75" customHeight="1" x14ac:dyDescent="0.25">
      <c r="B116" s="12"/>
    </row>
    <row r="117" spans="2:2" ht="15.75" customHeight="1" x14ac:dyDescent="0.2"/>
    <row r="118" spans="2:2" ht="15.75" customHeight="1" x14ac:dyDescent="0.2"/>
    <row r="119" spans="2:2" ht="15.75" customHeight="1" x14ac:dyDescent="0.25">
      <c r="B119" s="12"/>
    </row>
    <row r="120" spans="2:2" ht="15.75" customHeight="1" x14ac:dyDescent="0.25">
      <c r="B120" s="12"/>
    </row>
    <row r="121" spans="2:2" ht="15.75" customHeight="1" x14ac:dyDescent="0.25">
      <c r="B121" s="12"/>
    </row>
    <row r="122" spans="2:2" ht="15.75" customHeight="1" x14ac:dyDescent="0.25">
      <c r="B122" s="12"/>
    </row>
    <row r="123" spans="2:2" ht="15.75" customHeight="1" x14ac:dyDescent="0.25">
      <c r="B123" s="12"/>
    </row>
    <row r="124" spans="2:2" ht="15.75" customHeight="1" x14ac:dyDescent="0.25">
      <c r="B124" s="12"/>
    </row>
    <row r="125" spans="2:2" ht="15.75" customHeight="1" x14ac:dyDescent="0.25">
      <c r="B125" s="12"/>
    </row>
    <row r="126" spans="2:2" ht="15.75" customHeight="1" x14ac:dyDescent="0.25">
      <c r="B126" s="12"/>
    </row>
    <row r="127" spans="2:2" ht="15.75" customHeight="1" x14ac:dyDescent="0.25">
      <c r="B127" s="12"/>
    </row>
    <row r="128" spans="2:2" ht="15.75" customHeight="1" x14ac:dyDescent="0.25">
      <c r="B128" s="12"/>
    </row>
    <row r="129" spans="2:2" ht="15.75" customHeight="1" x14ac:dyDescent="0.2"/>
    <row r="130" spans="2:2" ht="15.75" customHeight="1" x14ac:dyDescent="0.2"/>
    <row r="131" spans="2:2" ht="15.75" customHeight="1" x14ac:dyDescent="0.25">
      <c r="B131" s="12"/>
    </row>
    <row r="132" spans="2:2" ht="15.75" customHeight="1" x14ac:dyDescent="0.25">
      <c r="B132" s="12"/>
    </row>
    <row r="133" spans="2:2" ht="15.75" customHeight="1" x14ac:dyDescent="0.25">
      <c r="B133" s="12"/>
    </row>
    <row r="134" spans="2:2" ht="15.75" customHeight="1" x14ac:dyDescent="0.25">
      <c r="B134" s="12"/>
    </row>
    <row r="135" spans="2:2" ht="15.75" customHeight="1" x14ac:dyDescent="0.25">
      <c r="B135" s="12"/>
    </row>
    <row r="136" spans="2:2" ht="15.75" customHeight="1" x14ac:dyDescent="0.2"/>
    <row r="137" spans="2:2" ht="15.75" customHeight="1" x14ac:dyDescent="0.25">
      <c r="B137" s="12"/>
    </row>
    <row r="138" spans="2:2" ht="15.75" customHeight="1" x14ac:dyDescent="0.25">
      <c r="B138" s="12"/>
    </row>
    <row r="139" spans="2:2" ht="15.75" customHeight="1" x14ac:dyDescent="0.25">
      <c r="B139" s="12"/>
    </row>
    <row r="140" spans="2:2" ht="15.75" customHeight="1" x14ac:dyDescent="0.2"/>
    <row r="141" spans="2:2" ht="15.75" customHeight="1" x14ac:dyDescent="0.2"/>
    <row r="142" spans="2:2" ht="15.75" customHeight="1" x14ac:dyDescent="0.2"/>
    <row r="143" spans="2:2" ht="15.75" customHeight="1" x14ac:dyDescent="0.2"/>
    <row r="144" spans="2:2"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704F9339AA025D46A534DF70E193CBC7" ma:contentTypeVersion="14" ma:contentTypeDescription="Crear nuevo documento." ma:contentTypeScope="" ma:versionID="9f415b27d820289085639539066e0bcf">
  <xsd:schema xmlns:xsd="http://www.w3.org/2001/XMLSchema" xmlns:xs="http://www.w3.org/2001/XMLSchema" xmlns:p="http://schemas.microsoft.com/office/2006/metadata/properties" xmlns:ns2="587febe2-e8e9-4324-80b8-d8863bd330fa" xmlns:ns3="f5102957-2906-4ac4-a837-74799e48d913" targetNamespace="http://schemas.microsoft.com/office/2006/metadata/properties" ma:root="true" ma:fieldsID="d81a69c22580324a89fd713c270f0dfd" ns2:_="" ns3:_="">
    <xsd:import namespace="587febe2-e8e9-4324-80b8-d8863bd330fa"/>
    <xsd:import namespace="f5102957-2906-4ac4-a837-74799e48d91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Elabor_x00f3_" minOccurs="0"/>
                <xsd:element ref="ns2:Revis_x00f3_" minOccurs="0"/>
                <xsd:element ref="ns2:Autoriz_x00f3_"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87febe2-e8e9-4324-80b8-d8863bd330f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Elabor_x00f3_" ma:index="12" nillable="true" ma:displayName="Elaboró" ma:format="Dropdown" ma:internalName="Elabor_x00f3_">
      <xsd:simpleType>
        <xsd:restriction base="dms:Text">
          <xsd:maxLength value="255"/>
        </xsd:restriction>
      </xsd:simpleType>
    </xsd:element>
    <xsd:element name="Revis_x00f3_" ma:index="13" nillable="true" ma:displayName="Revisó" ma:format="Dropdown" ma:internalName="Revis_x00f3_">
      <xsd:simpleType>
        <xsd:restriction base="dms:Text">
          <xsd:maxLength value="255"/>
        </xsd:restriction>
      </xsd:simpleType>
    </xsd:element>
    <xsd:element name="Autoriz_x00f3_" ma:index="14" nillable="true" ma:displayName="Autorizó" ma:format="Dropdown" ma:internalName="Autoriz_x00f3_">
      <xsd:simpleType>
        <xsd:restriction base="dms:Text">
          <xsd:maxLength value="255"/>
        </xsd:restriction>
      </xsd:simpleType>
    </xsd:element>
    <xsd:element name="lcf76f155ced4ddcb4097134ff3c332f" ma:index="16" nillable="true" ma:taxonomy="true" ma:internalName="lcf76f155ced4ddcb4097134ff3c332f" ma:taxonomyFieldName="MediaServiceImageTags" ma:displayName="Etiquetas de imagen" ma:readOnly="false" ma:fieldId="{5cf76f15-5ced-4ddc-b409-7134ff3c332f}" ma:taxonomyMulti="true" ma:sspId="6d48c423-e94a-4d75-a7e0-a68cfe1c0312"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5102957-2906-4ac4-a837-74799e48d913"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ad2e2bd4-7824-4153-acbc-1a4b5604f789}" ma:internalName="TaxCatchAll" ma:showField="CatchAllData" ma:web="f5102957-2906-4ac4-a837-74799e48d91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Autoriz_x00f3_ xmlns="587febe2-e8e9-4324-80b8-d8863bd330fa">Comité Directivo de Inocuidad</Autoriz_x00f3_>
    <Elabor_x00f3_ xmlns="587febe2-e8e9-4324-80b8-d8863bd330fa">Coordinador de Compras</Elabor_x00f3_>
    <Revis_x00f3_ xmlns="587febe2-e8e9-4324-80b8-d8863bd330fa">Dirección Administrativa</Revis_x00f3_>
    <lcf76f155ced4ddcb4097134ff3c332f xmlns="587febe2-e8e9-4324-80b8-d8863bd330fa">
      <Terms xmlns="http://schemas.microsoft.com/office/infopath/2007/PartnerControls"/>
    </lcf76f155ced4ddcb4097134ff3c332f>
    <TaxCatchAll xmlns="f5102957-2906-4ac4-a837-74799e48d913" xsi:nil="true"/>
  </documentManagement>
</p:properties>
</file>

<file path=customXml/itemProps1.xml><?xml version="1.0" encoding="utf-8"?>
<ds:datastoreItem xmlns:ds="http://schemas.openxmlformats.org/officeDocument/2006/customXml" ds:itemID="{824494E4-4A81-4F37-B0A1-7E38B0828AF7}">
  <ds:schemaRefs>
    <ds:schemaRef ds:uri="http://schemas.microsoft.com/sharepoint/v3/contenttype/forms"/>
  </ds:schemaRefs>
</ds:datastoreItem>
</file>

<file path=customXml/itemProps2.xml><?xml version="1.0" encoding="utf-8"?>
<ds:datastoreItem xmlns:ds="http://schemas.openxmlformats.org/officeDocument/2006/customXml" ds:itemID="{DC3AA45D-360A-4905-933A-908FAA2259C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87febe2-e8e9-4324-80b8-d8863bd330fa"/>
    <ds:schemaRef ds:uri="f5102957-2906-4ac4-a837-74799e48d9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A94772C-3CAF-4E08-91CB-9CE1055EE9A5}">
  <ds:schemaRefs>
    <ds:schemaRef ds:uri="http://purl.org/dc/terms/"/>
    <ds:schemaRef ds:uri="http://purl.org/dc/elements/1.1/"/>
    <ds:schemaRef ds:uri="http://schemas.microsoft.com/office/infopath/2007/PartnerControls"/>
    <ds:schemaRef ds:uri="f5102957-2906-4ac4-a837-74799e48d913"/>
    <ds:schemaRef ds:uri="http://schemas.openxmlformats.org/package/2006/metadata/core-properties"/>
    <ds:schemaRef ds:uri="http://schemas.microsoft.com/office/2006/documentManagement/types"/>
    <ds:schemaRef ds:uri="http://purl.org/dc/dcmitype/"/>
    <ds:schemaRef ds:uri="587febe2-e8e9-4324-80b8-d8863bd330fa"/>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Registro</vt:lpstr>
      <vt:lpstr>Almacen</vt:lpstr>
      <vt:lpstr>Calidad</vt:lpstr>
      <vt:lpstr>Compras</vt:lpstr>
      <vt:lpstr>Calificación Global Proveedores</vt:lpstr>
      <vt:lpstr>Tendencia aNL</vt:lpstr>
      <vt:lpstr>Listado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Calidad</dc:creator>
  <cp:keywords/>
  <dc:description/>
  <cp:lastModifiedBy>Alfonso Hernandez</cp:lastModifiedBy>
  <cp:revision/>
  <dcterms:created xsi:type="dcterms:W3CDTF">2020-01-13T18:30:51Z</dcterms:created>
  <dcterms:modified xsi:type="dcterms:W3CDTF">2025-08-29T18:44:38Z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0x010100704F9339AA025D46A534DF70E193CBC7</vt:lpwstr>
  </property>
  <property fmtid="{D5CDD505-2E9C-101B-9397-08002B2CF9AE}" pid="3" name="MediaServiceImageTags">
    <vt:lpwstr/>
  </property>
</Properties>
</file>