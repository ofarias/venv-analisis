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eperalta_biotecsa_com/Documents/Documentos/Mis Documentos/Planta/EP/reporte planeacion de inventarios/Depuración PT/"/>
    </mc:Choice>
  </mc:AlternateContent>
  <xr:revisionPtr revIDLastSave="17" documentId="8_{CA892C35-4057-40F7-B75A-213742310D59}" xr6:coauthVersionLast="47" xr6:coauthVersionMax="47" xr10:uidLastSave="{B388BA99-1393-4BCB-8113-76D4EC717E68}"/>
  <bookViews>
    <workbookView xWindow="-108" yWindow="-108" windowWidth="23256" windowHeight="12456" xr2:uid="{00000000-000D-0000-FFFF-FFFF00000000}"/>
  </bookViews>
  <sheets>
    <sheet name="BIOTECSA D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2" l="1"/>
  <c r="R21" i="2"/>
  <c r="R20" i="2"/>
  <c r="T20" i="2" s="1"/>
  <c r="R19" i="2"/>
  <c r="T19" i="2" s="1"/>
  <c r="R18" i="2"/>
  <c r="T18" i="2" s="1"/>
  <c r="R17" i="2"/>
  <c r="T17" i="2" s="1"/>
  <c r="R16" i="2"/>
  <c r="T16" i="2" s="1"/>
  <c r="R15" i="2"/>
  <c r="T15" i="2" s="1"/>
  <c r="T22" i="2" s="1"/>
  <c r="R10" i="2"/>
  <c r="T10" i="2" s="1"/>
  <c r="R9" i="2"/>
  <c r="T9" i="2" s="1"/>
  <c r="R8" i="2"/>
  <c r="T8" i="2" s="1"/>
  <c r="R7" i="2"/>
  <c r="T7" i="2" s="1"/>
  <c r="R6" i="2"/>
  <c r="T6" i="2" s="1"/>
  <c r="R5" i="2"/>
  <c r="T5" i="2" s="1"/>
  <c r="R4" i="2"/>
  <c r="T4" i="2" s="1"/>
  <c r="T11" i="2" l="1"/>
</calcChain>
</file>

<file path=xl/sharedStrings.xml><?xml version="1.0" encoding="utf-8"?>
<sst xmlns="http://schemas.openxmlformats.org/spreadsheetml/2006/main" count="72" uniqueCount="25">
  <si>
    <t>Location Description</t>
  </si>
  <si>
    <t>Customer Group</t>
  </si>
  <si>
    <t>Material</t>
  </si>
  <si>
    <t>Total</t>
  </si>
  <si>
    <t>Precio USD 2025</t>
  </si>
  <si>
    <t>Total USD</t>
  </si>
  <si>
    <t>Mexico</t>
  </si>
  <si>
    <t>BIOTECSA</t>
  </si>
  <si>
    <t>3565593058 - ALCALASE 2.5 L*K*H*CB3 - SC1000KG -DK</t>
  </si>
  <si>
    <t>3565593100 - ALCALASE 2.5 L*K*H*CB3 - JC25KG - DK</t>
  </si>
  <si>
    <t>3635892100 - NOVO-PRO D*H*N*FG - JC25KG - DK</t>
  </si>
  <si>
    <t>3995681158 - FLAVOURZYME 500 MG*K*H*N*FG - BIB20KG-DK</t>
  </si>
  <si>
    <t>3996925158 - PROTAMEX*K*H*N*FG - BIB20KG - DK</t>
  </si>
  <si>
    <t>3905001105 - PALATASE 20000 L*K*H*N*FG - JC5KG - DK</t>
  </si>
  <si>
    <t>3997351113 - CATAZYME 25 L*K*H*N*FG - JC20KG - DK</t>
  </si>
  <si>
    <t>BUDGET 2026</t>
  </si>
  <si>
    <t>DP 10/03/26</t>
  </si>
  <si>
    <t>CODIGO UNIVERSAL</t>
  </si>
  <si>
    <t>B0008-C1</t>
  </si>
  <si>
    <t>B0008-P6</t>
  </si>
  <si>
    <t>B0129</t>
  </si>
  <si>
    <t>B0092</t>
  </si>
  <si>
    <t>B0176</t>
  </si>
  <si>
    <t>B0157</t>
  </si>
  <si>
    <t>B0063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</si>
</sst>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3"/>
      <name val="Yu Gothic UI"/>
      <family val="2"/>
      <scheme val="minor"/>
    </font>
    <font>
      <sz val="11"/>
      <color theme="1"/>
      <name val="Yu Gothic UI"/>
      <family val="2"/>
      <scheme val="minor"/>
    </font>
    <font>
      <b/>
      <sz val="13"/>
      <color theme="3"/>
      <name val="Yu Gothic UI"/>
      <family val="2"/>
      <scheme val="minor"/>
    </font>
    <font>
      <b/>
      <sz val="11"/>
      <color theme="3"/>
      <name val="Yu Gothic UI"/>
      <family val="2"/>
      <scheme val="minor"/>
    </font>
    <font>
      <sz val="9"/>
      <color theme="1"/>
      <name val="Yu Gothic UI"/>
      <family val="2"/>
      <scheme val="minor"/>
    </font>
    <font>
      <sz val="9"/>
      <color rgb="FF9C0006"/>
      <name val="Yu Gothic UI"/>
      <family val="2"/>
      <scheme val="minor"/>
    </font>
    <font>
      <sz val="9"/>
      <color theme="3"/>
      <name val="Yu Gothic UI"/>
      <family val="2"/>
      <scheme val="minor"/>
    </font>
    <font>
      <sz val="9"/>
      <color rgb="FF9C5700"/>
      <name val="Yu Gothic UI"/>
      <family val="2"/>
      <scheme val="minor"/>
    </font>
    <font>
      <b/>
      <sz val="9"/>
      <color rgb="FFFA7D00"/>
      <name val="Yu Gothic UI"/>
      <family val="2"/>
      <scheme val="minor"/>
    </font>
    <font>
      <b/>
      <sz val="9"/>
      <color theme="0"/>
      <name val="Yu Gothic UI"/>
      <family val="2"/>
      <scheme val="minor"/>
    </font>
    <font>
      <i/>
      <sz val="9"/>
      <color rgb="FF7F7F7F"/>
      <name val="Yu Gothic UI"/>
      <family val="2"/>
      <scheme val="minor"/>
    </font>
    <font>
      <sz val="9"/>
      <color rgb="FF3F3F76"/>
      <name val="Yu Gothic UI"/>
      <family val="2"/>
      <scheme val="minor"/>
    </font>
    <font>
      <sz val="9"/>
      <color rgb="FFFA7D00"/>
      <name val="Yu Gothic UI"/>
      <family val="2"/>
      <scheme val="minor"/>
    </font>
    <font>
      <b/>
      <sz val="9"/>
      <color rgb="FF3F3F3F"/>
      <name val="Yu Gothic UI"/>
      <family val="2"/>
      <scheme val="minor"/>
    </font>
    <font>
      <sz val="9"/>
      <color rgb="FFFF0000"/>
      <name val="Yu Gothic UI"/>
      <family val="2"/>
      <scheme val="minor"/>
    </font>
    <font>
      <sz val="10"/>
      <color theme="3"/>
      <name val="Yu Gothic UI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</font>
    <font>
      <sz val="11"/>
      <name val="Yu Gothic UI"/>
      <family val="2"/>
      <scheme val="minor"/>
    </font>
    <font>
      <sz val="10"/>
      <color theme="1"/>
      <name val="Aptos Narrow"/>
      <family val="2"/>
    </font>
    <font>
      <b/>
      <sz val="14"/>
      <color theme="3"/>
      <name val="Yu Gothic UI"/>
      <family val="2"/>
      <scheme val="minor"/>
    </font>
    <font>
      <b/>
      <sz val="10"/>
      <color theme="3"/>
      <name val="Yu Gothic U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0" fontId="2" fillId="0" borderId="7" applyNumberFormat="0" applyFill="0" applyAlignment="0" applyProtection="0"/>
    <xf numFmtId="0" fontId="3" fillId="0" borderId="8" applyNumberFormat="0" applyFill="0" applyAlignment="0" applyProtection="0"/>
    <xf numFmtId="0" fontId="6" fillId="8" borderId="0" applyNumberFormat="0" applyBorder="0" applyAlignment="0" applyProtection="0"/>
    <xf numFmtId="0" fontId="5" fillId="2" borderId="0" applyNumberFormat="0" applyBorder="0" applyAlignment="0" applyProtection="0"/>
    <xf numFmtId="0" fontId="7" fillId="3" borderId="0" applyNumberFormat="0" applyBorder="0" applyAlignment="0" applyProtection="0"/>
    <xf numFmtId="0" fontId="11" fillId="4" borderId="1" applyNumberFormat="0" applyAlignment="0" applyProtection="0"/>
    <xf numFmtId="0" fontId="13" fillId="5" borderId="2" applyNumberFormat="0" applyAlignment="0" applyProtection="0"/>
    <xf numFmtId="0" fontId="8" fillId="5" borderId="1" applyNumberFormat="0" applyAlignment="0" applyProtection="0"/>
    <xf numFmtId="0" fontId="12" fillId="0" borderId="3" applyNumberFormat="0" applyFill="0" applyAlignment="0" applyProtection="0"/>
    <xf numFmtId="0" fontId="9" fillId="6" borderId="4" applyNumberFormat="0" applyAlignment="0" applyProtection="0"/>
    <xf numFmtId="0" fontId="14" fillId="0" borderId="0" applyNumberFormat="0" applyFill="0" applyBorder="0" applyAlignment="0" applyProtection="0"/>
    <xf numFmtId="0" fontId="4" fillId="7" borderId="5" applyNumberFormat="0" applyAlignment="0" applyProtection="0"/>
    <xf numFmtId="0" fontId="10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15" fillId="0" borderId="0"/>
    <xf numFmtId="0" fontId="1" fillId="0" borderId="0"/>
  </cellStyleXfs>
  <cellXfs count="33">
    <xf numFmtId="0" fontId="0" fillId="0" borderId="0" xfId="0"/>
    <xf numFmtId="0" fontId="15" fillId="0" borderId="0" xfId="15"/>
    <xf numFmtId="0" fontId="20" fillId="0" borderId="0" xfId="15" applyFont="1"/>
    <xf numFmtId="0" fontId="16" fillId="0" borderId="9" xfId="15" applyFont="1" applyBorder="1"/>
    <xf numFmtId="17" fontId="16" fillId="0" borderId="10" xfId="15" applyNumberFormat="1" applyFont="1" applyBorder="1"/>
    <xf numFmtId="0" fontId="15" fillId="0" borderId="9" xfId="15" applyBorder="1"/>
    <xf numFmtId="0" fontId="16" fillId="9" borderId="9" xfId="15" applyFont="1" applyFill="1" applyBorder="1"/>
    <xf numFmtId="0" fontId="16" fillId="10" borderId="9" xfId="15" applyFont="1" applyFill="1" applyBorder="1"/>
    <xf numFmtId="3" fontId="17" fillId="11" borderId="9" xfId="15" applyNumberFormat="1" applyFont="1" applyFill="1" applyBorder="1" applyAlignment="1">
      <alignment horizontal="center" vertical="center"/>
    </xf>
    <xf numFmtId="3" fontId="16" fillId="12" borderId="9" xfId="15" applyNumberFormat="1" applyFont="1" applyFill="1" applyBorder="1"/>
    <xf numFmtId="0" fontId="15" fillId="12" borderId="11" xfId="15" applyFill="1" applyBorder="1"/>
    <xf numFmtId="0" fontId="15" fillId="12" borderId="9" xfId="15" applyFill="1" applyBorder="1"/>
    <xf numFmtId="0" fontId="16" fillId="12" borderId="9" xfId="15" applyFont="1" applyFill="1" applyBorder="1"/>
    <xf numFmtId="0" fontId="18" fillId="0" borderId="9" xfId="15" applyFont="1" applyBorder="1" applyAlignment="1" applyProtection="1">
      <alignment horizontal="left" vertical="center"/>
      <protection locked="0"/>
    </xf>
    <xf numFmtId="3" fontId="19" fillId="11" borderId="9" xfId="15" applyNumberFormat="1" applyFont="1" applyFill="1" applyBorder="1" applyAlignment="1">
      <alignment horizontal="center" vertical="center"/>
    </xf>
    <xf numFmtId="0" fontId="21" fillId="12" borderId="12" xfId="15" applyFont="1" applyFill="1" applyBorder="1"/>
    <xf numFmtId="0" fontId="16" fillId="0" borderId="9" xfId="16" applyFont="1" applyBorder="1"/>
    <xf numFmtId="17" fontId="16" fillId="13" borderId="10" xfId="16" applyNumberFormat="1" applyFont="1" applyFill="1" applyBorder="1"/>
    <xf numFmtId="17" fontId="16" fillId="0" borderId="10" xfId="16" applyNumberFormat="1" applyFont="1" applyBorder="1"/>
    <xf numFmtId="0" fontId="1" fillId="0" borderId="9" xfId="16" applyBorder="1"/>
    <xf numFmtId="0" fontId="16" fillId="9" borderId="9" xfId="16" applyFont="1" applyFill="1" applyBorder="1"/>
    <xf numFmtId="0" fontId="16" fillId="10" borderId="9" xfId="16" applyFont="1" applyFill="1" applyBorder="1"/>
    <xf numFmtId="3" fontId="17" fillId="13" borderId="9" xfId="16" applyNumberFormat="1" applyFont="1" applyFill="1" applyBorder="1" applyAlignment="1">
      <alignment horizontal="center" vertical="center"/>
    </xf>
    <xf numFmtId="3" fontId="17" fillId="11" borderId="9" xfId="16" applyNumberFormat="1" applyFont="1" applyFill="1" applyBorder="1" applyAlignment="1">
      <alignment horizontal="center" vertical="center"/>
    </xf>
    <xf numFmtId="3" fontId="16" fillId="12" borderId="9" xfId="16" applyNumberFormat="1" applyFont="1" applyFill="1" applyBorder="1"/>
    <xf numFmtId="0" fontId="1" fillId="12" borderId="11" xfId="16" applyFill="1" applyBorder="1"/>
    <xf numFmtId="0" fontId="1" fillId="12" borderId="9" xfId="16" applyFill="1" applyBorder="1"/>
    <xf numFmtId="0" fontId="16" fillId="12" borderId="9" xfId="16" applyFont="1" applyFill="1" applyBorder="1"/>
    <xf numFmtId="0" fontId="16" fillId="13" borderId="9" xfId="16" applyFont="1" applyFill="1" applyBorder="1"/>
    <xf numFmtId="0" fontId="18" fillId="0" borderId="9" xfId="16" applyFont="1" applyBorder="1" applyAlignment="1" applyProtection="1">
      <alignment horizontal="left" vertical="center"/>
      <protection locked="0"/>
    </xf>
    <xf numFmtId="3" fontId="19" fillId="13" borderId="9" xfId="16" applyNumberFormat="1" applyFont="1" applyFill="1" applyBorder="1" applyAlignment="1">
      <alignment horizontal="center" vertical="center"/>
    </xf>
    <xf numFmtId="3" fontId="19" fillId="11" borderId="9" xfId="16" applyNumberFormat="1" applyFont="1" applyFill="1" applyBorder="1" applyAlignment="1">
      <alignment horizontal="center" vertical="center"/>
    </xf>
    <xf numFmtId="0" fontId="21" fillId="0" borderId="0" xfId="15" applyFont="1"/>
  </cellXfs>
  <cellStyles count="17">
    <cellStyle name="Bueno" xfId="3" builtinId="26" customBuiltin="1"/>
    <cellStyle name="Cálculo" xfId="8" builtinId="22" customBuiltin="1"/>
    <cellStyle name="Celda de comprobación" xfId="10" builtinId="23" customBuiltin="1"/>
    <cellStyle name="Celda vinculada" xfId="9" builtinId="24" customBuiltin="1"/>
    <cellStyle name="Entrada" xfId="6" builtinId="20" customBuiltin="1"/>
    <cellStyle name="Incorrecto" xfId="4" builtinId="27" customBuiltin="1"/>
    <cellStyle name="Neutral" xfId="5" builtinId="28" customBuiltin="1"/>
    <cellStyle name="Normal" xfId="0" builtinId="0" customBuiltin="1"/>
    <cellStyle name="Normal 2" xfId="16" xr:uid="{A2C63058-2D5B-47DD-96BB-F3F35F7C8981}"/>
    <cellStyle name="Normal 4" xfId="15" xr:uid="{C30B94C1-8EA7-4A14-9D44-BBDBEC5FA9A8}"/>
    <cellStyle name="Notas" xfId="12" builtinId="10" customBuiltin="1"/>
    <cellStyle name="Salida" xfId="7" builtinId="21" customBuiltin="1"/>
    <cellStyle name="Texto de advertencia" xfId="11" builtinId="11" customBuiltin="1"/>
    <cellStyle name="Texto explicativo" xfId="13" builtinId="53" customBuiltin="1"/>
    <cellStyle name="Título 2" xfId="1" builtinId="17" customBuiltin="1"/>
    <cellStyle name="Título 3" xfId="2" builtinId="18" customBuiltin="1"/>
    <cellStyle name="Total" xfId="1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ovonesis">
      <a:dk1>
        <a:srgbClr val="000000"/>
      </a:dk1>
      <a:lt1>
        <a:srgbClr val="FFFFFF"/>
      </a:lt1>
      <a:dk2>
        <a:srgbClr val="173630"/>
      </a:dk2>
      <a:lt2>
        <a:srgbClr val="BFE6C4"/>
      </a:lt2>
      <a:accent1>
        <a:srgbClr val="173630"/>
      </a:accent1>
      <a:accent2>
        <a:srgbClr val="BFE6C4"/>
      </a:accent2>
      <a:accent3>
        <a:srgbClr val="A1B0FF"/>
      </a:accent3>
      <a:accent4>
        <a:srgbClr val="DEE3FF"/>
      </a:accent4>
      <a:accent5>
        <a:srgbClr val="AAAAAA"/>
      </a:accent5>
      <a:accent6>
        <a:srgbClr val="DADADA"/>
      </a:accent6>
      <a:hlink>
        <a:srgbClr val="467886"/>
      </a:hlink>
      <a:folHlink>
        <a:srgbClr val="96607D"/>
      </a:folHlink>
    </a:clrScheme>
    <a:fontScheme name="Novonesis">
      <a:majorFont>
        <a:latin typeface="Yu Gothic UI Semibold"/>
        <a:ea typeface=""/>
        <a:cs typeface=""/>
      </a:majorFont>
      <a:minorFont>
        <a:latin typeface="Yu Gothic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Moss">
      <a:srgbClr val="173630"/>
    </a:custClr>
    <a:custClr name="Juniper">
      <a:srgbClr val="263140"/>
    </a:custClr>
    <a:custClr name="Earth">
      <a:srgbClr val="3A2828"/>
    </a:custClr>
    <a:custClr name="Wheat">
      <a:srgbClr val="7A600F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Algae">
      <a:srgbClr val="BFE6C4"/>
    </a:custClr>
    <a:custClr name="Aster">
      <a:srgbClr val="A1B0FF"/>
    </a:custClr>
    <a:custClr name="Clay">
      <a:srgbClr val="D47969"/>
    </a:custClr>
    <a:custClr name="Maize">
      <a:srgbClr val="FFF4A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Fern">
      <a:srgbClr val="F2FFF3"/>
    </a:custClr>
    <a:custClr name="Lilac">
      <a:srgbClr val="EFF1FF"/>
    </a:custClr>
    <a:custClr name="Sand">
      <a:srgbClr val="FFF3F3"/>
    </a:custClr>
    <a:custClr name="Rye">
      <a:srgbClr val="FFFCE8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A56B-E598-495A-8EA3-578498F07145}">
  <dimension ref="B2:T22"/>
  <sheetViews>
    <sheetView tabSelected="1" workbookViewId="0">
      <selection activeCell="D15" sqref="D15:D21"/>
    </sheetView>
  </sheetViews>
  <sheetFormatPr baseColWidth="10" defaultColWidth="8.77734375" defaultRowHeight="15" x14ac:dyDescent="0.35"/>
  <cols>
    <col min="1" max="3" width="8.77734375" style="1"/>
    <col min="4" max="4" width="19.88671875" style="1" customWidth="1"/>
    <col min="5" max="5" width="55.44140625" style="1" bestFit="1" customWidth="1"/>
    <col min="6" max="16384" width="8.77734375" style="1"/>
  </cols>
  <sheetData>
    <row r="2" spans="2:20" ht="20.399999999999999" x14ac:dyDescent="0.45">
      <c r="B2" s="2" t="s">
        <v>15</v>
      </c>
    </row>
    <row r="3" spans="2:20" x14ac:dyDescent="0.35">
      <c r="B3" s="3" t="s">
        <v>0</v>
      </c>
      <c r="C3" s="3" t="s">
        <v>1</v>
      </c>
      <c r="D3" s="3" t="s">
        <v>17</v>
      </c>
      <c r="E3" s="3" t="s">
        <v>2</v>
      </c>
      <c r="F3" s="4">
        <v>46023</v>
      </c>
      <c r="G3" s="4">
        <v>46054</v>
      </c>
      <c r="H3" s="4">
        <v>46082</v>
      </c>
      <c r="I3" s="4">
        <v>46113</v>
      </c>
      <c r="J3" s="4">
        <v>46143</v>
      </c>
      <c r="K3" s="4">
        <v>46174</v>
      </c>
      <c r="L3" s="4">
        <v>46204</v>
      </c>
      <c r="M3" s="4">
        <v>46235</v>
      </c>
      <c r="N3" s="4">
        <v>46266</v>
      </c>
      <c r="O3" s="4">
        <v>46296</v>
      </c>
      <c r="P3" s="4">
        <v>46327</v>
      </c>
      <c r="Q3" s="4">
        <v>46357</v>
      </c>
      <c r="R3" s="5" t="s">
        <v>3</v>
      </c>
      <c r="S3" s="6" t="s">
        <v>4</v>
      </c>
      <c r="T3" s="5" t="s">
        <v>5</v>
      </c>
    </row>
    <row r="4" spans="2:20" x14ac:dyDescent="0.35">
      <c r="B4" s="7" t="s">
        <v>6</v>
      </c>
      <c r="C4" s="7" t="s">
        <v>7</v>
      </c>
      <c r="D4" s="7" t="s">
        <v>18</v>
      </c>
      <c r="E4" s="7" t="s">
        <v>8</v>
      </c>
      <c r="F4" s="8">
        <v>2000</v>
      </c>
      <c r="G4" s="8">
        <v>2000</v>
      </c>
      <c r="H4" s="8">
        <v>2000</v>
      </c>
      <c r="I4" s="8">
        <v>2000</v>
      </c>
      <c r="J4" s="8">
        <v>3000</v>
      </c>
      <c r="K4" s="8">
        <v>2000</v>
      </c>
      <c r="L4" s="8">
        <v>3000</v>
      </c>
      <c r="M4" s="8">
        <v>2000</v>
      </c>
      <c r="N4" s="8">
        <v>3000</v>
      </c>
      <c r="O4" s="8">
        <v>2000</v>
      </c>
      <c r="P4" s="8">
        <v>3000</v>
      </c>
      <c r="Q4" s="8">
        <v>2000</v>
      </c>
      <c r="R4" s="9">
        <f>SUM(F4:Q4)</f>
        <v>28000</v>
      </c>
      <c r="S4" s="10">
        <v>8.81</v>
      </c>
      <c r="T4" s="11">
        <f>S4*R4</f>
        <v>246680</v>
      </c>
    </row>
    <row r="5" spans="2:20" x14ac:dyDescent="0.35">
      <c r="B5" s="12" t="s">
        <v>6</v>
      </c>
      <c r="C5" s="12" t="s">
        <v>7</v>
      </c>
      <c r="D5" s="12" t="s">
        <v>19</v>
      </c>
      <c r="E5" s="3" t="s">
        <v>9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9">
        <f t="shared" ref="R5:R10" si="0">SUM(F5:Q5)</f>
        <v>0</v>
      </c>
      <c r="S5" s="10">
        <v>12.63</v>
      </c>
      <c r="T5" s="11">
        <f t="shared" ref="T5:T10" si="1">S5*R5</f>
        <v>0</v>
      </c>
    </row>
    <row r="6" spans="2:20" x14ac:dyDescent="0.35">
      <c r="B6" s="12" t="s">
        <v>6</v>
      </c>
      <c r="C6" s="12" t="s">
        <v>7</v>
      </c>
      <c r="D6" s="12" t="s">
        <v>20</v>
      </c>
      <c r="E6" s="3" t="s">
        <v>10</v>
      </c>
      <c r="F6" s="8">
        <v>0</v>
      </c>
      <c r="G6" s="8">
        <v>0</v>
      </c>
      <c r="H6" s="8">
        <v>100</v>
      </c>
      <c r="I6" s="8">
        <v>100</v>
      </c>
      <c r="J6" s="8">
        <v>100</v>
      </c>
      <c r="K6" s="8">
        <v>100</v>
      </c>
      <c r="L6" s="8">
        <v>100</v>
      </c>
      <c r="M6" s="8">
        <v>100</v>
      </c>
      <c r="N6" s="8">
        <v>100</v>
      </c>
      <c r="O6" s="8">
        <v>100</v>
      </c>
      <c r="P6" s="8">
        <v>100</v>
      </c>
      <c r="Q6" s="8">
        <v>100</v>
      </c>
      <c r="R6" s="9">
        <f t="shared" si="0"/>
        <v>1000</v>
      </c>
      <c r="S6" s="10">
        <v>18.14</v>
      </c>
      <c r="T6" s="11">
        <f>S6*R6</f>
        <v>18140</v>
      </c>
    </row>
    <row r="7" spans="2:20" x14ac:dyDescent="0.35">
      <c r="B7" s="12" t="s">
        <v>6</v>
      </c>
      <c r="C7" s="12" t="s">
        <v>7</v>
      </c>
      <c r="D7" s="12" t="s">
        <v>21</v>
      </c>
      <c r="E7" s="16" t="s">
        <v>11</v>
      </c>
      <c r="F7" s="8">
        <v>0</v>
      </c>
      <c r="G7" s="8">
        <v>0</v>
      </c>
      <c r="H7" s="8">
        <v>20</v>
      </c>
      <c r="I7" s="8">
        <v>40</v>
      </c>
      <c r="J7" s="8">
        <v>60</v>
      </c>
      <c r="K7" s="8">
        <v>40</v>
      </c>
      <c r="L7" s="8">
        <v>40</v>
      </c>
      <c r="M7" s="8">
        <v>40</v>
      </c>
      <c r="N7" s="8">
        <v>60</v>
      </c>
      <c r="O7" s="8">
        <v>40</v>
      </c>
      <c r="P7" s="8">
        <v>60</v>
      </c>
      <c r="Q7" s="8">
        <v>0</v>
      </c>
      <c r="R7" s="9">
        <f t="shared" si="0"/>
        <v>400</v>
      </c>
      <c r="S7" s="10">
        <v>56.22</v>
      </c>
      <c r="T7" s="11">
        <f t="shared" si="1"/>
        <v>22488</v>
      </c>
    </row>
    <row r="8" spans="2:20" x14ac:dyDescent="0.35">
      <c r="B8" s="12" t="s">
        <v>6</v>
      </c>
      <c r="C8" s="12" t="s">
        <v>7</v>
      </c>
      <c r="D8" s="12" t="s">
        <v>22</v>
      </c>
      <c r="E8" s="3" t="s">
        <v>12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40</v>
      </c>
      <c r="Q8" s="8">
        <v>0</v>
      </c>
      <c r="R8" s="9">
        <f t="shared" si="0"/>
        <v>40</v>
      </c>
      <c r="S8" s="10">
        <v>55.3</v>
      </c>
      <c r="T8" s="11">
        <f t="shared" si="1"/>
        <v>2212</v>
      </c>
    </row>
    <row r="9" spans="2:20" ht="16.8" x14ac:dyDescent="0.35">
      <c r="B9" s="12" t="s">
        <v>6</v>
      </c>
      <c r="C9" s="12" t="s">
        <v>7</v>
      </c>
      <c r="D9" s="12" t="s">
        <v>23</v>
      </c>
      <c r="E9" s="13" t="s">
        <v>13</v>
      </c>
      <c r="F9" s="14">
        <v>10</v>
      </c>
      <c r="G9" s="14">
        <v>0</v>
      </c>
      <c r="H9" s="14">
        <v>0</v>
      </c>
      <c r="I9" s="14">
        <v>10</v>
      </c>
      <c r="J9" s="14">
        <v>0</v>
      </c>
      <c r="K9" s="14">
        <v>0</v>
      </c>
      <c r="L9" s="8">
        <v>15</v>
      </c>
      <c r="M9" s="8">
        <v>0</v>
      </c>
      <c r="N9" s="8">
        <v>0</v>
      </c>
      <c r="O9" s="8">
        <v>15</v>
      </c>
      <c r="P9" s="8">
        <v>0</v>
      </c>
      <c r="Q9" s="8">
        <v>0</v>
      </c>
      <c r="R9" s="9">
        <f t="shared" si="0"/>
        <v>50</v>
      </c>
      <c r="S9" s="10">
        <v>575.37</v>
      </c>
      <c r="T9" s="11">
        <f t="shared" si="1"/>
        <v>28768.5</v>
      </c>
    </row>
    <row r="10" spans="2:20" ht="16.8" x14ac:dyDescent="0.35">
      <c r="B10" s="12" t="s">
        <v>6</v>
      </c>
      <c r="C10" s="12" t="s">
        <v>7</v>
      </c>
      <c r="D10" s="12" t="s">
        <v>24</v>
      </c>
      <c r="E10" s="13" t="s">
        <v>14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20</v>
      </c>
      <c r="L10" s="8">
        <v>0</v>
      </c>
      <c r="M10" s="8">
        <v>0</v>
      </c>
      <c r="N10" s="8">
        <v>0</v>
      </c>
      <c r="O10" s="8">
        <v>0</v>
      </c>
      <c r="P10" s="8">
        <v>20</v>
      </c>
      <c r="Q10" s="8">
        <v>0</v>
      </c>
      <c r="R10" s="9">
        <f t="shared" si="0"/>
        <v>40</v>
      </c>
      <c r="S10" s="10">
        <v>43.2</v>
      </c>
      <c r="T10" s="11">
        <f t="shared" si="1"/>
        <v>1728</v>
      </c>
    </row>
    <row r="11" spans="2:20" x14ac:dyDescent="0.35">
      <c r="T11" s="15">
        <f>SUM(T4:T10)</f>
        <v>320016.5</v>
      </c>
    </row>
    <row r="13" spans="2:20" ht="20.399999999999999" x14ac:dyDescent="0.45">
      <c r="B13" s="2" t="s">
        <v>16</v>
      </c>
    </row>
    <row r="14" spans="2:20" ht="16.8" x14ac:dyDescent="0.4">
      <c r="B14" s="16" t="s">
        <v>0</v>
      </c>
      <c r="C14" s="16" t="s">
        <v>1</v>
      </c>
      <c r="D14" s="3" t="s">
        <v>17</v>
      </c>
      <c r="E14" s="16" t="s">
        <v>2</v>
      </c>
      <c r="F14" s="17">
        <v>46023</v>
      </c>
      <c r="G14" s="17">
        <v>46054</v>
      </c>
      <c r="H14" s="18">
        <v>46082</v>
      </c>
      <c r="I14" s="18">
        <v>46113</v>
      </c>
      <c r="J14" s="18">
        <v>46143</v>
      </c>
      <c r="K14" s="18">
        <v>46174</v>
      </c>
      <c r="L14" s="18">
        <v>46204</v>
      </c>
      <c r="M14" s="18">
        <v>46235</v>
      </c>
      <c r="N14" s="18">
        <v>46266</v>
      </c>
      <c r="O14" s="18">
        <v>46296</v>
      </c>
      <c r="P14" s="18">
        <v>46327</v>
      </c>
      <c r="Q14" s="18">
        <v>46357</v>
      </c>
      <c r="R14" s="19" t="s">
        <v>3</v>
      </c>
      <c r="S14" s="20" t="s">
        <v>4</v>
      </c>
      <c r="T14" s="19" t="s">
        <v>5</v>
      </c>
    </row>
    <row r="15" spans="2:20" ht="16.8" x14ac:dyDescent="0.4">
      <c r="B15" s="21" t="s">
        <v>6</v>
      </c>
      <c r="C15" s="21" t="s">
        <v>7</v>
      </c>
      <c r="D15" s="7" t="s">
        <v>18</v>
      </c>
      <c r="E15" s="21" t="s">
        <v>8</v>
      </c>
      <c r="F15" s="22">
        <v>2000</v>
      </c>
      <c r="G15" s="22">
        <v>2000</v>
      </c>
      <c r="H15" s="23">
        <v>1000</v>
      </c>
      <c r="I15" s="23">
        <v>2000</v>
      </c>
      <c r="J15" s="23">
        <v>0</v>
      </c>
      <c r="K15" s="23">
        <v>1000</v>
      </c>
      <c r="L15" s="23">
        <v>3000</v>
      </c>
      <c r="M15" s="23">
        <v>3000</v>
      </c>
      <c r="N15" s="23">
        <v>3000</v>
      </c>
      <c r="O15" s="23">
        <v>3000</v>
      </c>
      <c r="P15" s="23">
        <v>3000</v>
      </c>
      <c r="Q15" s="23">
        <v>3000</v>
      </c>
      <c r="R15" s="24">
        <f>SUM(F15:Q15)</f>
        <v>26000</v>
      </c>
      <c r="S15" s="25">
        <v>8.81</v>
      </c>
      <c r="T15" s="26">
        <f>S15*R15</f>
        <v>229060</v>
      </c>
    </row>
    <row r="16" spans="2:20" ht="16.8" x14ac:dyDescent="0.4">
      <c r="B16" s="27" t="s">
        <v>6</v>
      </c>
      <c r="C16" s="27" t="s">
        <v>7</v>
      </c>
      <c r="D16" s="12" t="s">
        <v>19</v>
      </c>
      <c r="E16" s="16" t="s">
        <v>9</v>
      </c>
      <c r="F16" s="28">
        <v>0</v>
      </c>
      <c r="G16" s="28">
        <v>0</v>
      </c>
      <c r="H16" s="16">
        <v>700</v>
      </c>
      <c r="I16" s="16">
        <v>0</v>
      </c>
      <c r="J16" s="16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4">
        <f t="shared" ref="R16:R21" si="2">SUM(F16:Q16)</f>
        <v>700</v>
      </c>
      <c r="S16" s="25">
        <v>12.63</v>
      </c>
      <c r="T16" s="26">
        <f t="shared" ref="T16:T21" si="3">S16*R16</f>
        <v>8841</v>
      </c>
    </row>
    <row r="17" spans="2:20" ht="16.8" x14ac:dyDescent="0.4">
      <c r="B17" s="27" t="s">
        <v>6</v>
      </c>
      <c r="C17" s="27" t="s">
        <v>7</v>
      </c>
      <c r="D17" s="12" t="s">
        <v>20</v>
      </c>
      <c r="E17" s="16" t="s">
        <v>10</v>
      </c>
      <c r="F17" s="22">
        <v>0</v>
      </c>
      <c r="G17" s="22">
        <v>0</v>
      </c>
      <c r="H17" s="23">
        <v>0</v>
      </c>
      <c r="I17" s="23">
        <v>0</v>
      </c>
      <c r="J17" s="23">
        <v>0</v>
      </c>
      <c r="K17" s="23">
        <v>100</v>
      </c>
      <c r="L17" s="23">
        <v>0</v>
      </c>
      <c r="M17" s="23">
        <v>0</v>
      </c>
      <c r="N17" s="23">
        <v>0</v>
      </c>
      <c r="O17" s="23">
        <v>200</v>
      </c>
      <c r="P17" s="23">
        <v>300</v>
      </c>
      <c r="Q17" s="23">
        <v>400</v>
      </c>
      <c r="R17" s="24">
        <f t="shared" si="2"/>
        <v>1000</v>
      </c>
      <c r="S17" s="25">
        <v>18.14</v>
      </c>
      <c r="T17" s="26">
        <f>S17*R17</f>
        <v>18140</v>
      </c>
    </row>
    <row r="18" spans="2:20" ht="16.8" x14ac:dyDescent="0.4">
      <c r="B18" s="27" t="s">
        <v>6</v>
      </c>
      <c r="C18" s="27" t="s">
        <v>7</v>
      </c>
      <c r="D18" s="12" t="s">
        <v>21</v>
      </c>
      <c r="E18" s="16" t="s">
        <v>11</v>
      </c>
      <c r="F18" s="22">
        <v>0</v>
      </c>
      <c r="G18" s="22">
        <v>0</v>
      </c>
      <c r="H18" s="23">
        <v>20</v>
      </c>
      <c r="I18" s="23">
        <v>0</v>
      </c>
      <c r="J18" s="23">
        <v>0</v>
      </c>
      <c r="K18" s="23">
        <v>20</v>
      </c>
      <c r="L18" s="23">
        <v>20</v>
      </c>
      <c r="M18" s="23">
        <v>0</v>
      </c>
      <c r="N18" s="23">
        <v>0</v>
      </c>
      <c r="O18" s="23">
        <v>0</v>
      </c>
      <c r="P18" s="23">
        <v>140</v>
      </c>
      <c r="Q18" s="23">
        <v>200</v>
      </c>
      <c r="R18" s="24">
        <f t="shared" si="2"/>
        <v>400</v>
      </c>
      <c r="S18" s="25">
        <v>56.22</v>
      </c>
      <c r="T18" s="26">
        <f t="shared" si="3"/>
        <v>22488</v>
      </c>
    </row>
    <row r="19" spans="2:20" ht="16.8" x14ac:dyDescent="0.4">
      <c r="B19" s="27" t="s">
        <v>6</v>
      </c>
      <c r="C19" s="27" t="s">
        <v>7</v>
      </c>
      <c r="D19" s="12" t="s">
        <v>22</v>
      </c>
      <c r="E19" s="16" t="s">
        <v>12</v>
      </c>
      <c r="F19" s="22">
        <v>0</v>
      </c>
      <c r="G19" s="22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20</v>
      </c>
      <c r="R19" s="24">
        <f t="shared" si="2"/>
        <v>20</v>
      </c>
      <c r="S19" s="25">
        <v>55.3</v>
      </c>
      <c r="T19" s="26">
        <f t="shared" si="3"/>
        <v>1106</v>
      </c>
    </row>
    <row r="20" spans="2:20" ht="16.8" x14ac:dyDescent="0.4">
      <c r="B20" s="27" t="s">
        <v>6</v>
      </c>
      <c r="C20" s="27" t="s">
        <v>7</v>
      </c>
      <c r="D20" s="12" t="s">
        <v>23</v>
      </c>
      <c r="E20" s="29" t="s">
        <v>13</v>
      </c>
      <c r="F20" s="30">
        <v>10</v>
      </c>
      <c r="G20" s="30">
        <v>0</v>
      </c>
      <c r="H20" s="31">
        <v>0</v>
      </c>
      <c r="I20" s="31">
        <v>15</v>
      </c>
      <c r="J20" s="31">
        <v>0</v>
      </c>
      <c r="K20" s="31">
        <v>0</v>
      </c>
      <c r="L20" s="23">
        <v>15</v>
      </c>
      <c r="M20" s="23">
        <v>0</v>
      </c>
      <c r="N20" s="23">
        <v>0</v>
      </c>
      <c r="O20" s="23">
        <v>15</v>
      </c>
      <c r="P20" s="23">
        <v>0</v>
      </c>
      <c r="Q20" s="23">
        <v>10</v>
      </c>
      <c r="R20" s="24">
        <f t="shared" si="2"/>
        <v>65</v>
      </c>
      <c r="S20" s="25">
        <v>575.37</v>
      </c>
      <c r="T20" s="26">
        <f t="shared" si="3"/>
        <v>37399.050000000003</v>
      </c>
    </row>
    <row r="21" spans="2:20" ht="16.8" x14ac:dyDescent="0.4">
      <c r="B21" s="27" t="s">
        <v>6</v>
      </c>
      <c r="C21" s="27" t="s">
        <v>7</v>
      </c>
      <c r="D21" s="12" t="s">
        <v>24</v>
      </c>
      <c r="E21" s="29" t="s">
        <v>14</v>
      </c>
      <c r="F21" s="30">
        <v>0</v>
      </c>
      <c r="G21" s="30">
        <v>0</v>
      </c>
      <c r="H21" s="31">
        <v>0</v>
      </c>
      <c r="I21" s="31">
        <v>0</v>
      </c>
      <c r="J21" s="31">
        <v>0</v>
      </c>
      <c r="K21" s="31">
        <v>0</v>
      </c>
      <c r="L21" s="23">
        <v>0</v>
      </c>
      <c r="M21" s="23">
        <v>0</v>
      </c>
      <c r="N21" s="23">
        <v>20</v>
      </c>
      <c r="O21" s="23">
        <v>0</v>
      </c>
      <c r="P21" s="23">
        <v>20</v>
      </c>
      <c r="Q21" s="23">
        <v>20</v>
      </c>
      <c r="R21" s="24">
        <f t="shared" si="2"/>
        <v>60</v>
      </c>
      <c r="S21" s="25">
        <v>43.2</v>
      </c>
      <c r="T21" s="26">
        <f t="shared" si="3"/>
        <v>2592</v>
      </c>
    </row>
    <row r="22" spans="2:20" x14ac:dyDescent="0.35">
      <c r="T22" s="32">
        <f>SUM(T15:T21)</f>
        <v>319626.05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1147E82A-B7B9-4879-9448-A54268FAAB10}">
  <ds:schemaRefs/>
</ds:datastoreItem>
</file>

<file path=customXml/itemProps2.xml><?xml version="1.0" encoding="utf-8"?>
<ds:datastoreItem xmlns:ds="http://schemas.openxmlformats.org/officeDocument/2006/customXml" ds:itemID="{2C94FC71-AE44-4A15-B6EB-6443777B4A89}">
  <ds:schemaRefs/>
</ds:datastoreItem>
</file>

<file path=docMetadata/LabelInfo.xml><?xml version="1.0" encoding="utf-8"?>
<clbl:labelList xmlns:clbl="http://schemas.microsoft.com/office/2020/mipLabelMetadata">
  <clbl:label id="{1ab8c0df-c8b2-4a64-a121-e08e1a3847b8}" enabled="0" method="" siteId="{1ab8c0df-c8b2-4a64-a121-e08e1a3847b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BIOTECSA 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Ramírez</dc:creator>
  <cp:lastModifiedBy>Eduardo Peralta Villa</cp:lastModifiedBy>
  <dcterms:created xsi:type="dcterms:W3CDTF">2025-05-19T22:28:01Z</dcterms:created>
  <dcterms:modified xsi:type="dcterms:W3CDTF">2026-05-06T04:50:19Z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chrhansen</vt:lpwstr>
  </property>
  <property fmtid="{D5CDD505-2E9C-101B-9397-08002B2CF9AE}" pid="3" name="TemplafyTemplateId">
    <vt:lpwstr>1100196203670799428</vt:lpwstr>
  </property>
  <property fmtid="{D5CDD505-2E9C-101B-9397-08002B2CF9AE}" pid="4" name="TemplafyUserProfileId">
    <vt:lpwstr>1186773466889060367</vt:lpwstr>
  </property>
  <property fmtid="{D5CDD505-2E9C-101B-9397-08002B2CF9AE}" pid="5" name="TemplafyFromBlank">
    <vt:bool>true</vt:bool>
  </property>
  <property fmtid="{D5CDD505-2E9C-101B-9397-08002B2CF9AE}" pid="7" name="_NewReviewCycle">
    <vt:lpwstr/>
  </property>
</Properties>
</file>